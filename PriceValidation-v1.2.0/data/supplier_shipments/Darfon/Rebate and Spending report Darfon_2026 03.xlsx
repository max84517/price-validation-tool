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lvis pan\HP\Desktop\Summary\Customer\rebate from Nicolle\2026 Q2\"/>
    </mc:Choice>
  </mc:AlternateContent>
  <xr:revisionPtr revIDLastSave="0" documentId="11_8E3D0AC80DE7B0B2EA735BC79AF73884E59BD1C0" xr6:coauthVersionLast="47" xr6:coauthVersionMax="47" xr10:uidLastSave="{00000000-0000-0000-0000-000000000000}"/>
  <bookViews>
    <workbookView xWindow="0" yWindow="0" windowWidth="19200" windowHeight="6870" tabRatio="672" firstSheet="12" activeTab="12" xr2:uid="{00000000-000D-0000-FFFF-FFFF00000000}"/>
  </bookViews>
  <sheets>
    <sheet name="說明頁_更新版" sheetId="20" r:id="rId1"/>
    <sheet name="FY23 Summary_1" sheetId="6" r:id="rId2"/>
    <sheet name="FY23 Summary_2" sheetId="14" r:id="rId3"/>
    <sheet name="FY23" sheetId="13" r:id="rId4"/>
    <sheet name="FY24 Summary_1" sheetId="10" r:id="rId5"/>
    <sheet name="FY24 Summary_2" sheetId="11" r:id="rId6"/>
    <sheet name="FY24" sheetId="15" r:id="rId7"/>
    <sheet name="FY25 Summary_1" sheetId="18" r:id="rId8"/>
    <sheet name="FY25 Summary_2" sheetId="19" r:id="rId9"/>
    <sheet name="FY25" sheetId="17" r:id="rId10"/>
    <sheet name="FY26 Summary_1" sheetId="22" r:id="rId11"/>
    <sheet name="FY26 Summary_2" sheetId="23" r:id="rId12"/>
    <sheet name="FY26" sheetId="21" r:id="rId13"/>
  </sheets>
  <definedNames>
    <definedName name="_xlnm._FilterDatabase" localSheetId="3" hidden="1">'FY23'!$B$2:$BK$241</definedName>
    <definedName name="_xlnm._FilterDatabase" localSheetId="6" hidden="1">'FY24'!$B$2:$BL$148</definedName>
    <definedName name="_xlnm._FilterDatabase" localSheetId="9" hidden="1">'FY25'!$A$2:$BP$374</definedName>
    <definedName name="_xlnm._FilterDatabase" localSheetId="12" hidden="1">'FY26'!$A$2:$BM$520</definedName>
    <definedName name="_xlnm.Print_Area" localSheetId="3">'FY23'!$D$1:$AS$242</definedName>
    <definedName name="_xlnm.Print_Area" localSheetId="6">'FY24'!$D$1:$AT$149</definedName>
    <definedName name="_xlnm.Print_Area" localSheetId="9">'FY25'!$D$1:$AT$276</definedName>
    <definedName name="_xlnm.Print_Area" localSheetId="12">'FY26'!$D$1:$AQ$375</definedName>
    <definedName name="Region" localSheetId="12">#REF!</definedName>
    <definedName name="Region" localSheetId="10">#REF!</definedName>
    <definedName name="Region" localSheetId="11">#REF!</definedName>
    <definedName name="Reg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336" i="21" l="1"/>
  <c r="BI337" i="21"/>
  <c r="BI338" i="21"/>
  <c r="BI339" i="21"/>
  <c r="BI340" i="21"/>
  <c r="BI341" i="21"/>
  <c r="BI342" i="21"/>
  <c r="BI343" i="21"/>
  <c r="BI344" i="21"/>
  <c r="BG336" i="21"/>
  <c r="BG337" i="21"/>
  <c r="BG338" i="21"/>
  <c r="BG339" i="21"/>
  <c r="BG340" i="21"/>
  <c r="BG341" i="21"/>
  <c r="BG342" i="21"/>
  <c r="BG343" i="21"/>
  <c r="BG344" i="21"/>
  <c r="BE336" i="21"/>
  <c r="BE337" i="21"/>
  <c r="BE338" i="21"/>
  <c r="BE339" i="21"/>
  <c r="BE340" i="21"/>
  <c r="BE341" i="21"/>
  <c r="BE342" i="21"/>
  <c r="BE343" i="21"/>
  <c r="BE344" i="21"/>
  <c r="BE345" i="21"/>
  <c r="BC336" i="21"/>
  <c r="BC337" i="21"/>
  <c r="BC338" i="21"/>
  <c r="BC339" i="21"/>
  <c r="BC340" i="21"/>
  <c r="BC341" i="21"/>
  <c r="BC342" i="21"/>
  <c r="BC343" i="21"/>
  <c r="BC344" i="21"/>
  <c r="BA336" i="21"/>
  <c r="BA337" i="21"/>
  <c r="BA338" i="21"/>
  <c r="BA339" i="21"/>
  <c r="BA340" i="21"/>
  <c r="BA341" i="21"/>
  <c r="BA342" i="21"/>
  <c r="BA343" i="21"/>
  <c r="BA344" i="21"/>
  <c r="AY336" i="21"/>
  <c r="AY337" i="21"/>
  <c r="AY338" i="21"/>
  <c r="AY339" i="21"/>
  <c r="AY340" i="21"/>
  <c r="AY341" i="21"/>
  <c r="AY342" i="21"/>
  <c r="AY343" i="21"/>
  <c r="AY344" i="21"/>
  <c r="AY345" i="21"/>
  <c r="AW336" i="21"/>
  <c r="AW337" i="21"/>
  <c r="AW338" i="21"/>
  <c r="AW339" i="21"/>
  <c r="AW340" i="21"/>
  <c r="AW341" i="21"/>
  <c r="AW342" i="21"/>
  <c r="AW343" i="21"/>
  <c r="AW344" i="21"/>
  <c r="AU336" i="21"/>
  <c r="AU337" i="21"/>
  <c r="AU338" i="21"/>
  <c r="AU339" i="21"/>
  <c r="AU340" i="21"/>
  <c r="AU341" i="21"/>
  <c r="AU342" i="21"/>
  <c r="AU343" i="21"/>
  <c r="AU344" i="21"/>
  <c r="AS336" i="21"/>
  <c r="AS337" i="21"/>
  <c r="AS338" i="21"/>
  <c r="AS339" i="21"/>
  <c r="AS340" i="21"/>
  <c r="AS341" i="21"/>
  <c r="AS342" i="21"/>
  <c r="AS343" i="21"/>
  <c r="AS344" i="21"/>
  <c r="AQ336" i="21"/>
  <c r="AQ337" i="21"/>
  <c r="AQ338" i="21"/>
  <c r="AQ339" i="21"/>
  <c r="AQ340" i="21"/>
  <c r="AQ341" i="21"/>
  <c r="AQ342" i="21"/>
  <c r="AQ343" i="21"/>
  <c r="AQ344" i="21"/>
  <c r="AO336" i="21"/>
  <c r="AO337" i="21"/>
  <c r="AO338" i="21"/>
  <c r="AO339" i="21"/>
  <c r="AO340" i="21"/>
  <c r="AO341" i="21"/>
  <c r="AO342" i="21"/>
  <c r="AO343" i="21"/>
  <c r="AO344" i="21"/>
  <c r="AO345" i="21"/>
  <c r="AM336" i="21"/>
  <c r="AM337" i="21"/>
  <c r="AM338" i="21"/>
  <c r="AM339" i="21"/>
  <c r="AM340" i="21"/>
  <c r="AM341" i="21"/>
  <c r="AM342" i="21"/>
  <c r="AM343" i="21"/>
  <c r="AM344" i="21"/>
  <c r="AM345" i="21"/>
  <c r="AM346" i="21"/>
  <c r="BI124" i="21" l="1"/>
  <c r="BI125" i="21"/>
  <c r="BI126" i="21"/>
  <c r="BI127" i="21"/>
  <c r="BI128" i="21"/>
  <c r="BI129" i="21"/>
  <c r="BI130" i="21"/>
  <c r="BI131" i="21"/>
  <c r="BI132" i="21"/>
  <c r="BI133" i="21"/>
  <c r="BI134" i="21"/>
  <c r="BI135" i="21"/>
  <c r="BI136" i="21"/>
  <c r="BI137" i="21"/>
  <c r="BI138" i="21"/>
  <c r="BI139" i="21"/>
  <c r="BI140" i="21"/>
  <c r="BI141" i="21"/>
  <c r="BI142" i="21"/>
  <c r="BG124" i="21"/>
  <c r="BG125" i="21"/>
  <c r="BG126" i="21"/>
  <c r="BG127" i="21"/>
  <c r="BG128" i="21"/>
  <c r="BG129" i="21"/>
  <c r="BG130" i="21"/>
  <c r="BG131" i="21"/>
  <c r="BG132" i="21"/>
  <c r="BG133" i="21"/>
  <c r="BG134" i="21"/>
  <c r="BG135" i="21"/>
  <c r="BG136" i="21"/>
  <c r="BG137" i="21"/>
  <c r="BG138" i="21"/>
  <c r="BG139" i="21"/>
  <c r="BG140" i="21"/>
  <c r="BG141" i="21"/>
  <c r="BG142" i="21"/>
  <c r="BE124" i="21"/>
  <c r="BE125" i="21"/>
  <c r="BE126" i="21"/>
  <c r="BE127" i="21"/>
  <c r="BE128" i="21"/>
  <c r="BE129" i="21"/>
  <c r="BE130" i="21"/>
  <c r="BE131" i="21"/>
  <c r="BE132" i="21"/>
  <c r="BE133" i="21"/>
  <c r="BE134" i="21"/>
  <c r="BE135" i="21"/>
  <c r="BE136" i="21"/>
  <c r="BE137" i="21"/>
  <c r="BE138" i="21"/>
  <c r="BE139" i="21"/>
  <c r="BE140" i="21"/>
  <c r="BE141" i="21"/>
  <c r="BE142" i="21"/>
  <c r="BC124" i="21"/>
  <c r="BC125" i="21"/>
  <c r="BC126" i="21"/>
  <c r="BC127" i="21"/>
  <c r="BC128" i="21"/>
  <c r="BC129" i="21"/>
  <c r="BC130" i="21"/>
  <c r="BC131" i="21"/>
  <c r="BC132" i="21"/>
  <c r="BC133" i="21"/>
  <c r="BC134" i="21"/>
  <c r="BC135" i="21"/>
  <c r="BC136" i="21"/>
  <c r="BC137" i="21"/>
  <c r="BC138" i="21"/>
  <c r="BC139" i="21"/>
  <c r="BC140" i="21"/>
  <c r="BC141" i="21"/>
  <c r="BC142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AY124" i="21"/>
  <c r="AY125" i="21"/>
  <c r="AY126" i="21"/>
  <c r="AY127" i="21"/>
  <c r="AY128" i="21"/>
  <c r="AY129" i="21"/>
  <c r="AY130" i="21"/>
  <c r="AY131" i="21"/>
  <c r="AY132" i="21"/>
  <c r="AY133" i="21"/>
  <c r="AY134" i="21"/>
  <c r="AY135" i="21"/>
  <c r="AY136" i="21"/>
  <c r="AY137" i="21"/>
  <c r="AY138" i="21"/>
  <c r="AY139" i="21"/>
  <c r="AY140" i="21"/>
  <c r="AY141" i="21"/>
  <c r="AY142" i="21"/>
  <c r="AY143" i="21"/>
  <c r="AW124" i="21"/>
  <c r="AW125" i="21"/>
  <c r="AW126" i="21"/>
  <c r="AW127" i="21"/>
  <c r="AW128" i="21"/>
  <c r="AW129" i="21"/>
  <c r="AW130" i="21"/>
  <c r="AW131" i="21"/>
  <c r="AW132" i="21"/>
  <c r="AW133" i="21"/>
  <c r="AW134" i="21"/>
  <c r="AW135" i="21"/>
  <c r="AW136" i="21"/>
  <c r="AW137" i="21"/>
  <c r="AW138" i="21"/>
  <c r="AW139" i="21"/>
  <c r="AW140" i="21"/>
  <c r="AW141" i="21"/>
  <c r="AW142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S124" i="21"/>
  <c r="AS125" i="21"/>
  <c r="AS126" i="21"/>
  <c r="AS127" i="21"/>
  <c r="AS128" i="21"/>
  <c r="AS129" i="21"/>
  <c r="AS130" i="21"/>
  <c r="AS131" i="21"/>
  <c r="AS132" i="21"/>
  <c r="AS133" i="21"/>
  <c r="AS134" i="21"/>
  <c r="AS135" i="21"/>
  <c r="AS136" i="21"/>
  <c r="AS137" i="21"/>
  <c r="AS138" i="21"/>
  <c r="AS139" i="21"/>
  <c r="AS140" i="21"/>
  <c r="AS141" i="21"/>
  <c r="AS142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M124" i="21"/>
  <c r="AM125" i="21"/>
  <c r="AM126" i="21"/>
  <c r="AM127" i="21"/>
  <c r="AM128" i="21"/>
  <c r="AM129" i="21"/>
  <c r="AM130" i="21"/>
  <c r="AM131" i="21"/>
  <c r="AM132" i="21"/>
  <c r="AM133" i="21"/>
  <c r="AM134" i="21"/>
  <c r="AM135" i="21"/>
  <c r="AM136" i="21"/>
  <c r="AM137" i="21"/>
  <c r="AM138" i="21"/>
  <c r="AM139" i="21"/>
  <c r="AM140" i="21"/>
  <c r="AM141" i="21"/>
  <c r="AM142" i="21"/>
  <c r="BI302" i="21" l="1"/>
  <c r="BI303" i="21"/>
  <c r="BI304" i="21"/>
  <c r="BI305" i="21"/>
  <c r="BI306" i="21"/>
  <c r="BI307" i="21"/>
  <c r="BG302" i="21"/>
  <c r="BG303" i="21"/>
  <c r="BG304" i="21"/>
  <c r="BG305" i="21"/>
  <c r="BG306" i="21"/>
  <c r="BG307" i="21"/>
  <c r="BE302" i="21"/>
  <c r="BE303" i="21"/>
  <c r="BE304" i="21"/>
  <c r="BE305" i="21"/>
  <c r="BE306" i="21"/>
  <c r="BE307" i="21"/>
  <c r="BC302" i="21"/>
  <c r="BC303" i="21"/>
  <c r="BC304" i="21"/>
  <c r="BC305" i="21"/>
  <c r="BC306" i="21"/>
  <c r="BC307" i="21"/>
  <c r="BA302" i="21"/>
  <c r="BA303" i="21"/>
  <c r="BA304" i="21"/>
  <c r="BA305" i="21"/>
  <c r="BA306" i="21"/>
  <c r="BA307" i="21"/>
  <c r="AY302" i="21"/>
  <c r="AY303" i="21"/>
  <c r="AY304" i="21"/>
  <c r="AY305" i="21"/>
  <c r="AY306" i="21"/>
  <c r="AY307" i="21"/>
  <c r="AW302" i="21"/>
  <c r="AW303" i="21"/>
  <c r="AW304" i="21"/>
  <c r="AW305" i="21"/>
  <c r="AW306" i="21"/>
  <c r="AW307" i="21"/>
  <c r="AU302" i="21"/>
  <c r="AU303" i="21"/>
  <c r="AU304" i="21"/>
  <c r="AU305" i="21"/>
  <c r="AU306" i="21"/>
  <c r="AU307" i="21"/>
  <c r="AS302" i="21"/>
  <c r="AS303" i="21"/>
  <c r="AS304" i="21"/>
  <c r="AS305" i="21"/>
  <c r="AS306" i="21"/>
  <c r="AS307" i="21"/>
  <c r="AQ302" i="21"/>
  <c r="AQ303" i="21"/>
  <c r="AQ304" i="21"/>
  <c r="AQ305" i="21"/>
  <c r="AQ306" i="21"/>
  <c r="AQ307" i="21"/>
  <c r="AO302" i="21"/>
  <c r="AO303" i="21"/>
  <c r="AO304" i="21"/>
  <c r="AO305" i="21"/>
  <c r="AO306" i="21"/>
  <c r="AO307" i="21"/>
  <c r="AM302" i="21"/>
  <c r="AM303" i="21"/>
  <c r="AM304" i="21"/>
  <c r="AM305" i="21"/>
  <c r="AM306" i="21"/>
  <c r="AM307" i="21"/>
  <c r="BI44" i="21" l="1"/>
  <c r="BI45" i="21"/>
  <c r="BI46" i="21"/>
  <c r="BI47" i="21"/>
  <c r="BI48" i="21"/>
  <c r="BI49" i="21"/>
  <c r="BI50" i="21"/>
  <c r="BI51" i="21"/>
  <c r="BI52" i="21"/>
  <c r="BI53" i="21"/>
  <c r="BI54" i="21"/>
  <c r="BI55" i="21"/>
  <c r="BI56" i="21"/>
  <c r="BI57" i="21"/>
  <c r="BI58" i="21"/>
  <c r="BI59" i="21"/>
  <c r="BI60" i="21"/>
  <c r="BI61" i="21"/>
  <c r="BG44" i="21"/>
  <c r="BG45" i="21"/>
  <c r="BG46" i="21"/>
  <c r="BG47" i="21"/>
  <c r="BG48" i="21"/>
  <c r="BG49" i="21"/>
  <c r="BG50" i="21"/>
  <c r="BG51" i="21"/>
  <c r="BG52" i="21"/>
  <c r="BG53" i="21"/>
  <c r="BG54" i="21"/>
  <c r="BG55" i="21"/>
  <c r="BG56" i="21"/>
  <c r="BG57" i="21"/>
  <c r="BG58" i="21"/>
  <c r="BG59" i="21"/>
  <c r="BG60" i="21"/>
  <c r="BG61" i="21"/>
  <c r="BG62" i="21"/>
  <c r="BE44" i="21"/>
  <c r="BE45" i="21"/>
  <c r="BE46" i="21"/>
  <c r="BE47" i="21"/>
  <c r="BE48" i="21"/>
  <c r="BE49" i="21"/>
  <c r="BE50" i="21"/>
  <c r="BE51" i="21"/>
  <c r="BE52" i="21"/>
  <c r="BE53" i="21"/>
  <c r="BE54" i="21"/>
  <c r="BE55" i="21"/>
  <c r="BE56" i="21"/>
  <c r="BE57" i="21"/>
  <c r="BE58" i="21"/>
  <c r="BE59" i="21"/>
  <c r="BE60" i="21"/>
  <c r="BE61" i="21"/>
  <c r="BC44" i="21"/>
  <c r="BC45" i="21"/>
  <c r="BC46" i="21"/>
  <c r="BC47" i="21"/>
  <c r="BC48" i="21"/>
  <c r="BC49" i="21"/>
  <c r="BC50" i="21"/>
  <c r="BC51" i="21"/>
  <c r="BC52" i="21"/>
  <c r="BC53" i="21"/>
  <c r="BC54" i="21"/>
  <c r="BC55" i="21"/>
  <c r="BC56" i="21"/>
  <c r="BC57" i="21"/>
  <c r="BC58" i="21"/>
  <c r="BC59" i="21"/>
  <c r="BC60" i="21"/>
  <c r="BC61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AY44" i="21"/>
  <c r="AY45" i="21"/>
  <c r="AY46" i="21"/>
  <c r="AY47" i="21"/>
  <c r="AY48" i="21"/>
  <c r="AY49" i="21"/>
  <c r="AY50" i="21"/>
  <c r="AY51" i="21"/>
  <c r="AY52" i="21"/>
  <c r="AY53" i="21"/>
  <c r="AY54" i="21"/>
  <c r="AY55" i="21"/>
  <c r="AY56" i="21"/>
  <c r="AY57" i="21"/>
  <c r="AY58" i="21"/>
  <c r="AY59" i="21"/>
  <c r="AY60" i="21"/>
  <c r="AY61" i="21"/>
  <c r="AY62" i="21"/>
  <c r="AW44" i="21"/>
  <c r="AW45" i="21"/>
  <c r="AW46" i="21"/>
  <c r="AW47" i="21"/>
  <c r="AW48" i="21"/>
  <c r="AW49" i="21"/>
  <c r="AW50" i="21"/>
  <c r="AW51" i="21"/>
  <c r="AW52" i="21"/>
  <c r="AW53" i="21"/>
  <c r="AW54" i="21"/>
  <c r="AW55" i="21"/>
  <c r="AW56" i="21"/>
  <c r="AW57" i="21"/>
  <c r="AW58" i="21"/>
  <c r="AW59" i="21"/>
  <c r="AW60" i="21"/>
  <c r="AW61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S44" i="21"/>
  <c r="AS45" i="21"/>
  <c r="AS46" i="21"/>
  <c r="AS47" i="21"/>
  <c r="AS48" i="21"/>
  <c r="AS49" i="21"/>
  <c r="AS50" i="21"/>
  <c r="AS51" i="21"/>
  <c r="AS52" i="21"/>
  <c r="AS53" i="21"/>
  <c r="AS54" i="21"/>
  <c r="AS55" i="21"/>
  <c r="AS56" i="21"/>
  <c r="AS57" i="21"/>
  <c r="AS58" i="21"/>
  <c r="AS59" i="21"/>
  <c r="AS60" i="21"/>
  <c r="AS61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M44" i="21"/>
  <c r="AM45" i="21"/>
  <c r="AM46" i="21"/>
  <c r="AM47" i="21"/>
  <c r="AM48" i="21"/>
  <c r="AM49" i="21"/>
  <c r="AM50" i="21"/>
  <c r="AM51" i="21"/>
  <c r="AM52" i="21"/>
  <c r="AM53" i="21"/>
  <c r="AM54" i="21"/>
  <c r="AM55" i="21"/>
  <c r="AM56" i="21"/>
  <c r="AM57" i="21"/>
  <c r="AM58" i="21"/>
  <c r="AM59" i="21"/>
  <c r="AM60" i="21"/>
  <c r="AM61" i="21"/>
  <c r="BI18" i="21"/>
  <c r="BI19" i="21"/>
  <c r="BI20" i="21"/>
  <c r="BI21" i="21"/>
  <c r="BI22" i="21"/>
  <c r="BI23" i="21"/>
  <c r="BG18" i="21"/>
  <c r="BG19" i="21"/>
  <c r="BG20" i="21"/>
  <c r="BG21" i="21"/>
  <c r="BG22" i="21"/>
  <c r="BG23" i="21"/>
  <c r="BE18" i="21"/>
  <c r="BE19" i="21"/>
  <c r="BE20" i="21"/>
  <c r="BE21" i="21"/>
  <c r="BE22" i="21"/>
  <c r="BE23" i="21"/>
  <c r="BC18" i="21"/>
  <c r="BC19" i="21"/>
  <c r="BC20" i="21"/>
  <c r="BC21" i="21"/>
  <c r="BC22" i="21"/>
  <c r="BC23" i="21"/>
  <c r="BA18" i="21"/>
  <c r="BA19" i="21"/>
  <c r="BA20" i="21"/>
  <c r="BA21" i="21"/>
  <c r="BA22" i="21"/>
  <c r="BA23" i="21"/>
  <c r="AY18" i="21"/>
  <c r="AY19" i="21"/>
  <c r="AY20" i="21"/>
  <c r="AY21" i="21"/>
  <c r="AY22" i="21"/>
  <c r="AY23" i="21"/>
  <c r="AW18" i="21"/>
  <c r="AW19" i="21"/>
  <c r="AW20" i="21"/>
  <c r="AW21" i="21"/>
  <c r="AW22" i="21"/>
  <c r="AW23" i="21"/>
  <c r="AU18" i="21"/>
  <c r="AU19" i="21"/>
  <c r="AU20" i="21"/>
  <c r="AU21" i="21"/>
  <c r="AU22" i="21"/>
  <c r="AU23" i="21"/>
  <c r="AQ18" i="21"/>
  <c r="AQ19" i="21"/>
  <c r="AQ20" i="21"/>
  <c r="AQ21" i="21"/>
  <c r="AQ22" i="21"/>
  <c r="AQ23" i="21"/>
  <c r="AO18" i="21"/>
  <c r="AO19" i="21"/>
  <c r="AO20" i="21"/>
  <c r="AO21" i="21"/>
  <c r="AO22" i="21"/>
  <c r="AO23" i="21"/>
  <c r="AM18" i="21"/>
  <c r="AM19" i="21"/>
  <c r="AM20" i="21"/>
  <c r="AM21" i="21"/>
  <c r="AM22" i="21"/>
  <c r="AM23" i="21"/>
  <c r="AS18" i="21"/>
  <c r="AS19" i="21"/>
  <c r="AS20" i="21"/>
  <c r="AS21" i="21"/>
  <c r="AS22" i="21"/>
  <c r="AS23" i="21"/>
  <c r="BI211" i="21" l="1"/>
  <c r="BI212" i="21"/>
  <c r="BI213" i="21"/>
  <c r="BI214" i="21"/>
  <c r="BI215" i="21"/>
  <c r="BI216" i="21"/>
  <c r="BI217" i="21"/>
  <c r="BI218" i="21"/>
  <c r="BI219" i="21"/>
  <c r="BI220" i="21"/>
  <c r="BI221" i="21"/>
  <c r="BI222" i="21"/>
  <c r="BI223" i="21"/>
  <c r="BI224" i="21"/>
  <c r="BI225" i="21"/>
  <c r="BI226" i="21"/>
  <c r="BI227" i="21"/>
  <c r="BI228" i="21"/>
  <c r="BI229" i="21"/>
  <c r="BI230" i="21"/>
  <c r="BI231" i="21"/>
  <c r="BI232" i="21"/>
  <c r="BI233" i="21"/>
  <c r="BI234" i="21"/>
  <c r="BG211" i="21"/>
  <c r="BG212" i="21"/>
  <c r="BG213" i="21"/>
  <c r="BG214" i="21"/>
  <c r="BG215" i="21"/>
  <c r="BG216" i="21"/>
  <c r="BG217" i="21"/>
  <c r="BG218" i="21"/>
  <c r="BG219" i="21"/>
  <c r="BG220" i="21"/>
  <c r="BG221" i="21"/>
  <c r="BG222" i="21"/>
  <c r="BG223" i="21"/>
  <c r="BG224" i="21"/>
  <c r="BG225" i="21"/>
  <c r="BG226" i="21"/>
  <c r="BG227" i="21"/>
  <c r="BG228" i="21"/>
  <c r="BG229" i="21"/>
  <c r="BG230" i="21"/>
  <c r="BG231" i="21"/>
  <c r="BG232" i="21"/>
  <c r="BG233" i="21"/>
  <c r="BG234" i="21"/>
  <c r="BE211" i="21"/>
  <c r="BE212" i="21"/>
  <c r="BE213" i="21"/>
  <c r="BE214" i="21"/>
  <c r="BE215" i="21"/>
  <c r="BE216" i="21"/>
  <c r="BE217" i="21"/>
  <c r="BE218" i="21"/>
  <c r="BE219" i="21"/>
  <c r="BE220" i="21"/>
  <c r="BE221" i="21"/>
  <c r="BE222" i="21"/>
  <c r="BE223" i="21"/>
  <c r="BE224" i="21"/>
  <c r="BE225" i="21"/>
  <c r="BE226" i="21"/>
  <c r="BE227" i="21"/>
  <c r="BE228" i="21"/>
  <c r="BE229" i="21"/>
  <c r="BE230" i="21"/>
  <c r="BE231" i="21"/>
  <c r="BE232" i="21"/>
  <c r="BE233" i="21"/>
  <c r="BE234" i="21"/>
  <c r="BE235" i="21"/>
  <c r="BC211" i="21"/>
  <c r="BC212" i="21"/>
  <c r="BC213" i="21"/>
  <c r="BC214" i="21"/>
  <c r="BC215" i="21"/>
  <c r="BC216" i="21"/>
  <c r="BC217" i="21"/>
  <c r="BC218" i="21"/>
  <c r="BC219" i="21"/>
  <c r="BC220" i="21"/>
  <c r="BC221" i="21"/>
  <c r="BC222" i="21"/>
  <c r="BC223" i="21"/>
  <c r="BC224" i="21"/>
  <c r="BC225" i="21"/>
  <c r="BC226" i="21"/>
  <c r="BC227" i="21"/>
  <c r="BC228" i="21"/>
  <c r="BC229" i="21"/>
  <c r="BC230" i="21"/>
  <c r="BC231" i="21"/>
  <c r="BC232" i="21"/>
  <c r="BC233" i="21"/>
  <c r="BC234" i="21"/>
  <c r="BC235" i="21"/>
  <c r="BA211" i="21"/>
  <c r="BA212" i="21"/>
  <c r="BA213" i="21"/>
  <c r="BA214" i="21"/>
  <c r="BA215" i="21"/>
  <c r="BA216" i="21"/>
  <c r="BA217" i="21"/>
  <c r="BA218" i="21"/>
  <c r="BA219" i="21"/>
  <c r="BA220" i="21"/>
  <c r="BA221" i="21"/>
  <c r="BA222" i="21"/>
  <c r="BA223" i="21"/>
  <c r="BA224" i="21"/>
  <c r="BA225" i="21"/>
  <c r="BA226" i="21"/>
  <c r="BA227" i="21"/>
  <c r="BA228" i="21"/>
  <c r="BA229" i="21"/>
  <c r="BA230" i="21"/>
  <c r="BA231" i="21"/>
  <c r="BA232" i="21"/>
  <c r="BA233" i="21"/>
  <c r="BA234" i="21"/>
  <c r="BA235" i="21"/>
  <c r="AY211" i="21"/>
  <c r="AY212" i="21"/>
  <c r="AY213" i="21"/>
  <c r="AY214" i="21"/>
  <c r="AY215" i="21"/>
  <c r="AY216" i="21"/>
  <c r="AY217" i="21"/>
  <c r="AY218" i="21"/>
  <c r="AY219" i="21"/>
  <c r="AY220" i="21"/>
  <c r="AY221" i="21"/>
  <c r="AY222" i="21"/>
  <c r="AY223" i="21"/>
  <c r="AY224" i="21"/>
  <c r="AY225" i="21"/>
  <c r="AY226" i="21"/>
  <c r="AY227" i="21"/>
  <c r="AY228" i="21"/>
  <c r="AY229" i="21"/>
  <c r="AY230" i="21"/>
  <c r="AY231" i="21"/>
  <c r="AY232" i="21"/>
  <c r="AY233" i="21"/>
  <c r="AY234" i="21"/>
  <c r="AY235" i="21"/>
  <c r="AY236" i="21"/>
  <c r="AW211" i="21"/>
  <c r="AW212" i="21"/>
  <c r="AW213" i="21"/>
  <c r="AW214" i="21"/>
  <c r="AW215" i="21"/>
  <c r="AW216" i="21"/>
  <c r="AW217" i="21"/>
  <c r="AW218" i="21"/>
  <c r="AW219" i="21"/>
  <c r="AW220" i="21"/>
  <c r="AW221" i="21"/>
  <c r="AW222" i="21"/>
  <c r="AW223" i="21"/>
  <c r="AW224" i="21"/>
  <c r="AW225" i="21"/>
  <c r="AW226" i="21"/>
  <c r="AW227" i="21"/>
  <c r="AW228" i="21"/>
  <c r="AW229" i="21"/>
  <c r="AW230" i="21"/>
  <c r="AW231" i="21"/>
  <c r="AW232" i="21"/>
  <c r="AW233" i="21"/>
  <c r="AW234" i="21"/>
  <c r="AU211" i="21"/>
  <c r="AU212" i="21"/>
  <c r="AU213" i="21"/>
  <c r="AU214" i="21"/>
  <c r="AU215" i="21"/>
  <c r="AU216" i="21"/>
  <c r="AU217" i="21"/>
  <c r="AU218" i="21"/>
  <c r="AU219" i="21"/>
  <c r="AU220" i="21"/>
  <c r="AU221" i="21"/>
  <c r="AU222" i="21"/>
  <c r="AU223" i="21"/>
  <c r="AU224" i="21"/>
  <c r="AU225" i="21"/>
  <c r="AU226" i="21"/>
  <c r="AU227" i="21"/>
  <c r="AU228" i="21"/>
  <c r="AU229" i="21"/>
  <c r="AU230" i="21"/>
  <c r="AU231" i="21"/>
  <c r="AU232" i="21"/>
  <c r="AU233" i="21"/>
  <c r="AU234" i="21"/>
  <c r="AU235" i="21"/>
  <c r="AU236" i="21"/>
  <c r="AU237" i="21"/>
  <c r="AS211" i="21"/>
  <c r="AS212" i="21"/>
  <c r="AS213" i="21"/>
  <c r="AS214" i="21"/>
  <c r="AS215" i="21"/>
  <c r="AS216" i="21"/>
  <c r="AS217" i="21"/>
  <c r="AS218" i="21"/>
  <c r="AS219" i="21"/>
  <c r="AS220" i="21"/>
  <c r="AS221" i="21"/>
  <c r="AS222" i="21"/>
  <c r="AS223" i="21"/>
  <c r="AS224" i="21"/>
  <c r="AS225" i="21"/>
  <c r="AS226" i="21"/>
  <c r="AS227" i="21"/>
  <c r="AS228" i="21"/>
  <c r="AS229" i="21"/>
  <c r="AS230" i="21"/>
  <c r="AS231" i="21"/>
  <c r="AS232" i="21"/>
  <c r="AS233" i="21"/>
  <c r="AS234" i="21"/>
  <c r="AS235" i="21"/>
  <c r="AQ211" i="21"/>
  <c r="AQ212" i="21"/>
  <c r="AQ213" i="21"/>
  <c r="AQ214" i="21"/>
  <c r="AQ215" i="21"/>
  <c r="AQ216" i="21"/>
  <c r="AQ217" i="21"/>
  <c r="AQ218" i="21"/>
  <c r="AQ219" i="21"/>
  <c r="AQ220" i="21"/>
  <c r="AQ221" i="21"/>
  <c r="AQ222" i="21"/>
  <c r="AQ223" i="21"/>
  <c r="AQ224" i="21"/>
  <c r="AQ225" i="21"/>
  <c r="AQ226" i="21"/>
  <c r="AQ227" i="21"/>
  <c r="AQ228" i="21"/>
  <c r="AQ229" i="21"/>
  <c r="AQ230" i="21"/>
  <c r="AQ231" i="21"/>
  <c r="AQ232" i="21"/>
  <c r="AQ233" i="21"/>
  <c r="AQ234" i="21"/>
  <c r="AM211" i="21"/>
  <c r="AM212" i="21"/>
  <c r="AM213" i="21"/>
  <c r="AM214" i="21"/>
  <c r="AM215" i="21"/>
  <c r="AM216" i="21"/>
  <c r="AM217" i="21"/>
  <c r="AM219" i="21"/>
  <c r="AM220" i="21"/>
  <c r="AM221" i="21"/>
  <c r="AM222" i="21"/>
  <c r="AM223" i="21"/>
  <c r="AM224" i="21"/>
  <c r="AM225" i="21"/>
  <c r="AM226" i="21"/>
  <c r="AM227" i="21"/>
  <c r="AM228" i="21"/>
  <c r="AM229" i="21"/>
  <c r="AM230" i="21"/>
  <c r="AM231" i="21"/>
  <c r="AM232" i="21"/>
  <c r="AM233" i="21"/>
  <c r="AM234" i="21"/>
  <c r="AM235" i="21"/>
  <c r="AM236" i="21"/>
  <c r="AO211" i="21"/>
  <c r="AO212" i="21"/>
  <c r="AO213" i="21"/>
  <c r="AO214" i="21"/>
  <c r="AO215" i="21"/>
  <c r="AO216" i="21"/>
  <c r="AO217" i="21"/>
  <c r="AO218" i="21"/>
  <c r="AO219" i="21"/>
  <c r="AO220" i="21"/>
  <c r="AO221" i="21"/>
  <c r="AO222" i="21"/>
  <c r="AO223" i="21"/>
  <c r="AO224" i="21"/>
  <c r="AO225" i="21"/>
  <c r="AO226" i="21"/>
  <c r="AO227" i="21"/>
  <c r="AO228" i="21"/>
  <c r="AO229" i="21"/>
  <c r="AO230" i="21"/>
  <c r="AO231" i="21"/>
  <c r="AO232" i="21"/>
  <c r="AO233" i="21"/>
  <c r="AO234" i="21"/>
  <c r="BI485" i="21" l="1"/>
  <c r="BI486" i="21"/>
  <c r="BI487" i="21"/>
  <c r="BI488" i="21"/>
  <c r="BI489" i="21"/>
  <c r="BI490" i="21"/>
  <c r="BI491" i="21"/>
  <c r="BI492" i="21"/>
  <c r="BI493" i="21"/>
  <c r="BI494" i="21"/>
  <c r="BI495" i="21"/>
  <c r="BI496" i="21"/>
  <c r="BI497" i="21"/>
  <c r="BI498" i="21"/>
  <c r="BI499" i="21"/>
  <c r="BI500" i="21"/>
  <c r="BI501" i="21"/>
  <c r="BI502" i="21"/>
  <c r="BI503" i="21"/>
  <c r="BI504" i="21"/>
  <c r="BI505" i="21"/>
  <c r="BI506" i="21"/>
  <c r="BI507" i="21"/>
  <c r="BI508" i="21"/>
  <c r="BI509" i="21"/>
  <c r="BI510" i="21"/>
  <c r="BI511" i="21"/>
  <c r="BI512" i="21"/>
  <c r="BI513" i="21"/>
  <c r="BI514" i="21"/>
  <c r="BI515" i="21"/>
  <c r="BI516" i="21"/>
  <c r="BI517" i="21"/>
  <c r="BI518" i="21"/>
  <c r="BI519" i="21"/>
  <c r="BG485" i="21"/>
  <c r="BG486" i="21"/>
  <c r="BG487" i="21"/>
  <c r="BG488" i="21"/>
  <c r="BG489" i="21"/>
  <c r="BG490" i="21"/>
  <c r="BG491" i="21"/>
  <c r="BG492" i="21"/>
  <c r="BG493" i="21"/>
  <c r="BG494" i="21"/>
  <c r="BG495" i="21"/>
  <c r="BG496" i="21"/>
  <c r="BG497" i="21"/>
  <c r="BG498" i="21"/>
  <c r="BG499" i="21"/>
  <c r="BG500" i="21"/>
  <c r="BG501" i="21"/>
  <c r="BG502" i="21"/>
  <c r="BG503" i="21"/>
  <c r="BG504" i="21"/>
  <c r="BG505" i="21"/>
  <c r="BG506" i="21"/>
  <c r="BG507" i="21"/>
  <c r="BG508" i="21"/>
  <c r="BG509" i="21"/>
  <c r="BG510" i="21"/>
  <c r="BG511" i="21"/>
  <c r="BG512" i="21"/>
  <c r="BG513" i="21"/>
  <c r="BG514" i="21"/>
  <c r="BG515" i="21"/>
  <c r="BG516" i="21"/>
  <c r="BG517" i="21"/>
  <c r="BG518" i="21"/>
  <c r="BE485" i="21"/>
  <c r="BE486" i="21"/>
  <c r="BE487" i="21"/>
  <c r="BE488" i="21"/>
  <c r="BE489" i="21"/>
  <c r="BE490" i="21"/>
  <c r="BE491" i="21"/>
  <c r="BE492" i="21"/>
  <c r="BE493" i="21"/>
  <c r="BE494" i="21"/>
  <c r="BE495" i="21"/>
  <c r="BE496" i="21"/>
  <c r="BE497" i="21"/>
  <c r="BE498" i="21"/>
  <c r="BE499" i="21"/>
  <c r="BE500" i="21"/>
  <c r="BE501" i="21"/>
  <c r="BE502" i="21"/>
  <c r="BE503" i="21"/>
  <c r="BE504" i="21"/>
  <c r="BE505" i="21"/>
  <c r="BE506" i="21"/>
  <c r="BE507" i="21"/>
  <c r="BE508" i="21"/>
  <c r="BE509" i="21"/>
  <c r="BE510" i="21"/>
  <c r="BE511" i="21"/>
  <c r="BE512" i="21"/>
  <c r="BE513" i="21"/>
  <c r="BE514" i="21"/>
  <c r="BE515" i="21"/>
  <c r="BE516" i="21"/>
  <c r="BE517" i="21"/>
  <c r="BE518" i="21"/>
  <c r="BC485" i="21"/>
  <c r="BC486" i="21"/>
  <c r="BC487" i="21"/>
  <c r="BC488" i="21"/>
  <c r="BC489" i="21"/>
  <c r="BC490" i="21"/>
  <c r="BC491" i="21"/>
  <c r="BC492" i="21"/>
  <c r="BC493" i="21"/>
  <c r="BC494" i="21"/>
  <c r="BC495" i="21"/>
  <c r="BC496" i="21"/>
  <c r="BC497" i="21"/>
  <c r="BC498" i="21"/>
  <c r="BC499" i="21"/>
  <c r="BC500" i="21"/>
  <c r="BC501" i="21"/>
  <c r="BC502" i="21"/>
  <c r="BC503" i="21"/>
  <c r="BC504" i="21"/>
  <c r="BC505" i="21"/>
  <c r="BC506" i="21"/>
  <c r="BC507" i="21"/>
  <c r="BC508" i="21"/>
  <c r="BC509" i="21"/>
  <c r="BC510" i="21"/>
  <c r="BC511" i="21"/>
  <c r="BC512" i="21"/>
  <c r="BC513" i="21"/>
  <c r="BC514" i="21"/>
  <c r="BC515" i="21"/>
  <c r="BC516" i="21"/>
  <c r="BC517" i="21"/>
  <c r="BC518" i="21"/>
  <c r="BC519" i="21"/>
  <c r="BA485" i="21"/>
  <c r="BA486" i="21"/>
  <c r="BA487" i="21"/>
  <c r="BA488" i="21"/>
  <c r="BA489" i="21"/>
  <c r="BA490" i="21"/>
  <c r="BA491" i="21"/>
  <c r="BA492" i="21"/>
  <c r="BA493" i="21"/>
  <c r="BA494" i="21"/>
  <c r="BA495" i="21"/>
  <c r="BA496" i="21"/>
  <c r="BA497" i="21"/>
  <c r="BA498" i="21"/>
  <c r="BA499" i="21"/>
  <c r="BA500" i="21"/>
  <c r="BA501" i="21"/>
  <c r="BA502" i="21"/>
  <c r="BA503" i="21"/>
  <c r="BA504" i="21"/>
  <c r="BA505" i="21"/>
  <c r="BA506" i="21"/>
  <c r="BA507" i="21"/>
  <c r="BA508" i="21"/>
  <c r="BA509" i="21"/>
  <c r="BA510" i="21"/>
  <c r="BA511" i="21"/>
  <c r="BA512" i="21"/>
  <c r="BA513" i="21"/>
  <c r="BA514" i="21"/>
  <c r="BA515" i="21"/>
  <c r="BA516" i="21"/>
  <c r="BA517" i="21"/>
  <c r="BA518" i="21"/>
  <c r="AY485" i="21"/>
  <c r="AY486" i="21"/>
  <c r="AY487" i="21"/>
  <c r="AY488" i="21"/>
  <c r="AY489" i="21"/>
  <c r="AY490" i="21"/>
  <c r="AY491" i="21"/>
  <c r="AY492" i="21"/>
  <c r="AY493" i="21"/>
  <c r="AY494" i="21"/>
  <c r="AY495" i="21"/>
  <c r="AY496" i="21"/>
  <c r="AY497" i="21"/>
  <c r="AY498" i="21"/>
  <c r="AY499" i="21"/>
  <c r="AY500" i="21"/>
  <c r="AY501" i="21"/>
  <c r="AY502" i="21"/>
  <c r="AY503" i="21"/>
  <c r="AY504" i="21"/>
  <c r="AY505" i="21"/>
  <c r="AY506" i="21"/>
  <c r="AY507" i="21"/>
  <c r="AY508" i="21"/>
  <c r="AY509" i="21"/>
  <c r="AY510" i="21"/>
  <c r="AY511" i="21"/>
  <c r="AY512" i="21"/>
  <c r="AY513" i="21"/>
  <c r="AY514" i="21"/>
  <c r="AY515" i="21"/>
  <c r="AY516" i="21"/>
  <c r="AY517" i="21"/>
  <c r="AY518" i="21"/>
  <c r="AW485" i="21"/>
  <c r="AW486" i="21"/>
  <c r="AW487" i="21"/>
  <c r="AW488" i="21"/>
  <c r="AW489" i="21"/>
  <c r="AW490" i="21"/>
  <c r="AW491" i="21"/>
  <c r="AW492" i="21"/>
  <c r="AW493" i="21"/>
  <c r="AW494" i="21"/>
  <c r="AW495" i="21"/>
  <c r="AW496" i="21"/>
  <c r="AW497" i="21"/>
  <c r="AW498" i="21"/>
  <c r="AW499" i="21"/>
  <c r="AW500" i="21"/>
  <c r="AW501" i="21"/>
  <c r="AW502" i="21"/>
  <c r="AW503" i="21"/>
  <c r="AW504" i="21"/>
  <c r="AW505" i="21"/>
  <c r="AW506" i="21"/>
  <c r="AW507" i="21"/>
  <c r="AW508" i="21"/>
  <c r="AW509" i="21"/>
  <c r="AW510" i="21"/>
  <c r="AW511" i="21"/>
  <c r="AW512" i="21"/>
  <c r="AW513" i="21"/>
  <c r="AW514" i="21"/>
  <c r="AW515" i="21"/>
  <c r="AW516" i="21"/>
  <c r="AW517" i="21"/>
  <c r="AW518" i="21"/>
  <c r="AU485" i="21"/>
  <c r="AU486" i="21"/>
  <c r="AU487" i="21"/>
  <c r="AU488" i="21"/>
  <c r="AU489" i="21"/>
  <c r="AU490" i="21"/>
  <c r="AU491" i="21"/>
  <c r="AU492" i="21"/>
  <c r="AU493" i="21"/>
  <c r="AU494" i="21"/>
  <c r="AU495" i="21"/>
  <c r="AU496" i="21"/>
  <c r="AU497" i="21"/>
  <c r="AU498" i="21"/>
  <c r="AU499" i="21"/>
  <c r="AU500" i="21"/>
  <c r="AU501" i="21"/>
  <c r="AU502" i="21"/>
  <c r="AU503" i="21"/>
  <c r="AU504" i="21"/>
  <c r="AU505" i="21"/>
  <c r="AU506" i="21"/>
  <c r="AU507" i="21"/>
  <c r="AU508" i="21"/>
  <c r="AU509" i="21"/>
  <c r="AU510" i="21"/>
  <c r="AU511" i="21"/>
  <c r="AU512" i="21"/>
  <c r="AU513" i="21"/>
  <c r="AU514" i="21"/>
  <c r="AU515" i="21"/>
  <c r="AU516" i="21"/>
  <c r="AU517" i="21"/>
  <c r="AU518" i="21"/>
  <c r="AS485" i="21"/>
  <c r="AS486" i="21"/>
  <c r="AS487" i="21"/>
  <c r="AS488" i="21"/>
  <c r="AS489" i="21"/>
  <c r="AS490" i="21"/>
  <c r="AS491" i="21"/>
  <c r="AS492" i="21"/>
  <c r="AS493" i="21"/>
  <c r="AS494" i="21"/>
  <c r="AS495" i="21"/>
  <c r="AS496" i="21"/>
  <c r="AS497" i="21"/>
  <c r="AS498" i="21"/>
  <c r="AS499" i="21"/>
  <c r="AS500" i="21"/>
  <c r="AS501" i="21"/>
  <c r="AS502" i="21"/>
  <c r="AS503" i="21"/>
  <c r="AS504" i="21"/>
  <c r="AS505" i="21"/>
  <c r="AS506" i="21"/>
  <c r="AS507" i="21"/>
  <c r="AS508" i="21"/>
  <c r="AS509" i="21"/>
  <c r="AS510" i="21"/>
  <c r="AS511" i="21"/>
  <c r="AS512" i="21"/>
  <c r="AS513" i="21"/>
  <c r="AS514" i="21"/>
  <c r="AS515" i="21"/>
  <c r="AS516" i="21"/>
  <c r="AS517" i="21"/>
  <c r="AS518" i="21"/>
  <c r="AS519" i="21"/>
  <c r="AQ485" i="21"/>
  <c r="AQ486" i="21"/>
  <c r="AQ487" i="21"/>
  <c r="AQ488" i="21"/>
  <c r="AQ489" i="21"/>
  <c r="AQ490" i="21"/>
  <c r="AQ491" i="21"/>
  <c r="AQ492" i="21"/>
  <c r="AQ493" i="21"/>
  <c r="AQ494" i="21"/>
  <c r="AQ495" i="21"/>
  <c r="AQ496" i="21"/>
  <c r="AQ497" i="21"/>
  <c r="AQ498" i="21"/>
  <c r="AQ499" i="21"/>
  <c r="AQ500" i="21"/>
  <c r="AQ501" i="21"/>
  <c r="AQ502" i="21"/>
  <c r="AQ503" i="21"/>
  <c r="AQ504" i="21"/>
  <c r="AQ505" i="21"/>
  <c r="AQ506" i="21"/>
  <c r="AQ507" i="21"/>
  <c r="AQ508" i="21"/>
  <c r="AQ509" i="21"/>
  <c r="AQ510" i="21"/>
  <c r="AQ511" i="21"/>
  <c r="AQ512" i="21"/>
  <c r="AQ513" i="21"/>
  <c r="AQ514" i="21"/>
  <c r="AQ515" i="21"/>
  <c r="AQ516" i="21"/>
  <c r="AQ517" i="21"/>
  <c r="AQ518" i="21"/>
  <c r="AO485" i="21"/>
  <c r="AO486" i="21"/>
  <c r="AO487" i="21"/>
  <c r="AO488" i="21"/>
  <c r="AO489" i="21"/>
  <c r="AO490" i="21"/>
  <c r="AO491" i="21"/>
  <c r="AO492" i="21"/>
  <c r="AO493" i="21"/>
  <c r="AO494" i="21"/>
  <c r="AO495" i="21"/>
  <c r="AO496" i="21"/>
  <c r="AO497" i="21"/>
  <c r="AO498" i="21"/>
  <c r="AO499" i="21"/>
  <c r="AO500" i="21"/>
  <c r="AO501" i="21"/>
  <c r="AO502" i="21"/>
  <c r="AO503" i="21"/>
  <c r="AO504" i="21"/>
  <c r="AO505" i="21"/>
  <c r="AO506" i="21"/>
  <c r="AO507" i="21"/>
  <c r="AO508" i="21"/>
  <c r="AO509" i="21"/>
  <c r="AO510" i="21"/>
  <c r="AO511" i="21"/>
  <c r="AO512" i="21"/>
  <c r="AO513" i="21"/>
  <c r="AO514" i="21"/>
  <c r="AO515" i="21"/>
  <c r="AO516" i="21"/>
  <c r="AO517" i="21"/>
  <c r="AO518" i="21"/>
  <c r="AO519" i="21"/>
  <c r="AM485" i="21"/>
  <c r="AM486" i="21"/>
  <c r="AM487" i="21"/>
  <c r="AM488" i="21"/>
  <c r="AM489" i="21"/>
  <c r="AM490" i="21"/>
  <c r="AM491" i="21"/>
  <c r="AM492" i="21"/>
  <c r="AM493" i="21"/>
  <c r="AM494" i="21"/>
  <c r="AM495" i="21"/>
  <c r="AM496" i="21"/>
  <c r="AM497" i="21"/>
  <c r="AM498" i="21"/>
  <c r="AM499" i="21"/>
  <c r="AM500" i="21"/>
  <c r="AM501" i="21"/>
  <c r="AM502" i="21"/>
  <c r="AM503" i="21"/>
  <c r="AM504" i="21"/>
  <c r="AM505" i="21"/>
  <c r="AM506" i="21"/>
  <c r="AM507" i="21"/>
  <c r="AM508" i="21"/>
  <c r="AM509" i="21"/>
  <c r="AM510" i="21"/>
  <c r="AM511" i="21"/>
  <c r="AM512" i="21"/>
  <c r="AM513" i="21"/>
  <c r="AM514" i="21"/>
  <c r="AM515" i="21"/>
  <c r="AM516" i="21"/>
  <c r="AM517" i="21"/>
  <c r="AM518" i="21"/>
  <c r="AM519" i="21"/>
  <c r="BI4" i="21"/>
  <c r="BI5" i="21"/>
  <c r="BI6" i="21"/>
  <c r="BI7" i="21"/>
  <c r="BI8" i="21"/>
  <c r="BI9" i="21"/>
  <c r="BI10" i="21"/>
  <c r="BI11" i="21"/>
  <c r="BI12" i="21"/>
  <c r="BI13" i="21"/>
  <c r="BI14" i="21"/>
  <c r="BI15" i="21"/>
  <c r="BI16" i="21"/>
  <c r="BI17" i="21"/>
  <c r="BI24" i="21"/>
  <c r="BI25" i="21"/>
  <c r="BI26" i="21"/>
  <c r="BI27" i="21"/>
  <c r="BI28" i="21"/>
  <c r="BI29" i="21"/>
  <c r="BI30" i="21"/>
  <c r="BI31" i="21"/>
  <c r="BI32" i="21"/>
  <c r="BI33" i="21"/>
  <c r="BI34" i="21"/>
  <c r="BI35" i="21"/>
  <c r="BI36" i="21"/>
  <c r="BI37" i="21"/>
  <c r="BI38" i="21"/>
  <c r="BI39" i="21"/>
  <c r="BI40" i="21"/>
  <c r="BI41" i="21"/>
  <c r="BI42" i="21"/>
  <c r="BI43" i="21"/>
  <c r="BI62" i="21"/>
  <c r="BI63" i="21"/>
  <c r="BI64" i="21"/>
  <c r="BI65" i="21"/>
  <c r="BI66" i="21"/>
  <c r="BI67" i="21"/>
  <c r="BI68" i="21"/>
  <c r="BI69" i="21"/>
  <c r="BI70" i="21"/>
  <c r="BI71" i="21"/>
  <c r="BI72" i="21"/>
  <c r="BI73" i="21"/>
  <c r="BI74" i="21"/>
  <c r="BI75" i="21"/>
  <c r="BI76" i="21"/>
  <c r="BI77" i="21"/>
  <c r="BI78" i="21"/>
  <c r="BI79" i="21"/>
  <c r="BI80" i="21"/>
  <c r="BI81" i="21"/>
  <c r="BI82" i="21"/>
  <c r="BI83" i="21"/>
  <c r="BI84" i="21"/>
  <c r="BI85" i="21"/>
  <c r="BI86" i="21"/>
  <c r="BI87" i="21"/>
  <c r="BI88" i="21"/>
  <c r="BI89" i="21"/>
  <c r="BI90" i="21"/>
  <c r="BI91" i="21"/>
  <c r="BI92" i="21"/>
  <c r="BI93" i="21"/>
  <c r="BI94" i="21"/>
  <c r="BI95" i="21"/>
  <c r="BI96" i="21"/>
  <c r="BI97" i="21"/>
  <c r="BI98" i="21"/>
  <c r="BI99" i="21"/>
  <c r="BI100" i="21"/>
  <c r="BI101" i="21"/>
  <c r="BI102" i="21"/>
  <c r="BI103" i="21"/>
  <c r="BI104" i="21"/>
  <c r="BI105" i="21"/>
  <c r="BI106" i="21"/>
  <c r="BI107" i="21"/>
  <c r="BI108" i="21"/>
  <c r="BI109" i="21"/>
  <c r="BI110" i="21"/>
  <c r="BI111" i="21"/>
  <c r="BI112" i="21"/>
  <c r="BI113" i="21"/>
  <c r="BI114" i="21"/>
  <c r="BI115" i="21"/>
  <c r="BI116" i="21"/>
  <c r="BI117" i="21"/>
  <c r="BI118" i="21"/>
  <c r="BI119" i="21"/>
  <c r="BI120" i="21"/>
  <c r="BI121" i="21"/>
  <c r="BI122" i="21"/>
  <c r="BI123" i="21"/>
  <c r="BI143" i="21"/>
  <c r="BI144" i="21"/>
  <c r="BI145" i="21"/>
  <c r="BI146" i="21"/>
  <c r="BI147" i="21"/>
  <c r="BI148" i="21"/>
  <c r="BI149" i="21"/>
  <c r="BI150" i="21"/>
  <c r="BI151" i="21"/>
  <c r="BI152" i="21"/>
  <c r="BI153" i="21"/>
  <c r="BI154" i="21"/>
  <c r="BI155" i="21"/>
  <c r="BI156" i="21"/>
  <c r="BI157" i="21"/>
  <c r="BI158" i="21"/>
  <c r="BI159" i="21"/>
  <c r="BI160" i="21"/>
  <c r="BI161" i="21"/>
  <c r="BI162" i="21"/>
  <c r="BI163" i="21"/>
  <c r="BI164" i="21"/>
  <c r="BI165" i="21"/>
  <c r="BI166" i="21"/>
  <c r="BI167" i="21"/>
  <c r="BI168" i="21"/>
  <c r="BI169" i="21"/>
  <c r="BI170" i="21"/>
  <c r="BI171" i="21"/>
  <c r="BI172" i="21"/>
  <c r="BI173" i="21"/>
  <c r="BI174" i="21"/>
  <c r="BI175" i="21"/>
  <c r="BI176" i="21"/>
  <c r="BI177" i="21"/>
  <c r="BI178" i="21"/>
  <c r="BI179" i="21"/>
  <c r="BI180" i="21"/>
  <c r="BI181" i="21"/>
  <c r="BI182" i="21"/>
  <c r="BI183" i="21"/>
  <c r="BI184" i="21"/>
  <c r="BI185" i="21"/>
  <c r="BI186" i="21"/>
  <c r="BI187" i="21"/>
  <c r="BI188" i="21"/>
  <c r="BI189" i="21"/>
  <c r="BI190" i="21"/>
  <c r="BI191" i="21"/>
  <c r="BI192" i="21"/>
  <c r="BI193" i="21"/>
  <c r="BI194" i="21"/>
  <c r="BI195" i="21"/>
  <c r="BI196" i="21"/>
  <c r="BI197" i="21"/>
  <c r="BI198" i="21"/>
  <c r="BI199" i="21"/>
  <c r="BI200" i="21"/>
  <c r="BI201" i="21"/>
  <c r="BI202" i="21"/>
  <c r="BI203" i="21"/>
  <c r="BI204" i="21"/>
  <c r="BI205" i="21"/>
  <c r="BI206" i="21"/>
  <c r="BI207" i="21"/>
  <c r="BI208" i="21"/>
  <c r="BI209" i="21"/>
  <c r="BI210" i="21"/>
  <c r="BI235" i="21"/>
  <c r="BI236" i="21"/>
  <c r="BI237" i="21"/>
  <c r="BI238" i="21"/>
  <c r="BI239" i="21"/>
  <c r="BI240" i="21"/>
  <c r="BI241" i="21"/>
  <c r="BI242" i="21"/>
  <c r="BI243" i="21"/>
  <c r="BI244" i="21"/>
  <c r="BI245" i="21"/>
  <c r="BI246" i="21"/>
  <c r="BI247" i="21"/>
  <c r="BI248" i="21"/>
  <c r="BI249" i="21"/>
  <c r="BI250" i="21"/>
  <c r="BI251" i="21"/>
  <c r="BI252" i="21"/>
  <c r="BI253" i="21"/>
  <c r="BI254" i="21"/>
  <c r="BI255" i="21"/>
  <c r="BI256" i="21"/>
  <c r="BI257" i="21"/>
  <c r="BI258" i="21"/>
  <c r="BI259" i="21"/>
  <c r="BI260" i="21"/>
  <c r="BI261" i="21"/>
  <c r="BI262" i="21"/>
  <c r="BI263" i="21"/>
  <c r="BI264" i="21"/>
  <c r="BI265" i="21"/>
  <c r="BI266" i="21"/>
  <c r="BI267" i="21"/>
  <c r="BI268" i="21"/>
  <c r="BI269" i="21"/>
  <c r="BI270" i="21"/>
  <c r="BI271" i="21"/>
  <c r="BI272" i="21"/>
  <c r="BI273" i="21"/>
  <c r="BI274" i="21"/>
  <c r="BI275" i="21"/>
  <c r="BI276" i="21"/>
  <c r="BI277" i="21"/>
  <c r="BI278" i="21"/>
  <c r="BI279" i="21"/>
  <c r="BI280" i="21"/>
  <c r="BI281" i="21"/>
  <c r="BI282" i="21"/>
  <c r="BI283" i="21"/>
  <c r="BI284" i="21"/>
  <c r="BI285" i="21"/>
  <c r="BI286" i="21"/>
  <c r="BI287" i="21"/>
  <c r="BI288" i="21"/>
  <c r="BI289" i="21"/>
  <c r="BI290" i="21"/>
  <c r="BI291" i="21"/>
  <c r="BI292" i="21"/>
  <c r="BI293" i="21"/>
  <c r="BI294" i="21"/>
  <c r="BI295" i="21"/>
  <c r="BI296" i="21"/>
  <c r="BI297" i="21"/>
  <c r="BI298" i="21"/>
  <c r="BI299" i="21"/>
  <c r="BI300" i="21"/>
  <c r="BI301" i="21"/>
  <c r="BI308" i="21"/>
  <c r="BI309" i="21"/>
  <c r="BI310" i="21"/>
  <c r="BI311" i="21"/>
  <c r="BI312" i="21"/>
  <c r="BI313" i="21"/>
  <c r="BI314" i="21"/>
  <c r="BI315" i="21"/>
  <c r="BI316" i="21"/>
  <c r="BI317" i="21"/>
  <c r="BI318" i="21"/>
  <c r="BI319" i="21"/>
  <c r="BI320" i="21"/>
  <c r="BI321" i="21"/>
  <c r="BI322" i="21"/>
  <c r="BI323" i="21"/>
  <c r="BI324" i="21"/>
  <c r="BI325" i="21"/>
  <c r="BI326" i="21"/>
  <c r="BI327" i="21"/>
  <c r="BI328" i="21"/>
  <c r="BI329" i="21"/>
  <c r="BI330" i="21"/>
  <c r="BI331" i="21"/>
  <c r="BI332" i="21"/>
  <c r="BI333" i="21"/>
  <c r="BI334" i="21"/>
  <c r="BI335" i="21"/>
  <c r="BI345" i="21"/>
  <c r="BI346" i="21"/>
  <c r="BI347" i="21"/>
  <c r="BI348" i="21"/>
  <c r="BI349" i="21"/>
  <c r="BI350" i="21"/>
  <c r="BI351" i="21"/>
  <c r="BI352" i="21"/>
  <c r="BI353" i="21"/>
  <c r="BI354" i="21"/>
  <c r="BI355" i="21"/>
  <c r="BI356" i="21"/>
  <c r="BI357" i="21"/>
  <c r="BI358" i="21"/>
  <c r="BI359" i="21"/>
  <c r="BI360" i="21"/>
  <c r="BI361" i="21"/>
  <c r="BI362" i="21"/>
  <c r="BI363" i="21"/>
  <c r="BI364" i="21"/>
  <c r="BI365" i="21"/>
  <c r="BI366" i="21"/>
  <c r="BI367" i="21"/>
  <c r="BI368" i="21"/>
  <c r="BI369" i="21"/>
  <c r="BI370" i="21"/>
  <c r="BI371" i="21"/>
  <c r="BI372" i="21"/>
  <c r="BI373" i="21"/>
  <c r="BI374" i="21"/>
  <c r="BI375" i="21"/>
  <c r="BI376" i="21"/>
  <c r="BI377" i="21"/>
  <c r="BI378" i="21"/>
  <c r="BI379" i="21"/>
  <c r="BI380" i="21"/>
  <c r="BI381" i="21"/>
  <c r="BI382" i="21"/>
  <c r="BI383" i="21"/>
  <c r="BI384" i="21"/>
  <c r="BI385" i="21"/>
  <c r="BI386" i="21"/>
  <c r="BI387" i="21"/>
  <c r="BI388" i="21"/>
  <c r="BI389" i="21"/>
  <c r="BI390" i="21"/>
  <c r="BI391" i="21"/>
  <c r="BI392" i="21"/>
  <c r="BI393" i="21"/>
  <c r="BI394" i="21"/>
  <c r="BI395" i="21"/>
  <c r="BI396" i="21"/>
  <c r="BI397" i="21"/>
  <c r="BI398" i="21"/>
  <c r="BI399" i="21"/>
  <c r="BI400" i="21"/>
  <c r="BI401" i="21"/>
  <c r="BI402" i="21"/>
  <c r="BI403" i="21"/>
  <c r="BI404" i="21"/>
  <c r="BI405" i="21"/>
  <c r="BI406" i="21"/>
  <c r="BI407" i="21"/>
  <c r="BI408" i="21"/>
  <c r="BI409" i="21"/>
  <c r="BI410" i="21"/>
  <c r="BI411" i="21"/>
  <c r="BI412" i="21"/>
  <c r="BI413" i="21"/>
  <c r="BI414" i="21"/>
  <c r="BI415" i="21"/>
  <c r="BI416" i="21"/>
  <c r="BI417" i="21"/>
  <c r="BI418" i="21"/>
  <c r="BI419" i="21"/>
  <c r="BI420" i="21"/>
  <c r="BI421" i="21"/>
  <c r="BI422" i="21"/>
  <c r="BI423" i="21"/>
  <c r="BI424" i="21"/>
  <c r="BI425" i="21"/>
  <c r="BI426" i="21"/>
  <c r="BI427" i="21"/>
  <c r="BI428" i="21"/>
  <c r="BI429" i="21"/>
  <c r="BI430" i="21"/>
  <c r="BI431" i="21"/>
  <c r="BI432" i="21"/>
  <c r="BI433" i="21"/>
  <c r="BI434" i="21"/>
  <c r="BI435" i="21"/>
  <c r="BI436" i="21"/>
  <c r="BI437" i="21"/>
  <c r="BI438" i="21"/>
  <c r="BI439" i="21"/>
  <c r="BI440" i="21"/>
  <c r="BI441" i="21"/>
  <c r="BI442" i="21"/>
  <c r="BI443" i="21"/>
  <c r="BI444" i="21"/>
  <c r="BI445" i="21"/>
  <c r="BI446" i="21"/>
  <c r="BI447" i="21"/>
  <c r="BI448" i="21"/>
  <c r="BI449" i="21"/>
  <c r="BI450" i="21"/>
  <c r="BI451" i="21"/>
  <c r="BI452" i="21"/>
  <c r="BI453" i="21"/>
  <c r="BI454" i="21"/>
  <c r="BI455" i="21"/>
  <c r="BI456" i="21"/>
  <c r="BI457" i="21"/>
  <c r="BI458" i="21"/>
  <c r="BI459" i="21"/>
  <c r="BI460" i="21"/>
  <c r="BI461" i="21"/>
  <c r="BI462" i="21"/>
  <c r="BI463" i="21"/>
  <c r="BI464" i="21"/>
  <c r="BI465" i="21"/>
  <c r="BI466" i="21"/>
  <c r="BI467" i="21"/>
  <c r="BI468" i="21"/>
  <c r="BI469" i="21"/>
  <c r="BI470" i="21"/>
  <c r="BI471" i="21"/>
  <c r="BI472" i="21"/>
  <c r="BI473" i="21"/>
  <c r="BI474" i="21"/>
  <c r="BI475" i="21"/>
  <c r="BI476" i="21"/>
  <c r="BI477" i="21"/>
  <c r="BI478" i="21"/>
  <c r="BI479" i="21"/>
  <c r="BI480" i="21"/>
  <c r="BI481" i="21"/>
  <c r="BI482" i="21"/>
  <c r="BI483" i="21"/>
  <c r="BI484" i="21"/>
  <c r="BG4" i="21"/>
  <c r="BG5" i="21"/>
  <c r="BG6" i="21"/>
  <c r="BG7" i="21"/>
  <c r="BG8" i="21"/>
  <c r="BG9" i="21"/>
  <c r="BG10" i="21"/>
  <c r="BG11" i="21"/>
  <c r="BG12" i="21"/>
  <c r="BG13" i="21"/>
  <c r="BG14" i="21"/>
  <c r="BG15" i="21"/>
  <c r="BG16" i="21"/>
  <c r="BG17" i="21"/>
  <c r="BG24" i="21"/>
  <c r="BG25" i="21"/>
  <c r="BG26" i="21"/>
  <c r="BG27" i="21"/>
  <c r="BG28" i="21"/>
  <c r="BG29" i="21"/>
  <c r="BG30" i="21"/>
  <c r="BG31" i="21"/>
  <c r="BG32" i="21"/>
  <c r="BG33" i="21"/>
  <c r="BG34" i="21"/>
  <c r="BG35" i="21"/>
  <c r="BG36" i="21"/>
  <c r="BG37" i="21"/>
  <c r="BG38" i="21"/>
  <c r="BG39" i="21"/>
  <c r="BG40" i="21"/>
  <c r="BG41" i="21"/>
  <c r="BG42" i="21"/>
  <c r="BG43" i="21"/>
  <c r="BG63" i="21"/>
  <c r="BG64" i="21"/>
  <c r="BG65" i="21"/>
  <c r="BG66" i="21"/>
  <c r="BG67" i="21"/>
  <c r="BG68" i="21"/>
  <c r="BG69" i="21"/>
  <c r="BG70" i="21"/>
  <c r="BG71" i="21"/>
  <c r="BG72" i="21"/>
  <c r="BG73" i="21"/>
  <c r="BG74" i="21"/>
  <c r="BG75" i="21"/>
  <c r="BG76" i="21"/>
  <c r="BG77" i="21"/>
  <c r="BG78" i="21"/>
  <c r="BG79" i="21"/>
  <c r="BG80" i="21"/>
  <c r="BG81" i="21"/>
  <c r="BG82" i="21"/>
  <c r="BG83" i="21"/>
  <c r="BG84" i="21"/>
  <c r="BG85" i="21"/>
  <c r="BG86" i="21"/>
  <c r="BG87" i="21"/>
  <c r="BG88" i="21"/>
  <c r="BG89" i="21"/>
  <c r="BG90" i="21"/>
  <c r="BG91" i="21"/>
  <c r="BG92" i="21"/>
  <c r="BG93" i="21"/>
  <c r="BG94" i="21"/>
  <c r="BG95" i="21"/>
  <c r="BG96" i="21"/>
  <c r="BG97" i="21"/>
  <c r="BG98" i="21"/>
  <c r="BG99" i="21"/>
  <c r="BG100" i="21"/>
  <c r="BG101" i="21"/>
  <c r="BG102" i="21"/>
  <c r="BG103" i="21"/>
  <c r="BG104" i="21"/>
  <c r="BG105" i="21"/>
  <c r="BG106" i="21"/>
  <c r="BG107" i="21"/>
  <c r="BG108" i="21"/>
  <c r="BG109" i="21"/>
  <c r="BG110" i="21"/>
  <c r="BG111" i="21"/>
  <c r="BG112" i="21"/>
  <c r="BG113" i="21"/>
  <c r="BG114" i="21"/>
  <c r="BG115" i="21"/>
  <c r="BG116" i="21"/>
  <c r="BG117" i="21"/>
  <c r="BG118" i="21"/>
  <c r="BG119" i="21"/>
  <c r="BG120" i="21"/>
  <c r="BG121" i="21"/>
  <c r="BG122" i="21"/>
  <c r="BG123" i="21"/>
  <c r="BG143" i="21"/>
  <c r="BG144" i="21"/>
  <c r="BG145" i="21"/>
  <c r="BG146" i="21"/>
  <c r="BG147" i="21"/>
  <c r="BG148" i="21"/>
  <c r="BG149" i="21"/>
  <c r="BG150" i="21"/>
  <c r="BG151" i="21"/>
  <c r="BG152" i="21"/>
  <c r="BG153" i="21"/>
  <c r="BG154" i="21"/>
  <c r="BG155" i="21"/>
  <c r="BG156" i="21"/>
  <c r="BG157" i="21"/>
  <c r="BG158" i="21"/>
  <c r="BG159" i="21"/>
  <c r="BG160" i="21"/>
  <c r="BG161" i="21"/>
  <c r="BG162" i="21"/>
  <c r="BG163" i="21"/>
  <c r="BG164" i="21"/>
  <c r="BG165" i="21"/>
  <c r="BG166" i="21"/>
  <c r="BG167" i="21"/>
  <c r="BG168" i="21"/>
  <c r="BG169" i="21"/>
  <c r="BG170" i="21"/>
  <c r="BG171" i="21"/>
  <c r="BG172" i="21"/>
  <c r="BG173" i="21"/>
  <c r="BG174" i="21"/>
  <c r="BG175" i="21"/>
  <c r="BG176" i="21"/>
  <c r="BG177" i="21"/>
  <c r="BG178" i="21"/>
  <c r="BG179" i="21"/>
  <c r="BG180" i="21"/>
  <c r="BG181" i="21"/>
  <c r="BG182" i="21"/>
  <c r="BG183" i="21"/>
  <c r="BG184" i="21"/>
  <c r="BG185" i="21"/>
  <c r="BG186" i="21"/>
  <c r="BG187" i="21"/>
  <c r="BG188" i="21"/>
  <c r="BG189" i="21"/>
  <c r="BG190" i="21"/>
  <c r="BG191" i="21"/>
  <c r="BG192" i="21"/>
  <c r="BG193" i="21"/>
  <c r="BG194" i="21"/>
  <c r="BG195" i="21"/>
  <c r="BG196" i="21"/>
  <c r="BG197" i="21"/>
  <c r="BG198" i="21"/>
  <c r="BG199" i="21"/>
  <c r="BG200" i="21"/>
  <c r="BG201" i="21"/>
  <c r="BG202" i="21"/>
  <c r="BG203" i="21"/>
  <c r="BG204" i="21"/>
  <c r="BG205" i="21"/>
  <c r="BG206" i="21"/>
  <c r="BG207" i="21"/>
  <c r="BG208" i="21"/>
  <c r="BG209" i="21"/>
  <c r="BG210" i="21"/>
  <c r="BG235" i="21"/>
  <c r="BG236" i="21"/>
  <c r="BG237" i="21"/>
  <c r="BG238" i="21"/>
  <c r="BG239" i="21"/>
  <c r="BG240" i="21"/>
  <c r="BG241" i="21"/>
  <c r="BG242" i="21"/>
  <c r="BG243" i="21"/>
  <c r="BG244" i="21"/>
  <c r="BG245" i="21"/>
  <c r="BG246" i="21"/>
  <c r="BG247" i="21"/>
  <c r="BG248" i="21"/>
  <c r="BG249" i="21"/>
  <c r="BG250" i="21"/>
  <c r="BG251" i="21"/>
  <c r="BG252" i="21"/>
  <c r="BG253" i="21"/>
  <c r="BG254" i="21"/>
  <c r="BG255" i="21"/>
  <c r="BG256" i="21"/>
  <c r="BG257" i="21"/>
  <c r="BG258" i="21"/>
  <c r="BG259" i="21"/>
  <c r="BG260" i="21"/>
  <c r="BG261" i="21"/>
  <c r="BG262" i="21"/>
  <c r="BG263" i="21"/>
  <c r="BG264" i="21"/>
  <c r="BG265" i="21"/>
  <c r="BG266" i="21"/>
  <c r="BG267" i="21"/>
  <c r="BG268" i="21"/>
  <c r="BG269" i="21"/>
  <c r="BG270" i="21"/>
  <c r="BG271" i="21"/>
  <c r="BG272" i="21"/>
  <c r="BG273" i="21"/>
  <c r="BG274" i="21"/>
  <c r="BG275" i="21"/>
  <c r="BG276" i="21"/>
  <c r="BG277" i="21"/>
  <c r="BG278" i="21"/>
  <c r="BG279" i="21"/>
  <c r="BG280" i="21"/>
  <c r="BG281" i="21"/>
  <c r="BG282" i="21"/>
  <c r="BG283" i="21"/>
  <c r="BG284" i="21"/>
  <c r="BG285" i="21"/>
  <c r="BG286" i="21"/>
  <c r="BG287" i="21"/>
  <c r="BG288" i="21"/>
  <c r="BG289" i="21"/>
  <c r="BG290" i="21"/>
  <c r="BG291" i="21"/>
  <c r="BG292" i="21"/>
  <c r="BG293" i="21"/>
  <c r="BG294" i="21"/>
  <c r="BG295" i="21"/>
  <c r="BG296" i="21"/>
  <c r="BG297" i="21"/>
  <c r="BG298" i="21"/>
  <c r="BG299" i="21"/>
  <c r="BG300" i="21"/>
  <c r="BG301" i="21"/>
  <c r="BG308" i="21"/>
  <c r="BG309" i="21"/>
  <c r="BG310" i="21"/>
  <c r="BG311" i="21"/>
  <c r="BG312" i="21"/>
  <c r="BG313" i="21"/>
  <c r="BG314" i="21"/>
  <c r="BG315" i="21"/>
  <c r="BG316" i="21"/>
  <c r="BG317" i="21"/>
  <c r="BG318" i="21"/>
  <c r="BG319" i="21"/>
  <c r="BG320" i="21"/>
  <c r="BG321" i="21"/>
  <c r="BG322" i="21"/>
  <c r="BG323" i="21"/>
  <c r="BG324" i="21"/>
  <c r="BG325" i="21"/>
  <c r="BG326" i="21"/>
  <c r="BG327" i="21"/>
  <c r="BG328" i="21"/>
  <c r="BG329" i="21"/>
  <c r="BG330" i="21"/>
  <c r="BG331" i="21"/>
  <c r="BG332" i="21"/>
  <c r="BG333" i="21"/>
  <c r="BG334" i="21"/>
  <c r="BG335" i="21"/>
  <c r="BG345" i="21"/>
  <c r="BG346" i="21"/>
  <c r="BG347" i="21"/>
  <c r="BG348" i="21"/>
  <c r="BG349" i="21"/>
  <c r="BG350" i="21"/>
  <c r="BG351" i="21"/>
  <c r="BG352" i="21"/>
  <c r="BG353" i="21"/>
  <c r="BG354" i="21"/>
  <c r="BG355" i="21"/>
  <c r="BG356" i="21"/>
  <c r="BG357" i="21"/>
  <c r="BG358" i="21"/>
  <c r="BG359" i="21"/>
  <c r="BG360" i="21"/>
  <c r="BG361" i="21"/>
  <c r="BG362" i="21"/>
  <c r="BG363" i="21"/>
  <c r="BG364" i="21"/>
  <c r="BG365" i="21"/>
  <c r="BG366" i="21"/>
  <c r="BG367" i="21"/>
  <c r="BG368" i="21"/>
  <c r="BG369" i="21"/>
  <c r="BG370" i="21"/>
  <c r="BG371" i="21"/>
  <c r="BG372" i="21"/>
  <c r="BG373" i="21"/>
  <c r="BG374" i="21"/>
  <c r="BG375" i="21"/>
  <c r="BG376" i="21"/>
  <c r="BG377" i="21"/>
  <c r="BG378" i="21"/>
  <c r="BG379" i="21"/>
  <c r="BG380" i="21"/>
  <c r="BG381" i="21"/>
  <c r="BG382" i="21"/>
  <c r="BG383" i="21"/>
  <c r="BG384" i="21"/>
  <c r="BG385" i="21"/>
  <c r="BG386" i="21"/>
  <c r="BG387" i="21"/>
  <c r="BG388" i="21"/>
  <c r="BG389" i="21"/>
  <c r="BG390" i="21"/>
  <c r="BG391" i="21"/>
  <c r="BG392" i="21"/>
  <c r="BG393" i="21"/>
  <c r="BG394" i="21"/>
  <c r="BG395" i="21"/>
  <c r="BG396" i="21"/>
  <c r="BG397" i="21"/>
  <c r="BG398" i="21"/>
  <c r="BG399" i="21"/>
  <c r="BG400" i="21"/>
  <c r="BG401" i="21"/>
  <c r="BG402" i="21"/>
  <c r="BG403" i="21"/>
  <c r="BG404" i="21"/>
  <c r="BG405" i="21"/>
  <c r="BG406" i="21"/>
  <c r="BG407" i="21"/>
  <c r="BG408" i="21"/>
  <c r="BG409" i="21"/>
  <c r="BG410" i="21"/>
  <c r="BG411" i="21"/>
  <c r="BG412" i="21"/>
  <c r="BG413" i="21"/>
  <c r="BG414" i="21"/>
  <c r="BG415" i="21"/>
  <c r="BG416" i="21"/>
  <c r="BG417" i="21"/>
  <c r="BG418" i="21"/>
  <c r="BG419" i="21"/>
  <c r="BG420" i="21"/>
  <c r="BG421" i="21"/>
  <c r="BG422" i="21"/>
  <c r="BG423" i="21"/>
  <c r="BG424" i="21"/>
  <c r="BG425" i="21"/>
  <c r="BG426" i="21"/>
  <c r="BG427" i="21"/>
  <c r="BG428" i="21"/>
  <c r="BG429" i="21"/>
  <c r="BG430" i="21"/>
  <c r="BG431" i="21"/>
  <c r="BG432" i="21"/>
  <c r="BG433" i="21"/>
  <c r="BG434" i="21"/>
  <c r="BG435" i="21"/>
  <c r="BG436" i="21"/>
  <c r="BG437" i="21"/>
  <c r="BG438" i="21"/>
  <c r="BG439" i="21"/>
  <c r="BG440" i="21"/>
  <c r="BG441" i="21"/>
  <c r="BG442" i="21"/>
  <c r="BG443" i="21"/>
  <c r="BG444" i="21"/>
  <c r="BG445" i="21"/>
  <c r="BG446" i="21"/>
  <c r="BG447" i="21"/>
  <c r="BG448" i="21"/>
  <c r="BG449" i="21"/>
  <c r="BG450" i="21"/>
  <c r="BG451" i="21"/>
  <c r="BG452" i="21"/>
  <c r="BG453" i="21"/>
  <c r="BG454" i="21"/>
  <c r="BG455" i="21"/>
  <c r="BG456" i="21"/>
  <c r="BG457" i="21"/>
  <c r="BG458" i="21"/>
  <c r="BG459" i="21"/>
  <c r="BG460" i="21"/>
  <c r="BG461" i="21"/>
  <c r="BG462" i="21"/>
  <c r="BG463" i="21"/>
  <c r="BG464" i="21"/>
  <c r="BG465" i="21"/>
  <c r="BG466" i="21"/>
  <c r="BG467" i="21"/>
  <c r="BG468" i="21"/>
  <c r="BG469" i="21"/>
  <c r="BG470" i="21"/>
  <c r="BG471" i="21"/>
  <c r="BG472" i="21"/>
  <c r="BG473" i="21"/>
  <c r="BG474" i="21"/>
  <c r="BG475" i="21"/>
  <c r="BG476" i="21"/>
  <c r="BG477" i="21"/>
  <c r="BG478" i="21"/>
  <c r="BG479" i="21"/>
  <c r="BG480" i="21"/>
  <c r="BG481" i="21"/>
  <c r="BG482" i="21"/>
  <c r="BG483" i="21"/>
  <c r="BG484" i="21"/>
  <c r="BG519" i="21"/>
  <c r="BE4" i="21"/>
  <c r="BE5" i="21"/>
  <c r="BE6" i="21"/>
  <c r="BE7" i="21"/>
  <c r="BE8" i="21"/>
  <c r="BE9" i="21"/>
  <c r="BE10" i="21"/>
  <c r="BE11" i="21"/>
  <c r="BE12" i="21"/>
  <c r="BE13" i="21"/>
  <c r="BE14" i="21"/>
  <c r="BE15" i="21"/>
  <c r="BE16" i="21"/>
  <c r="BE17" i="21"/>
  <c r="BE24" i="21"/>
  <c r="BE25" i="21"/>
  <c r="BE26" i="21"/>
  <c r="BE27" i="21"/>
  <c r="BE28" i="21"/>
  <c r="BE29" i="21"/>
  <c r="BE30" i="21"/>
  <c r="BE31" i="21"/>
  <c r="BE32" i="21"/>
  <c r="BE33" i="21"/>
  <c r="BE34" i="21"/>
  <c r="BE35" i="21"/>
  <c r="BE36" i="21"/>
  <c r="BE37" i="21"/>
  <c r="BE38" i="21"/>
  <c r="BE39" i="21"/>
  <c r="BE40" i="21"/>
  <c r="BE41" i="21"/>
  <c r="BE42" i="21"/>
  <c r="BE43" i="21"/>
  <c r="BE62" i="21"/>
  <c r="BE63" i="21"/>
  <c r="BE64" i="21"/>
  <c r="BE65" i="21"/>
  <c r="BE66" i="21"/>
  <c r="BE67" i="21"/>
  <c r="BE68" i="21"/>
  <c r="BE69" i="21"/>
  <c r="BE70" i="21"/>
  <c r="BE71" i="21"/>
  <c r="BE72" i="21"/>
  <c r="BE73" i="21"/>
  <c r="BE74" i="21"/>
  <c r="BE75" i="21"/>
  <c r="BE76" i="21"/>
  <c r="BE77" i="21"/>
  <c r="BE78" i="21"/>
  <c r="BE79" i="21"/>
  <c r="BE80" i="21"/>
  <c r="BE81" i="21"/>
  <c r="BE82" i="21"/>
  <c r="BE83" i="21"/>
  <c r="BE84" i="21"/>
  <c r="BE85" i="21"/>
  <c r="BE86" i="21"/>
  <c r="BE87" i="21"/>
  <c r="BE88" i="21"/>
  <c r="BE89" i="21"/>
  <c r="BE90" i="21"/>
  <c r="BE91" i="21"/>
  <c r="BE92" i="21"/>
  <c r="BE93" i="21"/>
  <c r="BE94" i="21"/>
  <c r="BE95" i="21"/>
  <c r="BE96" i="21"/>
  <c r="BE97" i="21"/>
  <c r="BE98" i="21"/>
  <c r="BE99" i="21"/>
  <c r="BE100" i="21"/>
  <c r="BE101" i="21"/>
  <c r="BE102" i="21"/>
  <c r="BE103" i="21"/>
  <c r="BE104" i="21"/>
  <c r="BE105" i="21"/>
  <c r="BE106" i="21"/>
  <c r="BE107" i="21"/>
  <c r="BE108" i="21"/>
  <c r="BE109" i="21"/>
  <c r="BE110" i="21"/>
  <c r="BE111" i="21"/>
  <c r="BE112" i="21"/>
  <c r="BE113" i="21"/>
  <c r="BE114" i="21"/>
  <c r="BE115" i="21"/>
  <c r="BE116" i="21"/>
  <c r="BE117" i="21"/>
  <c r="BE118" i="21"/>
  <c r="BE119" i="21"/>
  <c r="BE120" i="21"/>
  <c r="BE121" i="21"/>
  <c r="BE122" i="21"/>
  <c r="BE123" i="21"/>
  <c r="BE143" i="21"/>
  <c r="BE144" i="21"/>
  <c r="BE145" i="21"/>
  <c r="BE146" i="21"/>
  <c r="BE147" i="21"/>
  <c r="BE148" i="21"/>
  <c r="BE149" i="21"/>
  <c r="BE150" i="21"/>
  <c r="BE151" i="21"/>
  <c r="BE152" i="21"/>
  <c r="BE153" i="21"/>
  <c r="BE154" i="21"/>
  <c r="BE155" i="21"/>
  <c r="BE156" i="21"/>
  <c r="BE157" i="21"/>
  <c r="BE158" i="21"/>
  <c r="BE159" i="21"/>
  <c r="BE160" i="21"/>
  <c r="BE161" i="21"/>
  <c r="BE162" i="21"/>
  <c r="BE163" i="21"/>
  <c r="BE164" i="21"/>
  <c r="BE165" i="21"/>
  <c r="BE166" i="21"/>
  <c r="BE167" i="21"/>
  <c r="BE168" i="21"/>
  <c r="BE169" i="21"/>
  <c r="BE170" i="21"/>
  <c r="BE171" i="21"/>
  <c r="BE172" i="21"/>
  <c r="BE173" i="21"/>
  <c r="BE174" i="21"/>
  <c r="BE175" i="21"/>
  <c r="BE176" i="21"/>
  <c r="BE177" i="21"/>
  <c r="BE178" i="21"/>
  <c r="BE179" i="21"/>
  <c r="BE180" i="21"/>
  <c r="BE181" i="21"/>
  <c r="BE182" i="21"/>
  <c r="BE183" i="21"/>
  <c r="BE184" i="21"/>
  <c r="BE185" i="21"/>
  <c r="BE186" i="21"/>
  <c r="BE187" i="21"/>
  <c r="BE188" i="21"/>
  <c r="BE189" i="21"/>
  <c r="BE190" i="21"/>
  <c r="BE191" i="21"/>
  <c r="BE192" i="21"/>
  <c r="BE193" i="21"/>
  <c r="BE194" i="21"/>
  <c r="BE195" i="21"/>
  <c r="BE196" i="21"/>
  <c r="BE197" i="21"/>
  <c r="BE198" i="21"/>
  <c r="BE199" i="21"/>
  <c r="BE200" i="21"/>
  <c r="BE201" i="21"/>
  <c r="BE202" i="21"/>
  <c r="BE203" i="21"/>
  <c r="BE204" i="21"/>
  <c r="BE205" i="21"/>
  <c r="BE206" i="21"/>
  <c r="BE207" i="21"/>
  <c r="BE208" i="21"/>
  <c r="BE209" i="21"/>
  <c r="BE210" i="21"/>
  <c r="BE236" i="21"/>
  <c r="BE237" i="21"/>
  <c r="BE238" i="21"/>
  <c r="BE239" i="21"/>
  <c r="BE240" i="21"/>
  <c r="BE241" i="21"/>
  <c r="BE242" i="21"/>
  <c r="BE243" i="21"/>
  <c r="BE244" i="21"/>
  <c r="BE245" i="21"/>
  <c r="BE246" i="21"/>
  <c r="BE247" i="21"/>
  <c r="BE248" i="21"/>
  <c r="BE249" i="21"/>
  <c r="BE250" i="21"/>
  <c r="BE251" i="21"/>
  <c r="BE252" i="21"/>
  <c r="BE253" i="21"/>
  <c r="BE254" i="21"/>
  <c r="BE255" i="21"/>
  <c r="BE256" i="21"/>
  <c r="BE257" i="21"/>
  <c r="BE258" i="21"/>
  <c r="BE259" i="21"/>
  <c r="BE260" i="21"/>
  <c r="BE261" i="21"/>
  <c r="BE262" i="21"/>
  <c r="BE263" i="21"/>
  <c r="BE264" i="21"/>
  <c r="BE265" i="21"/>
  <c r="BE266" i="21"/>
  <c r="BE267" i="21"/>
  <c r="BE268" i="21"/>
  <c r="BE269" i="21"/>
  <c r="BE270" i="21"/>
  <c r="BE271" i="21"/>
  <c r="BE272" i="21"/>
  <c r="BE273" i="21"/>
  <c r="BE274" i="21"/>
  <c r="BE275" i="21"/>
  <c r="BE276" i="21"/>
  <c r="BE277" i="21"/>
  <c r="BE278" i="21"/>
  <c r="BE279" i="21"/>
  <c r="BE280" i="21"/>
  <c r="BE281" i="21"/>
  <c r="BE282" i="21"/>
  <c r="BE283" i="21"/>
  <c r="BE284" i="21"/>
  <c r="BE285" i="21"/>
  <c r="BE286" i="21"/>
  <c r="BE287" i="21"/>
  <c r="BE288" i="21"/>
  <c r="BE289" i="21"/>
  <c r="BE290" i="21"/>
  <c r="BE291" i="21"/>
  <c r="BE292" i="21"/>
  <c r="BE293" i="21"/>
  <c r="BE294" i="21"/>
  <c r="BE295" i="21"/>
  <c r="BE296" i="21"/>
  <c r="BE297" i="21"/>
  <c r="BE298" i="21"/>
  <c r="BE299" i="21"/>
  <c r="BE300" i="21"/>
  <c r="BE301" i="21"/>
  <c r="BE308" i="21"/>
  <c r="BE309" i="21"/>
  <c r="BE310" i="21"/>
  <c r="BE311" i="21"/>
  <c r="BE312" i="21"/>
  <c r="BE313" i="21"/>
  <c r="BE314" i="21"/>
  <c r="BE315" i="21"/>
  <c r="BE316" i="21"/>
  <c r="BE317" i="21"/>
  <c r="BE318" i="21"/>
  <c r="BE319" i="21"/>
  <c r="BE320" i="21"/>
  <c r="BE321" i="21"/>
  <c r="BE322" i="21"/>
  <c r="BE323" i="21"/>
  <c r="BE324" i="21"/>
  <c r="BE325" i="21"/>
  <c r="BE326" i="21"/>
  <c r="BE327" i="21"/>
  <c r="BE328" i="21"/>
  <c r="BE329" i="21"/>
  <c r="BE330" i="21"/>
  <c r="BE331" i="21"/>
  <c r="BE332" i="21"/>
  <c r="BE333" i="21"/>
  <c r="BE334" i="21"/>
  <c r="BE335" i="21"/>
  <c r="BE346" i="21"/>
  <c r="BE347" i="21"/>
  <c r="BE348" i="21"/>
  <c r="BE349" i="21"/>
  <c r="BE350" i="21"/>
  <c r="BE351" i="21"/>
  <c r="BE352" i="21"/>
  <c r="BE353" i="21"/>
  <c r="BE354" i="21"/>
  <c r="BE355" i="21"/>
  <c r="BE356" i="21"/>
  <c r="BE357" i="21"/>
  <c r="BE358" i="21"/>
  <c r="BE359" i="21"/>
  <c r="BE360" i="21"/>
  <c r="BE361" i="21"/>
  <c r="BE362" i="21"/>
  <c r="BE363" i="21"/>
  <c r="BE364" i="21"/>
  <c r="BE365" i="21"/>
  <c r="BE366" i="21"/>
  <c r="BE367" i="21"/>
  <c r="BE368" i="21"/>
  <c r="BE369" i="21"/>
  <c r="BE370" i="21"/>
  <c r="BE371" i="21"/>
  <c r="BE372" i="21"/>
  <c r="BE373" i="21"/>
  <c r="BE374" i="21"/>
  <c r="BE375" i="21"/>
  <c r="BE376" i="21"/>
  <c r="BE377" i="21"/>
  <c r="BE378" i="21"/>
  <c r="BE379" i="21"/>
  <c r="BE380" i="21"/>
  <c r="BE381" i="21"/>
  <c r="BE382" i="21"/>
  <c r="BE383" i="21"/>
  <c r="BE384" i="21"/>
  <c r="BE385" i="21"/>
  <c r="BE386" i="21"/>
  <c r="BE387" i="21"/>
  <c r="BE388" i="21"/>
  <c r="BE389" i="21"/>
  <c r="BE390" i="21"/>
  <c r="BE391" i="21"/>
  <c r="BE392" i="21"/>
  <c r="BE393" i="21"/>
  <c r="BE394" i="21"/>
  <c r="BE395" i="21"/>
  <c r="BE396" i="21"/>
  <c r="BE397" i="21"/>
  <c r="BE398" i="21"/>
  <c r="BE399" i="21"/>
  <c r="BE400" i="21"/>
  <c r="BE401" i="21"/>
  <c r="BE402" i="21"/>
  <c r="BE403" i="21"/>
  <c r="BE404" i="21"/>
  <c r="BE405" i="21"/>
  <c r="BE406" i="21"/>
  <c r="BE407" i="21"/>
  <c r="BE408" i="21"/>
  <c r="BE409" i="21"/>
  <c r="BE410" i="21"/>
  <c r="BE411" i="21"/>
  <c r="BE412" i="21"/>
  <c r="BE413" i="21"/>
  <c r="BE414" i="21"/>
  <c r="BE415" i="21"/>
  <c r="BE416" i="21"/>
  <c r="BE417" i="21"/>
  <c r="BE418" i="21"/>
  <c r="BE419" i="21"/>
  <c r="BE420" i="21"/>
  <c r="BE421" i="21"/>
  <c r="BE422" i="21"/>
  <c r="BE423" i="21"/>
  <c r="BE424" i="21"/>
  <c r="BE425" i="21"/>
  <c r="BE426" i="21"/>
  <c r="BE427" i="21"/>
  <c r="BE428" i="21"/>
  <c r="BE429" i="21"/>
  <c r="BE430" i="21"/>
  <c r="BE431" i="21"/>
  <c r="BE432" i="21"/>
  <c r="BE433" i="21"/>
  <c r="BE434" i="21"/>
  <c r="BE435" i="21"/>
  <c r="BE436" i="21"/>
  <c r="BE437" i="21"/>
  <c r="BE438" i="21"/>
  <c r="BE439" i="21"/>
  <c r="BE440" i="21"/>
  <c r="BE441" i="21"/>
  <c r="BE442" i="21"/>
  <c r="BE443" i="21"/>
  <c r="BE444" i="21"/>
  <c r="BE445" i="21"/>
  <c r="BE446" i="21"/>
  <c r="BE447" i="21"/>
  <c r="BE448" i="21"/>
  <c r="BE449" i="21"/>
  <c r="BE450" i="21"/>
  <c r="BE451" i="21"/>
  <c r="BE452" i="21"/>
  <c r="BE453" i="21"/>
  <c r="BE454" i="21"/>
  <c r="BE455" i="21"/>
  <c r="BE456" i="21"/>
  <c r="BE457" i="21"/>
  <c r="BE458" i="21"/>
  <c r="BE459" i="21"/>
  <c r="BE460" i="21"/>
  <c r="BE461" i="21"/>
  <c r="BE462" i="21"/>
  <c r="BE463" i="21"/>
  <c r="BE464" i="21"/>
  <c r="BE465" i="21"/>
  <c r="BE466" i="21"/>
  <c r="BE467" i="21"/>
  <c r="BE468" i="21"/>
  <c r="BE469" i="21"/>
  <c r="BE470" i="21"/>
  <c r="BE471" i="21"/>
  <c r="BE472" i="21"/>
  <c r="BE473" i="21"/>
  <c r="BE474" i="21"/>
  <c r="BE475" i="21"/>
  <c r="BE476" i="21"/>
  <c r="BE477" i="21"/>
  <c r="BE478" i="21"/>
  <c r="BE479" i="21"/>
  <c r="BE480" i="21"/>
  <c r="BE481" i="21"/>
  <c r="BE482" i="21"/>
  <c r="BE483" i="21"/>
  <c r="BE484" i="21"/>
  <c r="BE519" i="21"/>
  <c r="BC4" i="21"/>
  <c r="BC5" i="21"/>
  <c r="BC6" i="21"/>
  <c r="BC7" i="21"/>
  <c r="BC8" i="21"/>
  <c r="BC9" i="21"/>
  <c r="BC10" i="21"/>
  <c r="BC11" i="21"/>
  <c r="BC12" i="21"/>
  <c r="BC13" i="21"/>
  <c r="BC14" i="21"/>
  <c r="BC15" i="21"/>
  <c r="BC16" i="21"/>
  <c r="BC17" i="21"/>
  <c r="BC24" i="21"/>
  <c r="BC25" i="21"/>
  <c r="BC26" i="21"/>
  <c r="BC27" i="21"/>
  <c r="BC28" i="21"/>
  <c r="BC29" i="21"/>
  <c r="BC30" i="21"/>
  <c r="BC31" i="21"/>
  <c r="BC32" i="21"/>
  <c r="BC33" i="21"/>
  <c r="BC34" i="21"/>
  <c r="BC35" i="21"/>
  <c r="BC36" i="21"/>
  <c r="BC37" i="21"/>
  <c r="BC38" i="21"/>
  <c r="BC39" i="21"/>
  <c r="BC40" i="21"/>
  <c r="BC41" i="21"/>
  <c r="BC42" i="21"/>
  <c r="BC43" i="21"/>
  <c r="BC62" i="21"/>
  <c r="BC63" i="21"/>
  <c r="BC64" i="21"/>
  <c r="BC65" i="21"/>
  <c r="BC66" i="21"/>
  <c r="BC67" i="21"/>
  <c r="BC68" i="21"/>
  <c r="BC69" i="21"/>
  <c r="BC70" i="21"/>
  <c r="BC71" i="21"/>
  <c r="BC72" i="21"/>
  <c r="BC73" i="21"/>
  <c r="BC74" i="21"/>
  <c r="BC75" i="21"/>
  <c r="BC76" i="21"/>
  <c r="BC77" i="21"/>
  <c r="BC78" i="21"/>
  <c r="BC79" i="21"/>
  <c r="BC80" i="21"/>
  <c r="BC81" i="21"/>
  <c r="BC82" i="21"/>
  <c r="BC83" i="21"/>
  <c r="BC84" i="21"/>
  <c r="BC85" i="21"/>
  <c r="BC86" i="21"/>
  <c r="BC87" i="21"/>
  <c r="BC88" i="21"/>
  <c r="BC89" i="21"/>
  <c r="BC90" i="21"/>
  <c r="BC91" i="21"/>
  <c r="BC92" i="21"/>
  <c r="BC93" i="21"/>
  <c r="BC94" i="21"/>
  <c r="BC95" i="21"/>
  <c r="BC96" i="21"/>
  <c r="BC97" i="21"/>
  <c r="BC98" i="21"/>
  <c r="BC99" i="21"/>
  <c r="BC100" i="21"/>
  <c r="BC101" i="21"/>
  <c r="BC102" i="21"/>
  <c r="BC103" i="21"/>
  <c r="BC104" i="21"/>
  <c r="BC105" i="21"/>
  <c r="BC106" i="21"/>
  <c r="BC107" i="21"/>
  <c r="BC108" i="21"/>
  <c r="BC109" i="21"/>
  <c r="BC110" i="21"/>
  <c r="BC111" i="21"/>
  <c r="BC112" i="21"/>
  <c r="BC113" i="21"/>
  <c r="BC114" i="21"/>
  <c r="BC115" i="21"/>
  <c r="BC116" i="21"/>
  <c r="BC117" i="21"/>
  <c r="BC118" i="21"/>
  <c r="BC119" i="21"/>
  <c r="BC120" i="21"/>
  <c r="BC121" i="21"/>
  <c r="BC122" i="21"/>
  <c r="BC123" i="21"/>
  <c r="BC143" i="21"/>
  <c r="BC144" i="21"/>
  <c r="BC145" i="21"/>
  <c r="BC146" i="21"/>
  <c r="BC147" i="21"/>
  <c r="BC148" i="21"/>
  <c r="BC149" i="21"/>
  <c r="BC150" i="21"/>
  <c r="BC151" i="21"/>
  <c r="BC152" i="21"/>
  <c r="BC153" i="21"/>
  <c r="BC154" i="21"/>
  <c r="BC155" i="21"/>
  <c r="BC156" i="21"/>
  <c r="BC157" i="21"/>
  <c r="BC158" i="21"/>
  <c r="BC159" i="21"/>
  <c r="BC160" i="21"/>
  <c r="BC161" i="21"/>
  <c r="BC162" i="21"/>
  <c r="BC163" i="21"/>
  <c r="BC164" i="21"/>
  <c r="BC165" i="21"/>
  <c r="BC166" i="21"/>
  <c r="BC167" i="21"/>
  <c r="BC168" i="21"/>
  <c r="BC169" i="21"/>
  <c r="BC170" i="21"/>
  <c r="BC171" i="21"/>
  <c r="BC172" i="21"/>
  <c r="BC173" i="21"/>
  <c r="BC174" i="21"/>
  <c r="BC175" i="21"/>
  <c r="BC176" i="21"/>
  <c r="BC177" i="21"/>
  <c r="BC178" i="21"/>
  <c r="BC179" i="21"/>
  <c r="BC180" i="21"/>
  <c r="BC181" i="21"/>
  <c r="BC182" i="21"/>
  <c r="BC183" i="21"/>
  <c r="BC184" i="21"/>
  <c r="BC185" i="21"/>
  <c r="BC186" i="21"/>
  <c r="BC187" i="21"/>
  <c r="BC188" i="21"/>
  <c r="BC189" i="21"/>
  <c r="BC190" i="21"/>
  <c r="BC191" i="21"/>
  <c r="BC192" i="21"/>
  <c r="BC193" i="21"/>
  <c r="BC194" i="21"/>
  <c r="BC195" i="21"/>
  <c r="BC196" i="21"/>
  <c r="BC197" i="21"/>
  <c r="BC198" i="21"/>
  <c r="BC199" i="21"/>
  <c r="BC200" i="21"/>
  <c r="BC201" i="21"/>
  <c r="BC202" i="21"/>
  <c r="BC203" i="21"/>
  <c r="BC204" i="21"/>
  <c r="BC205" i="21"/>
  <c r="BC206" i="21"/>
  <c r="BC207" i="21"/>
  <c r="BC208" i="21"/>
  <c r="BC209" i="21"/>
  <c r="BC210" i="21"/>
  <c r="BC236" i="21"/>
  <c r="BC237" i="21"/>
  <c r="BC238" i="21"/>
  <c r="BC239" i="21"/>
  <c r="BC240" i="21"/>
  <c r="BC241" i="21"/>
  <c r="BC242" i="21"/>
  <c r="BC243" i="21"/>
  <c r="BC244" i="21"/>
  <c r="BC245" i="21"/>
  <c r="BC246" i="21"/>
  <c r="BC247" i="21"/>
  <c r="BC248" i="21"/>
  <c r="BC249" i="21"/>
  <c r="BC250" i="21"/>
  <c r="BC251" i="21"/>
  <c r="BC252" i="21"/>
  <c r="BC253" i="21"/>
  <c r="BC254" i="21"/>
  <c r="BC255" i="21"/>
  <c r="BC256" i="21"/>
  <c r="BC257" i="21"/>
  <c r="BC258" i="21"/>
  <c r="BC259" i="21"/>
  <c r="BC260" i="21"/>
  <c r="BC261" i="21"/>
  <c r="BC262" i="21"/>
  <c r="BC263" i="21"/>
  <c r="BC264" i="21"/>
  <c r="BC265" i="21"/>
  <c r="BC266" i="21"/>
  <c r="BC267" i="21"/>
  <c r="BC268" i="21"/>
  <c r="BC269" i="21"/>
  <c r="BC270" i="21"/>
  <c r="BC271" i="21"/>
  <c r="BC272" i="21"/>
  <c r="BC273" i="21"/>
  <c r="BC274" i="21"/>
  <c r="BC275" i="21"/>
  <c r="BC276" i="21"/>
  <c r="BC277" i="21"/>
  <c r="BC278" i="21"/>
  <c r="BC279" i="21"/>
  <c r="BC280" i="21"/>
  <c r="BC281" i="21"/>
  <c r="BC282" i="21"/>
  <c r="BC283" i="21"/>
  <c r="BC284" i="21"/>
  <c r="BC285" i="21"/>
  <c r="BC286" i="21"/>
  <c r="BC287" i="21"/>
  <c r="BC288" i="21"/>
  <c r="BC289" i="21"/>
  <c r="BC290" i="21"/>
  <c r="BC291" i="21"/>
  <c r="BC292" i="21"/>
  <c r="BC293" i="21"/>
  <c r="BC294" i="21"/>
  <c r="BC295" i="21"/>
  <c r="BC296" i="21"/>
  <c r="BC297" i="21"/>
  <c r="BC298" i="21"/>
  <c r="BC299" i="21"/>
  <c r="BC300" i="21"/>
  <c r="BC301" i="21"/>
  <c r="BC308" i="21"/>
  <c r="BC309" i="21"/>
  <c r="BC310" i="21"/>
  <c r="BC311" i="21"/>
  <c r="BC312" i="21"/>
  <c r="BC313" i="21"/>
  <c r="BC314" i="21"/>
  <c r="BC315" i="21"/>
  <c r="BC316" i="21"/>
  <c r="BC317" i="21"/>
  <c r="BC318" i="21"/>
  <c r="BC319" i="21"/>
  <c r="BC320" i="21"/>
  <c r="BC321" i="21"/>
  <c r="BC322" i="21"/>
  <c r="BC323" i="21"/>
  <c r="BC324" i="21"/>
  <c r="BC325" i="21"/>
  <c r="BC326" i="21"/>
  <c r="BC327" i="21"/>
  <c r="BC328" i="21"/>
  <c r="BC329" i="21"/>
  <c r="BC330" i="21"/>
  <c r="BC331" i="21"/>
  <c r="BC332" i="21"/>
  <c r="BC333" i="21"/>
  <c r="BC334" i="21"/>
  <c r="BC335" i="21"/>
  <c r="BC345" i="21"/>
  <c r="BC346" i="21"/>
  <c r="BC347" i="21"/>
  <c r="BC348" i="21"/>
  <c r="BC349" i="21"/>
  <c r="BC350" i="21"/>
  <c r="BC351" i="21"/>
  <c r="BC352" i="21"/>
  <c r="BC353" i="21"/>
  <c r="BC354" i="21"/>
  <c r="BC355" i="21"/>
  <c r="BC356" i="21"/>
  <c r="BC357" i="21"/>
  <c r="BC358" i="21"/>
  <c r="BC359" i="21"/>
  <c r="BC360" i="21"/>
  <c r="BC361" i="21"/>
  <c r="BC362" i="21"/>
  <c r="BC363" i="21"/>
  <c r="BC364" i="21"/>
  <c r="BC365" i="21"/>
  <c r="BC366" i="21"/>
  <c r="BC367" i="21"/>
  <c r="BC368" i="21"/>
  <c r="BC369" i="21"/>
  <c r="BC370" i="21"/>
  <c r="BC371" i="21"/>
  <c r="BC372" i="21"/>
  <c r="BC373" i="21"/>
  <c r="BC374" i="21"/>
  <c r="BC375" i="21"/>
  <c r="BC376" i="21"/>
  <c r="BC377" i="21"/>
  <c r="BC378" i="21"/>
  <c r="BC379" i="21"/>
  <c r="BC380" i="21"/>
  <c r="BC381" i="21"/>
  <c r="BC382" i="21"/>
  <c r="BC383" i="21"/>
  <c r="BC384" i="21"/>
  <c r="BC385" i="21"/>
  <c r="BC386" i="21"/>
  <c r="BC387" i="21"/>
  <c r="BC388" i="21"/>
  <c r="BC389" i="21"/>
  <c r="BC390" i="21"/>
  <c r="BC391" i="21"/>
  <c r="BC392" i="21"/>
  <c r="BC393" i="21"/>
  <c r="BC394" i="21"/>
  <c r="BC395" i="21"/>
  <c r="BC396" i="21"/>
  <c r="BC397" i="21"/>
  <c r="BC398" i="21"/>
  <c r="BC399" i="21"/>
  <c r="BC400" i="21"/>
  <c r="BC401" i="21"/>
  <c r="BC402" i="21"/>
  <c r="BC403" i="21"/>
  <c r="BC404" i="21"/>
  <c r="BC405" i="21"/>
  <c r="BC406" i="21"/>
  <c r="BC407" i="21"/>
  <c r="BC408" i="21"/>
  <c r="BC409" i="21"/>
  <c r="BC410" i="21"/>
  <c r="BC411" i="21"/>
  <c r="BC412" i="21"/>
  <c r="BC413" i="21"/>
  <c r="BC414" i="21"/>
  <c r="BC415" i="21"/>
  <c r="BC416" i="21"/>
  <c r="BC417" i="21"/>
  <c r="BC418" i="21"/>
  <c r="BC419" i="21"/>
  <c r="BC420" i="21"/>
  <c r="BC421" i="21"/>
  <c r="BC422" i="21"/>
  <c r="BC423" i="21"/>
  <c r="BC424" i="21"/>
  <c r="BC425" i="21"/>
  <c r="BC426" i="21"/>
  <c r="BC427" i="21"/>
  <c r="BC428" i="21"/>
  <c r="BC429" i="21"/>
  <c r="BC430" i="21"/>
  <c r="BC431" i="21"/>
  <c r="BC432" i="21"/>
  <c r="BC433" i="21"/>
  <c r="BC434" i="21"/>
  <c r="BC435" i="21"/>
  <c r="BC436" i="21"/>
  <c r="BC437" i="21"/>
  <c r="BC438" i="21"/>
  <c r="BC439" i="21"/>
  <c r="BC440" i="21"/>
  <c r="BC441" i="21"/>
  <c r="BC442" i="21"/>
  <c r="BC443" i="21"/>
  <c r="BC444" i="21"/>
  <c r="BC445" i="21"/>
  <c r="BC446" i="21"/>
  <c r="BC447" i="21"/>
  <c r="BC448" i="21"/>
  <c r="BC449" i="21"/>
  <c r="BC450" i="21"/>
  <c r="BC451" i="21"/>
  <c r="BC452" i="21"/>
  <c r="BC453" i="21"/>
  <c r="BC454" i="21"/>
  <c r="BC455" i="21"/>
  <c r="BC456" i="21"/>
  <c r="BC457" i="21"/>
  <c r="BC458" i="21"/>
  <c r="BC459" i="21"/>
  <c r="BC460" i="21"/>
  <c r="BC461" i="21"/>
  <c r="BC462" i="21"/>
  <c r="BC463" i="21"/>
  <c r="BC464" i="21"/>
  <c r="BC465" i="21"/>
  <c r="BC466" i="21"/>
  <c r="BC467" i="21"/>
  <c r="BC468" i="21"/>
  <c r="BC469" i="21"/>
  <c r="BC470" i="21"/>
  <c r="BC471" i="21"/>
  <c r="BC472" i="21"/>
  <c r="BC473" i="21"/>
  <c r="BC474" i="21"/>
  <c r="BC475" i="21"/>
  <c r="BC476" i="21"/>
  <c r="BC477" i="21"/>
  <c r="BC478" i="21"/>
  <c r="BC479" i="21"/>
  <c r="BC480" i="21"/>
  <c r="BC481" i="21"/>
  <c r="BC482" i="21"/>
  <c r="BC483" i="21"/>
  <c r="BC484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170" i="21"/>
  <c r="BA171" i="21"/>
  <c r="BA172" i="21"/>
  <c r="BA173" i="21"/>
  <c r="BA174" i="21"/>
  <c r="BA175" i="21"/>
  <c r="BA176" i="21"/>
  <c r="BA177" i="21"/>
  <c r="BA178" i="21"/>
  <c r="BA179" i="21"/>
  <c r="BA180" i="21"/>
  <c r="BA181" i="21"/>
  <c r="BA182" i="21"/>
  <c r="BA183" i="21"/>
  <c r="BA184" i="21"/>
  <c r="BA185" i="21"/>
  <c r="BA186" i="21"/>
  <c r="BA187" i="21"/>
  <c r="BA188" i="21"/>
  <c r="BA189" i="21"/>
  <c r="BA190" i="21"/>
  <c r="BA191" i="21"/>
  <c r="BA192" i="21"/>
  <c r="BA193" i="21"/>
  <c r="BA194" i="21"/>
  <c r="BA195" i="21"/>
  <c r="BA196" i="21"/>
  <c r="BA197" i="21"/>
  <c r="BA198" i="21"/>
  <c r="BA199" i="21"/>
  <c r="BA200" i="21"/>
  <c r="BA201" i="21"/>
  <c r="BA202" i="21"/>
  <c r="BA203" i="21"/>
  <c r="BA204" i="21"/>
  <c r="BA205" i="21"/>
  <c r="BA206" i="21"/>
  <c r="BA207" i="21"/>
  <c r="BA208" i="21"/>
  <c r="BA209" i="21"/>
  <c r="BA210" i="21"/>
  <c r="BA236" i="21"/>
  <c r="BA237" i="21"/>
  <c r="BA238" i="21"/>
  <c r="BA239" i="21"/>
  <c r="BA240" i="21"/>
  <c r="BA241" i="21"/>
  <c r="BA242" i="21"/>
  <c r="BA243" i="21"/>
  <c r="BA244" i="21"/>
  <c r="BA245" i="21"/>
  <c r="BA246" i="21"/>
  <c r="BA247" i="21"/>
  <c r="BA248" i="21"/>
  <c r="BA249" i="21"/>
  <c r="BA250" i="21"/>
  <c r="BA251" i="21"/>
  <c r="BA252" i="21"/>
  <c r="BA253" i="21"/>
  <c r="BA254" i="21"/>
  <c r="BA255" i="21"/>
  <c r="BA256" i="21"/>
  <c r="BA257" i="21"/>
  <c r="BA258" i="21"/>
  <c r="BA259" i="21"/>
  <c r="BA260" i="21"/>
  <c r="BA261" i="21"/>
  <c r="BA262" i="21"/>
  <c r="BA263" i="21"/>
  <c r="BA264" i="21"/>
  <c r="BA265" i="21"/>
  <c r="BA266" i="21"/>
  <c r="BA267" i="21"/>
  <c r="BA268" i="21"/>
  <c r="BA269" i="21"/>
  <c r="BA270" i="21"/>
  <c r="BA271" i="21"/>
  <c r="BA272" i="21"/>
  <c r="BA273" i="21"/>
  <c r="BA274" i="21"/>
  <c r="BA275" i="21"/>
  <c r="BA276" i="21"/>
  <c r="BA277" i="21"/>
  <c r="BA278" i="21"/>
  <c r="BA279" i="21"/>
  <c r="BA280" i="21"/>
  <c r="BA281" i="21"/>
  <c r="BA282" i="21"/>
  <c r="BA283" i="21"/>
  <c r="BA284" i="21"/>
  <c r="BA285" i="21"/>
  <c r="BA286" i="21"/>
  <c r="BA287" i="21"/>
  <c r="BA288" i="21"/>
  <c r="BA289" i="21"/>
  <c r="BA290" i="21"/>
  <c r="BA291" i="21"/>
  <c r="BA292" i="21"/>
  <c r="BA293" i="21"/>
  <c r="BA294" i="21"/>
  <c r="BA295" i="21"/>
  <c r="BA296" i="21"/>
  <c r="BA297" i="21"/>
  <c r="BA298" i="21"/>
  <c r="BA299" i="21"/>
  <c r="BA300" i="21"/>
  <c r="BA301" i="21"/>
  <c r="BA308" i="21"/>
  <c r="BA309" i="21"/>
  <c r="BA310" i="21"/>
  <c r="BA311" i="21"/>
  <c r="BA312" i="21"/>
  <c r="BA313" i="21"/>
  <c r="BA314" i="21"/>
  <c r="BA315" i="21"/>
  <c r="BA316" i="21"/>
  <c r="BA317" i="21"/>
  <c r="BA318" i="21"/>
  <c r="BA319" i="21"/>
  <c r="BA320" i="21"/>
  <c r="BA321" i="21"/>
  <c r="BA322" i="21"/>
  <c r="BA323" i="21"/>
  <c r="BA324" i="21"/>
  <c r="BA325" i="21"/>
  <c r="BA326" i="21"/>
  <c r="BA327" i="21"/>
  <c r="BA328" i="21"/>
  <c r="BA329" i="21"/>
  <c r="BA330" i="21"/>
  <c r="BA331" i="21"/>
  <c r="BA332" i="21"/>
  <c r="BA333" i="21"/>
  <c r="BA334" i="21"/>
  <c r="BA335" i="21"/>
  <c r="BA345" i="21"/>
  <c r="BA346" i="21"/>
  <c r="BA347" i="21"/>
  <c r="BA348" i="21"/>
  <c r="BA349" i="21"/>
  <c r="BA350" i="21"/>
  <c r="BA351" i="21"/>
  <c r="BA352" i="21"/>
  <c r="BA353" i="21"/>
  <c r="BA354" i="21"/>
  <c r="BA355" i="21"/>
  <c r="BA356" i="21"/>
  <c r="BA357" i="21"/>
  <c r="BA358" i="21"/>
  <c r="BA359" i="21"/>
  <c r="BA360" i="21"/>
  <c r="BA361" i="21"/>
  <c r="BA362" i="21"/>
  <c r="BA363" i="21"/>
  <c r="BA364" i="21"/>
  <c r="BA365" i="21"/>
  <c r="BA366" i="21"/>
  <c r="BA367" i="21"/>
  <c r="BA368" i="21"/>
  <c r="BA369" i="21"/>
  <c r="BA370" i="21"/>
  <c r="BA371" i="21"/>
  <c r="BA372" i="21"/>
  <c r="BA373" i="21"/>
  <c r="BA374" i="21"/>
  <c r="BA375" i="21"/>
  <c r="BA376" i="21"/>
  <c r="BA377" i="21"/>
  <c r="BA378" i="21"/>
  <c r="BA379" i="21"/>
  <c r="BA380" i="21"/>
  <c r="BA381" i="21"/>
  <c r="BA382" i="21"/>
  <c r="BA383" i="21"/>
  <c r="BA384" i="21"/>
  <c r="BA385" i="21"/>
  <c r="BA386" i="21"/>
  <c r="BA387" i="21"/>
  <c r="BA388" i="21"/>
  <c r="BA389" i="21"/>
  <c r="BA390" i="21"/>
  <c r="BA391" i="21"/>
  <c r="BA392" i="21"/>
  <c r="BA393" i="21"/>
  <c r="BA394" i="21"/>
  <c r="BA395" i="21"/>
  <c r="BA396" i="21"/>
  <c r="BA397" i="21"/>
  <c r="BA398" i="21"/>
  <c r="BA399" i="21"/>
  <c r="BA400" i="21"/>
  <c r="BA401" i="21"/>
  <c r="BA402" i="21"/>
  <c r="BA403" i="21"/>
  <c r="BA404" i="21"/>
  <c r="BA405" i="21"/>
  <c r="BA406" i="21"/>
  <c r="BA407" i="21"/>
  <c r="BA408" i="21"/>
  <c r="BA409" i="21"/>
  <c r="BA410" i="21"/>
  <c r="BA411" i="21"/>
  <c r="BA412" i="21"/>
  <c r="BA413" i="21"/>
  <c r="BA414" i="21"/>
  <c r="BA415" i="21"/>
  <c r="BA416" i="21"/>
  <c r="BA417" i="21"/>
  <c r="BA418" i="21"/>
  <c r="BA419" i="21"/>
  <c r="BA420" i="21"/>
  <c r="BA421" i="21"/>
  <c r="BA422" i="21"/>
  <c r="BA423" i="21"/>
  <c r="BA424" i="21"/>
  <c r="BA425" i="21"/>
  <c r="BA426" i="21"/>
  <c r="BA427" i="21"/>
  <c r="BA428" i="21"/>
  <c r="BA429" i="21"/>
  <c r="BA430" i="21"/>
  <c r="BA431" i="21"/>
  <c r="BA432" i="21"/>
  <c r="BA433" i="21"/>
  <c r="BA434" i="21"/>
  <c r="BA435" i="21"/>
  <c r="BA436" i="21"/>
  <c r="BA437" i="21"/>
  <c r="BA438" i="21"/>
  <c r="BA439" i="21"/>
  <c r="BA440" i="21"/>
  <c r="BA441" i="21"/>
  <c r="BA442" i="21"/>
  <c r="BA443" i="21"/>
  <c r="BA444" i="21"/>
  <c r="BA445" i="21"/>
  <c r="BA446" i="21"/>
  <c r="BA447" i="21"/>
  <c r="BA448" i="21"/>
  <c r="BA449" i="21"/>
  <c r="BA450" i="21"/>
  <c r="BA451" i="21"/>
  <c r="BA452" i="21"/>
  <c r="BA453" i="21"/>
  <c r="BA454" i="21"/>
  <c r="BA455" i="21"/>
  <c r="BA456" i="21"/>
  <c r="BA457" i="21"/>
  <c r="BA458" i="21"/>
  <c r="BA459" i="21"/>
  <c r="BA460" i="21"/>
  <c r="BA461" i="21"/>
  <c r="BA462" i="21"/>
  <c r="BA463" i="21"/>
  <c r="BA464" i="21"/>
  <c r="BA465" i="21"/>
  <c r="BA466" i="21"/>
  <c r="BA467" i="21"/>
  <c r="BA468" i="21"/>
  <c r="BA469" i="21"/>
  <c r="BA470" i="21"/>
  <c r="BA471" i="21"/>
  <c r="BA472" i="21"/>
  <c r="BA473" i="21"/>
  <c r="BA474" i="21"/>
  <c r="BA475" i="21"/>
  <c r="BA476" i="21"/>
  <c r="BA477" i="21"/>
  <c r="BA478" i="21"/>
  <c r="BA479" i="21"/>
  <c r="BA480" i="21"/>
  <c r="BA481" i="21"/>
  <c r="BA482" i="21"/>
  <c r="BA483" i="21"/>
  <c r="BA484" i="21"/>
  <c r="AY4" i="21"/>
  <c r="AY5" i="21"/>
  <c r="AY6" i="21"/>
  <c r="AY7" i="21"/>
  <c r="AY8" i="21"/>
  <c r="AY9" i="21"/>
  <c r="AY10" i="21"/>
  <c r="AY11" i="21"/>
  <c r="AY12" i="21"/>
  <c r="AY13" i="21"/>
  <c r="AY14" i="21"/>
  <c r="AY15" i="21"/>
  <c r="AY16" i="21"/>
  <c r="AY17" i="21"/>
  <c r="AY24" i="21"/>
  <c r="AY25" i="21"/>
  <c r="AY26" i="21"/>
  <c r="AY27" i="21"/>
  <c r="AY28" i="21"/>
  <c r="AY29" i="21"/>
  <c r="AY30" i="21"/>
  <c r="AY31" i="21"/>
  <c r="AY32" i="21"/>
  <c r="AY33" i="21"/>
  <c r="AY34" i="21"/>
  <c r="AY35" i="21"/>
  <c r="AY36" i="21"/>
  <c r="AY37" i="21"/>
  <c r="AY38" i="21"/>
  <c r="AY39" i="21"/>
  <c r="AY40" i="21"/>
  <c r="AY41" i="21"/>
  <c r="AY42" i="21"/>
  <c r="AY43" i="21"/>
  <c r="AY63" i="21"/>
  <c r="AY64" i="21"/>
  <c r="AY65" i="21"/>
  <c r="AY66" i="21"/>
  <c r="AY67" i="21"/>
  <c r="AY68" i="21"/>
  <c r="AY69" i="21"/>
  <c r="AY70" i="21"/>
  <c r="AY71" i="21"/>
  <c r="AY72" i="21"/>
  <c r="AY73" i="21"/>
  <c r="AY74" i="21"/>
  <c r="AY75" i="21"/>
  <c r="AY76" i="21"/>
  <c r="AY77" i="21"/>
  <c r="AY78" i="21"/>
  <c r="AY79" i="21"/>
  <c r="AY80" i="21"/>
  <c r="AY81" i="21"/>
  <c r="AY82" i="21"/>
  <c r="AY83" i="21"/>
  <c r="AY84" i="21"/>
  <c r="AY85" i="21"/>
  <c r="AY86" i="21"/>
  <c r="AY87" i="21"/>
  <c r="AY88" i="21"/>
  <c r="AY89" i="21"/>
  <c r="AY90" i="21"/>
  <c r="AY91" i="21"/>
  <c r="AY92" i="21"/>
  <c r="AY93" i="21"/>
  <c r="AY94" i="21"/>
  <c r="AY95" i="21"/>
  <c r="AY96" i="21"/>
  <c r="AY97" i="21"/>
  <c r="AY98" i="21"/>
  <c r="AY99" i="21"/>
  <c r="AY100" i="21"/>
  <c r="AY101" i="21"/>
  <c r="AY102" i="21"/>
  <c r="AY103" i="21"/>
  <c r="AY104" i="21"/>
  <c r="AY105" i="21"/>
  <c r="AY106" i="21"/>
  <c r="AY107" i="21"/>
  <c r="AY108" i="21"/>
  <c r="AY109" i="21"/>
  <c r="AY110" i="21"/>
  <c r="AY111" i="21"/>
  <c r="AY112" i="21"/>
  <c r="AY113" i="21"/>
  <c r="AY114" i="21"/>
  <c r="AY115" i="21"/>
  <c r="AY116" i="21"/>
  <c r="AY117" i="21"/>
  <c r="AY118" i="21"/>
  <c r="AY119" i="21"/>
  <c r="AY120" i="21"/>
  <c r="AY121" i="21"/>
  <c r="AY122" i="21"/>
  <c r="AY123" i="21"/>
  <c r="AY144" i="21"/>
  <c r="AY145" i="21"/>
  <c r="AY146" i="21"/>
  <c r="AY147" i="21"/>
  <c r="AY148" i="21"/>
  <c r="AY149" i="21"/>
  <c r="AY150" i="21"/>
  <c r="AY151" i="21"/>
  <c r="AY152" i="21"/>
  <c r="AY153" i="21"/>
  <c r="AY154" i="21"/>
  <c r="AY155" i="21"/>
  <c r="AY156" i="21"/>
  <c r="AY157" i="21"/>
  <c r="AY158" i="21"/>
  <c r="AY159" i="21"/>
  <c r="AY160" i="21"/>
  <c r="AY161" i="21"/>
  <c r="AY162" i="21"/>
  <c r="AY163" i="21"/>
  <c r="AY164" i="21"/>
  <c r="AY165" i="21"/>
  <c r="AY166" i="21"/>
  <c r="AY167" i="21"/>
  <c r="AY168" i="21"/>
  <c r="AY169" i="21"/>
  <c r="AY170" i="21"/>
  <c r="AY171" i="21"/>
  <c r="AY172" i="21"/>
  <c r="AY173" i="21"/>
  <c r="AY174" i="21"/>
  <c r="AY175" i="21"/>
  <c r="AY176" i="21"/>
  <c r="AY177" i="21"/>
  <c r="AY178" i="21"/>
  <c r="AY179" i="21"/>
  <c r="AY180" i="21"/>
  <c r="AY181" i="21"/>
  <c r="AY182" i="21"/>
  <c r="AY183" i="21"/>
  <c r="AY184" i="21"/>
  <c r="AY185" i="21"/>
  <c r="AY186" i="21"/>
  <c r="AY187" i="21"/>
  <c r="AY188" i="21"/>
  <c r="AY189" i="21"/>
  <c r="AY190" i="21"/>
  <c r="AY191" i="21"/>
  <c r="AY192" i="21"/>
  <c r="AY193" i="21"/>
  <c r="AY194" i="21"/>
  <c r="AY195" i="21"/>
  <c r="AY196" i="21"/>
  <c r="AY197" i="21"/>
  <c r="AY198" i="21"/>
  <c r="AY199" i="21"/>
  <c r="AY200" i="21"/>
  <c r="AY201" i="21"/>
  <c r="AY202" i="21"/>
  <c r="AY203" i="21"/>
  <c r="AY204" i="21"/>
  <c r="AY205" i="21"/>
  <c r="AY206" i="21"/>
  <c r="AY207" i="21"/>
  <c r="AY208" i="21"/>
  <c r="AY209" i="21"/>
  <c r="AY210" i="21"/>
  <c r="AY237" i="21"/>
  <c r="AY238" i="21"/>
  <c r="AY239" i="21"/>
  <c r="AY240" i="21"/>
  <c r="AY241" i="21"/>
  <c r="AY242" i="21"/>
  <c r="AY243" i="21"/>
  <c r="AY244" i="21"/>
  <c r="AY245" i="21"/>
  <c r="AY246" i="21"/>
  <c r="AY247" i="21"/>
  <c r="AY248" i="21"/>
  <c r="AY249" i="21"/>
  <c r="AY250" i="21"/>
  <c r="AY251" i="21"/>
  <c r="AY252" i="21"/>
  <c r="AY253" i="21"/>
  <c r="AY254" i="21"/>
  <c r="AY255" i="21"/>
  <c r="AY256" i="21"/>
  <c r="AY257" i="21"/>
  <c r="AY258" i="21"/>
  <c r="AY259" i="21"/>
  <c r="AY260" i="21"/>
  <c r="AY261" i="21"/>
  <c r="AY262" i="21"/>
  <c r="AY263" i="21"/>
  <c r="AY264" i="21"/>
  <c r="AY265" i="21"/>
  <c r="AY266" i="21"/>
  <c r="AY267" i="21"/>
  <c r="AY268" i="21"/>
  <c r="AY269" i="21"/>
  <c r="AY270" i="21"/>
  <c r="AY271" i="21"/>
  <c r="AY272" i="21"/>
  <c r="AY273" i="21"/>
  <c r="AY274" i="21"/>
  <c r="AY275" i="21"/>
  <c r="AY276" i="21"/>
  <c r="AY277" i="21"/>
  <c r="AY278" i="21"/>
  <c r="AY279" i="21"/>
  <c r="AY280" i="21"/>
  <c r="AY281" i="21"/>
  <c r="AY282" i="21"/>
  <c r="AY283" i="21"/>
  <c r="AY284" i="21"/>
  <c r="AY285" i="21"/>
  <c r="AY286" i="21"/>
  <c r="AY287" i="21"/>
  <c r="AY288" i="21"/>
  <c r="AY289" i="21"/>
  <c r="AY290" i="21"/>
  <c r="AY291" i="21"/>
  <c r="AY292" i="21"/>
  <c r="AY293" i="21"/>
  <c r="AY294" i="21"/>
  <c r="AY295" i="21"/>
  <c r="AY296" i="21"/>
  <c r="AY297" i="21"/>
  <c r="AY298" i="21"/>
  <c r="AY299" i="21"/>
  <c r="AY300" i="21"/>
  <c r="AY301" i="21"/>
  <c r="AY308" i="21"/>
  <c r="AY309" i="21"/>
  <c r="AY310" i="21"/>
  <c r="AY311" i="21"/>
  <c r="AY312" i="21"/>
  <c r="AY313" i="21"/>
  <c r="AY314" i="21"/>
  <c r="AY315" i="21"/>
  <c r="AY316" i="21"/>
  <c r="AY317" i="21"/>
  <c r="AY318" i="21"/>
  <c r="AY319" i="21"/>
  <c r="AY320" i="21"/>
  <c r="AY321" i="21"/>
  <c r="AY322" i="21"/>
  <c r="AY323" i="21"/>
  <c r="AY324" i="21"/>
  <c r="AY325" i="21"/>
  <c r="AY326" i="21"/>
  <c r="AY327" i="21"/>
  <c r="AY328" i="21"/>
  <c r="AY329" i="21"/>
  <c r="AY330" i="21"/>
  <c r="AY331" i="21"/>
  <c r="AY332" i="21"/>
  <c r="AY333" i="21"/>
  <c r="AY334" i="21"/>
  <c r="AY335" i="21"/>
  <c r="AY346" i="21"/>
  <c r="AY347" i="21"/>
  <c r="AY348" i="21"/>
  <c r="AY349" i="21"/>
  <c r="AY350" i="21"/>
  <c r="AY351" i="21"/>
  <c r="AY352" i="21"/>
  <c r="AY353" i="21"/>
  <c r="AY354" i="21"/>
  <c r="AY355" i="21"/>
  <c r="AY356" i="21"/>
  <c r="AY357" i="21"/>
  <c r="AY358" i="21"/>
  <c r="AY359" i="21"/>
  <c r="AY360" i="21"/>
  <c r="AY361" i="21"/>
  <c r="AY362" i="21"/>
  <c r="AY363" i="21"/>
  <c r="AY364" i="21"/>
  <c r="AY365" i="21"/>
  <c r="AY366" i="21"/>
  <c r="AY367" i="21"/>
  <c r="AY368" i="21"/>
  <c r="AY369" i="21"/>
  <c r="AY370" i="21"/>
  <c r="AY371" i="21"/>
  <c r="AY372" i="21"/>
  <c r="AY373" i="21"/>
  <c r="AY374" i="21"/>
  <c r="AY375" i="21"/>
  <c r="AY376" i="21"/>
  <c r="AY377" i="21"/>
  <c r="AY378" i="21"/>
  <c r="AY379" i="21"/>
  <c r="AY380" i="21"/>
  <c r="AY381" i="21"/>
  <c r="AY382" i="21"/>
  <c r="AY383" i="21"/>
  <c r="AY384" i="21"/>
  <c r="AY385" i="21"/>
  <c r="AY386" i="21"/>
  <c r="AY387" i="21"/>
  <c r="AY388" i="21"/>
  <c r="AY389" i="21"/>
  <c r="AY390" i="21"/>
  <c r="AY391" i="21"/>
  <c r="AY392" i="21"/>
  <c r="AY393" i="21"/>
  <c r="AY394" i="21"/>
  <c r="AY395" i="21"/>
  <c r="AY396" i="21"/>
  <c r="AY397" i="21"/>
  <c r="AY398" i="21"/>
  <c r="AY399" i="21"/>
  <c r="AY400" i="21"/>
  <c r="AY401" i="21"/>
  <c r="AY402" i="21"/>
  <c r="AY403" i="21"/>
  <c r="AY404" i="21"/>
  <c r="AY405" i="21"/>
  <c r="AY406" i="21"/>
  <c r="AY407" i="21"/>
  <c r="AY408" i="21"/>
  <c r="AY409" i="21"/>
  <c r="AY410" i="21"/>
  <c r="AY411" i="21"/>
  <c r="AY412" i="21"/>
  <c r="AY413" i="21"/>
  <c r="AY414" i="21"/>
  <c r="AY415" i="21"/>
  <c r="AY416" i="21"/>
  <c r="AY417" i="21"/>
  <c r="AY418" i="21"/>
  <c r="AY419" i="21"/>
  <c r="AY420" i="21"/>
  <c r="AY421" i="21"/>
  <c r="AY422" i="21"/>
  <c r="AY423" i="21"/>
  <c r="AY424" i="21"/>
  <c r="AY425" i="21"/>
  <c r="AY426" i="21"/>
  <c r="AY427" i="21"/>
  <c r="AY428" i="21"/>
  <c r="AY429" i="21"/>
  <c r="AY430" i="21"/>
  <c r="AY431" i="21"/>
  <c r="AY432" i="21"/>
  <c r="AY433" i="21"/>
  <c r="AY434" i="21"/>
  <c r="AY435" i="21"/>
  <c r="AY436" i="21"/>
  <c r="AY437" i="21"/>
  <c r="AY438" i="21"/>
  <c r="AY439" i="21"/>
  <c r="AY440" i="21"/>
  <c r="AY441" i="21"/>
  <c r="AY442" i="21"/>
  <c r="AY443" i="21"/>
  <c r="AY444" i="21"/>
  <c r="AY445" i="21"/>
  <c r="AY446" i="21"/>
  <c r="AY447" i="21"/>
  <c r="AY448" i="21"/>
  <c r="AY449" i="21"/>
  <c r="AY450" i="21"/>
  <c r="AY451" i="21"/>
  <c r="AY452" i="21"/>
  <c r="AY453" i="21"/>
  <c r="AY454" i="21"/>
  <c r="AY455" i="21"/>
  <c r="AY456" i="21"/>
  <c r="AY457" i="21"/>
  <c r="AY458" i="21"/>
  <c r="AY459" i="21"/>
  <c r="AY460" i="21"/>
  <c r="AY461" i="21"/>
  <c r="AY462" i="21"/>
  <c r="AY463" i="21"/>
  <c r="AY464" i="21"/>
  <c r="AY465" i="21"/>
  <c r="AY466" i="21"/>
  <c r="AY467" i="21"/>
  <c r="AY468" i="21"/>
  <c r="AY469" i="21"/>
  <c r="AY470" i="21"/>
  <c r="AY471" i="21"/>
  <c r="AY472" i="21"/>
  <c r="AY473" i="21"/>
  <c r="AY474" i="21"/>
  <c r="AY475" i="21"/>
  <c r="AY476" i="21"/>
  <c r="AY477" i="21"/>
  <c r="AY478" i="21"/>
  <c r="AY479" i="21"/>
  <c r="AY480" i="21"/>
  <c r="AY481" i="21"/>
  <c r="AY482" i="21"/>
  <c r="AY483" i="21"/>
  <c r="AY484" i="21"/>
  <c r="AY519" i="21"/>
  <c r="AW4" i="21"/>
  <c r="AW5" i="21"/>
  <c r="AW6" i="21"/>
  <c r="AW7" i="21"/>
  <c r="AW8" i="21"/>
  <c r="AW9" i="21"/>
  <c r="AW10" i="21"/>
  <c r="AW11" i="21"/>
  <c r="AW12" i="21"/>
  <c r="AW13" i="21"/>
  <c r="AW14" i="21"/>
  <c r="AW15" i="21"/>
  <c r="AW16" i="21"/>
  <c r="AW17" i="21"/>
  <c r="AW24" i="21"/>
  <c r="AW25" i="21"/>
  <c r="AW26" i="21"/>
  <c r="AW27" i="21"/>
  <c r="AW28" i="21"/>
  <c r="AW29" i="21"/>
  <c r="AW30" i="21"/>
  <c r="AW31" i="21"/>
  <c r="AW32" i="21"/>
  <c r="AW33" i="21"/>
  <c r="AW34" i="21"/>
  <c r="AW35" i="21"/>
  <c r="AW36" i="21"/>
  <c r="AW37" i="21"/>
  <c r="AW38" i="21"/>
  <c r="AW39" i="21"/>
  <c r="AW40" i="21"/>
  <c r="AW41" i="21"/>
  <c r="AW42" i="21"/>
  <c r="AW43" i="21"/>
  <c r="AW62" i="21"/>
  <c r="AW63" i="21"/>
  <c r="AW64" i="21"/>
  <c r="AW65" i="21"/>
  <c r="AW66" i="21"/>
  <c r="AW67" i="21"/>
  <c r="AW68" i="21"/>
  <c r="AW69" i="21"/>
  <c r="AW70" i="21"/>
  <c r="AW71" i="21"/>
  <c r="AW72" i="21"/>
  <c r="AW73" i="21"/>
  <c r="AW74" i="21"/>
  <c r="AW75" i="21"/>
  <c r="AW76" i="21"/>
  <c r="AW77" i="21"/>
  <c r="AW78" i="21"/>
  <c r="AW79" i="21"/>
  <c r="AW80" i="21"/>
  <c r="AW81" i="21"/>
  <c r="AW82" i="21"/>
  <c r="AW83" i="21"/>
  <c r="AW84" i="21"/>
  <c r="AW85" i="21"/>
  <c r="AW86" i="21"/>
  <c r="AW87" i="21"/>
  <c r="AW88" i="21"/>
  <c r="AW89" i="21"/>
  <c r="AW90" i="21"/>
  <c r="AW91" i="21"/>
  <c r="AW92" i="21"/>
  <c r="AW93" i="21"/>
  <c r="AW94" i="21"/>
  <c r="AW95" i="21"/>
  <c r="AW96" i="21"/>
  <c r="AW97" i="21"/>
  <c r="AW98" i="21"/>
  <c r="AW99" i="21"/>
  <c r="AW100" i="21"/>
  <c r="AW101" i="21"/>
  <c r="AW102" i="21"/>
  <c r="AW103" i="21"/>
  <c r="AW104" i="21"/>
  <c r="AW105" i="21"/>
  <c r="AW106" i="21"/>
  <c r="AW107" i="21"/>
  <c r="AW108" i="21"/>
  <c r="AW109" i="21"/>
  <c r="AW110" i="21"/>
  <c r="AW111" i="21"/>
  <c r="AW112" i="21"/>
  <c r="AW113" i="21"/>
  <c r="AW114" i="21"/>
  <c r="AW115" i="21"/>
  <c r="AW116" i="21"/>
  <c r="AW117" i="21"/>
  <c r="AW118" i="21"/>
  <c r="AW119" i="21"/>
  <c r="AW120" i="21"/>
  <c r="AW121" i="21"/>
  <c r="AW122" i="21"/>
  <c r="AW123" i="21"/>
  <c r="AW143" i="21"/>
  <c r="AW144" i="21"/>
  <c r="AW145" i="21"/>
  <c r="AW146" i="21"/>
  <c r="AW147" i="21"/>
  <c r="AW148" i="21"/>
  <c r="AW149" i="21"/>
  <c r="AW150" i="21"/>
  <c r="AW151" i="21"/>
  <c r="AW152" i="21"/>
  <c r="AW153" i="21"/>
  <c r="AW154" i="21"/>
  <c r="AW155" i="21"/>
  <c r="AW156" i="21"/>
  <c r="AW157" i="21"/>
  <c r="AW158" i="21"/>
  <c r="AW159" i="21"/>
  <c r="AW160" i="21"/>
  <c r="AW161" i="21"/>
  <c r="AW162" i="21"/>
  <c r="AW163" i="21"/>
  <c r="AW164" i="21"/>
  <c r="AW165" i="21"/>
  <c r="AW166" i="21"/>
  <c r="AW167" i="21"/>
  <c r="AW168" i="21"/>
  <c r="AW169" i="21"/>
  <c r="AW170" i="21"/>
  <c r="AW171" i="21"/>
  <c r="AW172" i="21"/>
  <c r="AW173" i="21"/>
  <c r="AW174" i="21"/>
  <c r="AW175" i="21"/>
  <c r="AW176" i="21"/>
  <c r="AW177" i="21"/>
  <c r="AW178" i="21"/>
  <c r="AW179" i="21"/>
  <c r="AW180" i="21"/>
  <c r="AW181" i="21"/>
  <c r="AW182" i="21"/>
  <c r="AW183" i="21"/>
  <c r="AW184" i="21"/>
  <c r="AW185" i="21"/>
  <c r="AW186" i="21"/>
  <c r="AW187" i="21"/>
  <c r="AW188" i="21"/>
  <c r="AW189" i="21"/>
  <c r="AW190" i="21"/>
  <c r="AW191" i="21"/>
  <c r="AW192" i="21"/>
  <c r="AW193" i="21"/>
  <c r="AW194" i="21"/>
  <c r="AW195" i="21"/>
  <c r="AW196" i="21"/>
  <c r="AW197" i="21"/>
  <c r="AW198" i="21"/>
  <c r="AW199" i="21"/>
  <c r="AW200" i="21"/>
  <c r="AW201" i="21"/>
  <c r="AW202" i="21"/>
  <c r="AW203" i="21"/>
  <c r="AW204" i="21"/>
  <c r="AW205" i="21"/>
  <c r="AW206" i="21"/>
  <c r="AW207" i="21"/>
  <c r="AW208" i="21"/>
  <c r="AW209" i="21"/>
  <c r="AW210" i="21"/>
  <c r="AW235" i="21"/>
  <c r="AW236" i="21"/>
  <c r="AW237" i="21"/>
  <c r="AW238" i="21"/>
  <c r="AW239" i="21"/>
  <c r="AW240" i="21"/>
  <c r="AW241" i="21"/>
  <c r="AW242" i="21"/>
  <c r="AW243" i="21"/>
  <c r="AW244" i="21"/>
  <c r="AW245" i="21"/>
  <c r="AW246" i="21"/>
  <c r="AW247" i="21"/>
  <c r="AW248" i="21"/>
  <c r="AW249" i="21"/>
  <c r="AW250" i="21"/>
  <c r="AW251" i="21"/>
  <c r="AW252" i="21"/>
  <c r="AW253" i="21"/>
  <c r="AW254" i="21"/>
  <c r="AW255" i="21"/>
  <c r="AW256" i="21"/>
  <c r="AW257" i="21"/>
  <c r="AW258" i="21"/>
  <c r="AW259" i="21"/>
  <c r="AW260" i="21"/>
  <c r="AW261" i="21"/>
  <c r="AW262" i="21"/>
  <c r="AW263" i="21"/>
  <c r="AW264" i="21"/>
  <c r="AW265" i="21"/>
  <c r="AW266" i="21"/>
  <c r="AW267" i="21"/>
  <c r="AW268" i="21"/>
  <c r="AW269" i="21"/>
  <c r="AW270" i="21"/>
  <c r="AW271" i="21"/>
  <c r="AW272" i="21"/>
  <c r="AW273" i="21"/>
  <c r="AW274" i="21"/>
  <c r="AW275" i="21"/>
  <c r="AW276" i="21"/>
  <c r="AW277" i="21"/>
  <c r="AW278" i="21"/>
  <c r="AW279" i="21"/>
  <c r="AW280" i="21"/>
  <c r="AW281" i="21"/>
  <c r="AW282" i="21"/>
  <c r="AW283" i="21"/>
  <c r="AW284" i="21"/>
  <c r="AW285" i="21"/>
  <c r="AW286" i="21"/>
  <c r="AW287" i="21"/>
  <c r="AW288" i="21"/>
  <c r="AW289" i="21"/>
  <c r="AW290" i="21"/>
  <c r="AW291" i="21"/>
  <c r="AW292" i="21"/>
  <c r="AW293" i="21"/>
  <c r="AW294" i="21"/>
  <c r="AW295" i="21"/>
  <c r="AW296" i="21"/>
  <c r="AW297" i="21"/>
  <c r="AW298" i="21"/>
  <c r="AW299" i="21"/>
  <c r="AW300" i="21"/>
  <c r="AW301" i="21"/>
  <c r="AW308" i="21"/>
  <c r="AW309" i="21"/>
  <c r="AW310" i="21"/>
  <c r="AW311" i="21"/>
  <c r="AW312" i="21"/>
  <c r="AW313" i="21"/>
  <c r="AW314" i="21"/>
  <c r="AW315" i="21"/>
  <c r="AW316" i="21"/>
  <c r="AW317" i="21"/>
  <c r="AW318" i="21"/>
  <c r="AW319" i="21"/>
  <c r="AW320" i="21"/>
  <c r="AW321" i="21"/>
  <c r="AW322" i="21"/>
  <c r="AW323" i="21"/>
  <c r="AW324" i="21"/>
  <c r="AW325" i="21"/>
  <c r="AW326" i="21"/>
  <c r="AW327" i="21"/>
  <c r="AW328" i="21"/>
  <c r="AW329" i="21"/>
  <c r="AW330" i="21"/>
  <c r="AW331" i="21"/>
  <c r="AW332" i="21"/>
  <c r="AW333" i="21"/>
  <c r="AW334" i="21"/>
  <c r="AW335" i="21"/>
  <c r="AW345" i="21"/>
  <c r="AW346" i="21"/>
  <c r="AW347" i="21"/>
  <c r="AW348" i="21"/>
  <c r="AW349" i="21"/>
  <c r="AW350" i="21"/>
  <c r="AW351" i="21"/>
  <c r="AW352" i="21"/>
  <c r="AW353" i="21"/>
  <c r="AW354" i="21"/>
  <c r="AW355" i="21"/>
  <c r="AW356" i="21"/>
  <c r="AW357" i="21"/>
  <c r="AW358" i="21"/>
  <c r="AW359" i="21"/>
  <c r="AW360" i="21"/>
  <c r="AW361" i="21"/>
  <c r="AW362" i="21"/>
  <c r="AW363" i="21"/>
  <c r="AW364" i="21"/>
  <c r="AW365" i="21"/>
  <c r="AW366" i="21"/>
  <c r="AW367" i="21"/>
  <c r="AW368" i="21"/>
  <c r="AW369" i="21"/>
  <c r="AW370" i="21"/>
  <c r="AW371" i="21"/>
  <c r="AW372" i="21"/>
  <c r="AW373" i="21"/>
  <c r="AW374" i="21"/>
  <c r="AW375" i="21"/>
  <c r="AW376" i="21"/>
  <c r="AW377" i="21"/>
  <c r="AW378" i="21"/>
  <c r="AW379" i="21"/>
  <c r="AW380" i="21"/>
  <c r="AW381" i="21"/>
  <c r="AW382" i="21"/>
  <c r="AW383" i="21"/>
  <c r="AW384" i="21"/>
  <c r="AW385" i="21"/>
  <c r="AW386" i="21"/>
  <c r="AW387" i="21"/>
  <c r="AW388" i="21"/>
  <c r="AW389" i="21"/>
  <c r="AW390" i="21"/>
  <c r="AW391" i="21"/>
  <c r="AW392" i="21"/>
  <c r="AW393" i="21"/>
  <c r="AW394" i="21"/>
  <c r="AW395" i="21"/>
  <c r="AW396" i="21"/>
  <c r="AW397" i="21"/>
  <c r="AW398" i="21"/>
  <c r="AW399" i="21"/>
  <c r="AW400" i="21"/>
  <c r="AW401" i="21"/>
  <c r="AW402" i="21"/>
  <c r="AW403" i="21"/>
  <c r="AW404" i="21"/>
  <c r="AW405" i="21"/>
  <c r="AW406" i="21"/>
  <c r="AW407" i="21"/>
  <c r="AW408" i="21"/>
  <c r="AW409" i="21"/>
  <c r="AW410" i="21"/>
  <c r="AW411" i="21"/>
  <c r="AW412" i="21"/>
  <c r="AW413" i="21"/>
  <c r="AW414" i="21"/>
  <c r="AW415" i="21"/>
  <c r="AW416" i="21"/>
  <c r="AW417" i="21"/>
  <c r="AW418" i="21"/>
  <c r="AW419" i="21"/>
  <c r="AW420" i="21"/>
  <c r="AW421" i="21"/>
  <c r="AW422" i="21"/>
  <c r="AW423" i="21"/>
  <c r="AW424" i="21"/>
  <c r="AW425" i="21"/>
  <c r="AW426" i="21"/>
  <c r="AW427" i="21"/>
  <c r="AW428" i="21"/>
  <c r="AW429" i="21"/>
  <c r="AW430" i="21"/>
  <c r="AW431" i="21"/>
  <c r="AW432" i="21"/>
  <c r="AW433" i="21"/>
  <c r="AW434" i="21"/>
  <c r="AW435" i="21"/>
  <c r="AW436" i="21"/>
  <c r="AW437" i="21"/>
  <c r="AW438" i="21"/>
  <c r="AW439" i="21"/>
  <c r="AW440" i="21"/>
  <c r="AW441" i="21"/>
  <c r="AW442" i="21"/>
  <c r="AW443" i="21"/>
  <c r="AW444" i="21"/>
  <c r="AW445" i="21"/>
  <c r="AW446" i="21"/>
  <c r="AW447" i="21"/>
  <c r="AW448" i="21"/>
  <c r="AW449" i="21"/>
  <c r="AW450" i="21"/>
  <c r="AW451" i="21"/>
  <c r="AW452" i="21"/>
  <c r="AW453" i="21"/>
  <c r="AW454" i="21"/>
  <c r="AW455" i="21"/>
  <c r="AW456" i="21"/>
  <c r="AW457" i="21"/>
  <c r="AW458" i="21"/>
  <c r="AW459" i="21"/>
  <c r="AW460" i="21"/>
  <c r="AW461" i="21"/>
  <c r="AW462" i="21"/>
  <c r="AW463" i="21"/>
  <c r="AW464" i="21"/>
  <c r="AW465" i="21"/>
  <c r="AW466" i="21"/>
  <c r="AW467" i="21"/>
  <c r="AW468" i="21"/>
  <c r="AW469" i="21"/>
  <c r="AW470" i="21"/>
  <c r="AW471" i="21"/>
  <c r="AW472" i="21"/>
  <c r="AW473" i="21"/>
  <c r="AW474" i="21"/>
  <c r="AW475" i="21"/>
  <c r="AW476" i="21"/>
  <c r="AW477" i="21"/>
  <c r="AW478" i="21"/>
  <c r="AW479" i="21"/>
  <c r="AW480" i="21"/>
  <c r="AW481" i="21"/>
  <c r="AW482" i="21"/>
  <c r="AW483" i="21"/>
  <c r="AW484" i="21"/>
  <c r="AU4" i="21"/>
  <c r="AU5" i="21"/>
  <c r="AU6" i="21"/>
  <c r="AU7" i="21"/>
  <c r="AU8" i="21"/>
  <c r="AU9" i="21"/>
  <c r="AU10" i="21"/>
  <c r="AU11" i="21"/>
  <c r="AU12" i="21"/>
  <c r="AU13" i="21"/>
  <c r="AU14" i="21"/>
  <c r="AU15" i="21"/>
  <c r="AU16" i="21"/>
  <c r="AU17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U174" i="21"/>
  <c r="AU175" i="21"/>
  <c r="AU176" i="21"/>
  <c r="AU177" i="21"/>
  <c r="AU178" i="21"/>
  <c r="AU179" i="21"/>
  <c r="AU180" i="21"/>
  <c r="AU181" i="21"/>
  <c r="AU182" i="21"/>
  <c r="AU183" i="21"/>
  <c r="AU184" i="21"/>
  <c r="AU185" i="21"/>
  <c r="AU186" i="21"/>
  <c r="AU187" i="21"/>
  <c r="AU188" i="21"/>
  <c r="AU189" i="21"/>
  <c r="AU190" i="21"/>
  <c r="AU191" i="21"/>
  <c r="AU192" i="21"/>
  <c r="AU193" i="21"/>
  <c r="AU194" i="21"/>
  <c r="AU195" i="21"/>
  <c r="AU196" i="21"/>
  <c r="AU197" i="21"/>
  <c r="AU198" i="21"/>
  <c r="AU199" i="21"/>
  <c r="AU200" i="21"/>
  <c r="AU201" i="21"/>
  <c r="AU202" i="21"/>
  <c r="AU203" i="21"/>
  <c r="AU204" i="21"/>
  <c r="AU205" i="21"/>
  <c r="AU206" i="21"/>
  <c r="AU207" i="21"/>
  <c r="AU208" i="21"/>
  <c r="AU209" i="21"/>
  <c r="AU210" i="21"/>
  <c r="AU238" i="21"/>
  <c r="AU239" i="21"/>
  <c r="AU240" i="21"/>
  <c r="AU241" i="21"/>
  <c r="AU242" i="21"/>
  <c r="AU243" i="21"/>
  <c r="AU244" i="21"/>
  <c r="AU245" i="21"/>
  <c r="AU246" i="21"/>
  <c r="AU247" i="21"/>
  <c r="AU248" i="21"/>
  <c r="AU249" i="21"/>
  <c r="AU250" i="21"/>
  <c r="AU251" i="21"/>
  <c r="AU252" i="21"/>
  <c r="AU253" i="21"/>
  <c r="AU254" i="21"/>
  <c r="AU255" i="21"/>
  <c r="AU256" i="21"/>
  <c r="AU257" i="21"/>
  <c r="AU258" i="21"/>
  <c r="AU259" i="21"/>
  <c r="AU260" i="21"/>
  <c r="AU261" i="21"/>
  <c r="AU262" i="21"/>
  <c r="AU263" i="21"/>
  <c r="AU264" i="21"/>
  <c r="AU265" i="21"/>
  <c r="AU266" i="21"/>
  <c r="AU267" i="21"/>
  <c r="AU268" i="21"/>
  <c r="AU269" i="21"/>
  <c r="AU270" i="21"/>
  <c r="AU271" i="21"/>
  <c r="AU272" i="21"/>
  <c r="AU273" i="21"/>
  <c r="AU274" i="21"/>
  <c r="AU275" i="21"/>
  <c r="AU276" i="21"/>
  <c r="AU277" i="21"/>
  <c r="AU278" i="21"/>
  <c r="AU279" i="21"/>
  <c r="AU280" i="21"/>
  <c r="AU281" i="21"/>
  <c r="AU282" i="21"/>
  <c r="AU283" i="21"/>
  <c r="AU284" i="21"/>
  <c r="AU285" i="21"/>
  <c r="AU286" i="21"/>
  <c r="AU287" i="21"/>
  <c r="AU288" i="21"/>
  <c r="AU289" i="21"/>
  <c r="AU290" i="21"/>
  <c r="AU291" i="21"/>
  <c r="AU292" i="21"/>
  <c r="AU293" i="21"/>
  <c r="AU294" i="21"/>
  <c r="AU295" i="21"/>
  <c r="AU296" i="21"/>
  <c r="AU297" i="21"/>
  <c r="AU298" i="21"/>
  <c r="AU299" i="21"/>
  <c r="AU300" i="21"/>
  <c r="AU301" i="21"/>
  <c r="AU308" i="21"/>
  <c r="AU309" i="21"/>
  <c r="AU310" i="21"/>
  <c r="AU311" i="21"/>
  <c r="AU312" i="21"/>
  <c r="AU313" i="21"/>
  <c r="AU314" i="21"/>
  <c r="AU315" i="21"/>
  <c r="AU316" i="21"/>
  <c r="AU317" i="21"/>
  <c r="AU318" i="21"/>
  <c r="AU319" i="21"/>
  <c r="AU320" i="21"/>
  <c r="AU321" i="21"/>
  <c r="AU322" i="21"/>
  <c r="AU323" i="21"/>
  <c r="AU324" i="21"/>
  <c r="AU325" i="21"/>
  <c r="AU326" i="21"/>
  <c r="AU327" i="21"/>
  <c r="AU328" i="21"/>
  <c r="AU329" i="21"/>
  <c r="AU330" i="21"/>
  <c r="AU331" i="21"/>
  <c r="AU332" i="21"/>
  <c r="AU333" i="21"/>
  <c r="AU334" i="21"/>
  <c r="AU335" i="21"/>
  <c r="AU345" i="21"/>
  <c r="AU346" i="21"/>
  <c r="AU347" i="21"/>
  <c r="AU348" i="21"/>
  <c r="AU349" i="21"/>
  <c r="AU350" i="21"/>
  <c r="AU351" i="21"/>
  <c r="AU352" i="21"/>
  <c r="AU353" i="21"/>
  <c r="AU354" i="21"/>
  <c r="AU355" i="21"/>
  <c r="AU356" i="21"/>
  <c r="AU357" i="21"/>
  <c r="AU358" i="21"/>
  <c r="AU359" i="21"/>
  <c r="AU360" i="21"/>
  <c r="AU361" i="21"/>
  <c r="AU362" i="21"/>
  <c r="AU363" i="21"/>
  <c r="AU364" i="21"/>
  <c r="AU365" i="21"/>
  <c r="AU366" i="21"/>
  <c r="AU367" i="21"/>
  <c r="AU368" i="21"/>
  <c r="AU369" i="21"/>
  <c r="AU370" i="21"/>
  <c r="AU371" i="21"/>
  <c r="AU372" i="21"/>
  <c r="AU373" i="21"/>
  <c r="AU374" i="21"/>
  <c r="AU375" i="21"/>
  <c r="AU376" i="21"/>
  <c r="AU377" i="21"/>
  <c r="AU378" i="21"/>
  <c r="AU379" i="21"/>
  <c r="AU380" i="21"/>
  <c r="AU381" i="21"/>
  <c r="AU382" i="21"/>
  <c r="AU383" i="21"/>
  <c r="AU384" i="21"/>
  <c r="AU385" i="21"/>
  <c r="AU386" i="21"/>
  <c r="AU387" i="21"/>
  <c r="AU388" i="21"/>
  <c r="AU389" i="21"/>
  <c r="AU390" i="21"/>
  <c r="AU391" i="21"/>
  <c r="AU392" i="21"/>
  <c r="AU393" i="21"/>
  <c r="AU394" i="21"/>
  <c r="AU395" i="21"/>
  <c r="AU396" i="21"/>
  <c r="AU397" i="21"/>
  <c r="AU398" i="21"/>
  <c r="AU399" i="21"/>
  <c r="AU400" i="21"/>
  <c r="AU401" i="21"/>
  <c r="AU402" i="21"/>
  <c r="AU403" i="21"/>
  <c r="AU404" i="21"/>
  <c r="AU405" i="21"/>
  <c r="AU406" i="21"/>
  <c r="AU407" i="21"/>
  <c r="AU408" i="21"/>
  <c r="AU409" i="21"/>
  <c r="AU410" i="21"/>
  <c r="AU411" i="21"/>
  <c r="AU412" i="21"/>
  <c r="AU413" i="21"/>
  <c r="AU414" i="21"/>
  <c r="AU415" i="21"/>
  <c r="AU416" i="21"/>
  <c r="AU417" i="21"/>
  <c r="AU418" i="21"/>
  <c r="AU419" i="21"/>
  <c r="AU420" i="21"/>
  <c r="AU421" i="21"/>
  <c r="AU422" i="21"/>
  <c r="AU423" i="21"/>
  <c r="AU424" i="21"/>
  <c r="AU425" i="21"/>
  <c r="AU426" i="21"/>
  <c r="AU427" i="21"/>
  <c r="AU428" i="21"/>
  <c r="AU429" i="21"/>
  <c r="AU430" i="21"/>
  <c r="AU431" i="21"/>
  <c r="AU432" i="21"/>
  <c r="AU433" i="21"/>
  <c r="AU434" i="21"/>
  <c r="AU435" i="21"/>
  <c r="AU436" i="21"/>
  <c r="AU437" i="21"/>
  <c r="AU438" i="21"/>
  <c r="AU439" i="21"/>
  <c r="AU440" i="21"/>
  <c r="AU441" i="21"/>
  <c r="AU442" i="21"/>
  <c r="AU443" i="21"/>
  <c r="AU444" i="21"/>
  <c r="AU445" i="21"/>
  <c r="AU446" i="21"/>
  <c r="AU447" i="21"/>
  <c r="AU448" i="21"/>
  <c r="AU449" i="21"/>
  <c r="AU450" i="21"/>
  <c r="AU451" i="21"/>
  <c r="AU452" i="21"/>
  <c r="AU453" i="21"/>
  <c r="AU454" i="21"/>
  <c r="AU455" i="21"/>
  <c r="AU456" i="21"/>
  <c r="AU457" i="21"/>
  <c r="AU458" i="21"/>
  <c r="AU459" i="21"/>
  <c r="AU460" i="21"/>
  <c r="AU461" i="21"/>
  <c r="AU462" i="21"/>
  <c r="AU463" i="21"/>
  <c r="AU464" i="21"/>
  <c r="AU465" i="21"/>
  <c r="AU466" i="21"/>
  <c r="AU467" i="21"/>
  <c r="AU468" i="21"/>
  <c r="AU469" i="21"/>
  <c r="AU470" i="21"/>
  <c r="AU471" i="21"/>
  <c r="AU472" i="21"/>
  <c r="AU473" i="21"/>
  <c r="AU474" i="21"/>
  <c r="AU475" i="21"/>
  <c r="AU476" i="21"/>
  <c r="AU477" i="21"/>
  <c r="AU478" i="21"/>
  <c r="AU479" i="21"/>
  <c r="AU480" i="21"/>
  <c r="AU481" i="21"/>
  <c r="AU482" i="21"/>
  <c r="AU483" i="21"/>
  <c r="AU484" i="21"/>
  <c r="AS4" i="21"/>
  <c r="AS5" i="21"/>
  <c r="AS6" i="21"/>
  <c r="AS7" i="21"/>
  <c r="AS8" i="21"/>
  <c r="AS9" i="21"/>
  <c r="AS10" i="21"/>
  <c r="AS11" i="21"/>
  <c r="AS12" i="21"/>
  <c r="AS13" i="21"/>
  <c r="AS14" i="21"/>
  <c r="AS15" i="21"/>
  <c r="AS16" i="21"/>
  <c r="AS17" i="21"/>
  <c r="AS24" i="21"/>
  <c r="AS25" i="21"/>
  <c r="AS26" i="21"/>
  <c r="AS27" i="21"/>
  <c r="AS28" i="21"/>
  <c r="AS29" i="21"/>
  <c r="AS30" i="21"/>
  <c r="AS31" i="21"/>
  <c r="AS32" i="21"/>
  <c r="AS33" i="21"/>
  <c r="AS34" i="21"/>
  <c r="AS35" i="21"/>
  <c r="AS36" i="21"/>
  <c r="AS37" i="21"/>
  <c r="AS38" i="21"/>
  <c r="AS39" i="21"/>
  <c r="AS40" i="21"/>
  <c r="AS41" i="21"/>
  <c r="AS42" i="21"/>
  <c r="AS43" i="21"/>
  <c r="AS62" i="21"/>
  <c r="AS63" i="21"/>
  <c r="AS64" i="21"/>
  <c r="AS65" i="21"/>
  <c r="AS66" i="21"/>
  <c r="AS67" i="21"/>
  <c r="AS68" i="21"/>
  <c r="AS69" i="21"/>
  <c r="AS70" i="21"/>
  <c r="AS71" i="21"/>
  <c r="AS72" i="21"/>
  <c r="AS73" i="21"/>
  <c r="AS74" i="21"/>
  <c r="AS75" i="21"/>
  <c r="AS76" i="21"/>
  <c r="AS77" i="21"/>
  <c r="AS78" i="21"/>
  <c r="AS79" i="21"/>
  <c r="AS80" i="21"/>
  <c r="AS81" i="21"/>
  <c r="AS82" i="21"/>
  <c r="AS83" i="21"/>
  <c r="AS84" i="21"/>
  <c r="AS85" i="21"/>
  <c r="AS86" i="21"/>
  <c r="AS87" i="21"/>
  <c r="AS88" i="21"/>
  <c r="AS89" i="21"/>
  <c r="AS90" i="21"/>
  <c r="AS91" i="21"/>
  <c r="AS92" i="21"/>
  <c r="AS93" i="21"/>
  <c r="AS94" i="21"/>
  <c r="AS95" i="21"/>
  <c r="AS96" i="21"/>
  <c r="AS97" i="21"/>
  <c r="AS98" i="21"/>
  <c r="AS99" i="21"/>
  <c r="AS100" i="21"/>
  <c r="AS101" i="21"/>
  <c r="AS102" i="21"/>
  <c r="AS103" i="21"/>
  <c r="AS104" i="21"/>
  <c r="AS105" i="21"/>
  <c r="AS106" i="21"/>
  <c r="AS107" i="21"/>
  <c r="AS108" i="21"/>
  <c r="AS109" i="21"/>
  <c r="AS110" i="21"/>
  <c r="AS111" i="21"/>
  <c r="AS112" i="21"/>
  <c r="AS113" i="21"/>
  <c r="AS114" i="21"/>
  <c r="AS115" i="21"/>
  <c r="AS116" i="21"/>
  <c r="AS117" i="21"/>
  <c r="AS118" i="21"/>
  <c r="AS119" i="21"/>
  <c r="AS120" i="21"/>
  <c r="AS121" i="21"/>
  <c r="AS122" i="21"/>
  <c r="AS123" i="21"/>
  <c r="AS143" i="21"/>
  <c r="AS144" i="21"/>
  <c r="AS145" i="21"/>
  <c r="AS146" i="21"/>
  <c r="AS147" i="21"/>
  <c r="AS148" i="21"/>
  <c r="AS149" i="21"/>
  <c r="AS150" i="21"/>
  <c r="AS151" i="21"/>
  <c r="AS152" i="21"/>
  <c r="AS153" i="21"/>
  <c r="AS154" i="21"/>
  <c r="AS155" i="21"/>
  <c r="AS156" i="21"/>
  <c r="AS157" i="21"/>
  <c r="AS158" i="21"/>
  <c r="AS159" i="21"/>
  <c r="AS160" i="21"/>
  <c r="AS161" i="21"/>
  <c r="AS162" i="21"/>
  <c r="AS163" i="21"/>
  <c r="AS164" i="21"/>
  <c r="AS165" i="21"/>
  <c r="AS166" i="21"/>
  <c r="AS167" i="21"/>
  <c r="AS168" i="21"/>
  <c r="AS169" i="21"/>
  <c r="AS170" i="21"/>
  <c r="AS171" i="21"/>
  <c r="AS172" i="21"/>
  <c r="AS173" i="21"/>
  <c r="AS174" i="21"/>
  <c r="AS175" i="21"/>
  <c r="AS176" i="21"/>
  <c r="AS177" i="21"/>
  <c r="AS178" i="21"/>
  <c r="AS179" i="21"/>
  <c r="AS180" i="21"/>
  <c r="AS181" i="21"/>
  <c r="AS182" i="21"/>
  <c r="AS183" i="21"/>
  <c r="AS184" i="21"/>
  <c r="AS185" i="21"/>
  <c r="AS186" i="21"/>
  <c r="AS187" i="21"/>
  <c r="AS188" i="21"/>
  <c r="AS189" i="21"/>
  <c r="AS190" i="21"/>
  <c r="AS191" i="21"/>
  <c r="AS192" i="21"/>
  <c r="AS193" i="21"/>
  <c r="AS194" i="21"/>
  <c r="AS195" i="21"/>
  <c r="AS196" i="21"/>
  <c r="AS197" i="21"/>
  <c r="AS198" i="21"/>
  <c r="AS199" i="21"/>
  <c r="AS200" i="21"/>
  <c r="AS201" i="21"/>
  <c r="AS202" i="21"/>
  <c r="AS203" i="21"/>
  <c r="AS204" i="21"/>
  <c r="AS205" i="21"/>
  <c r="AS206" i="21"/>
  <c r="AS207" i="21"/>
  <c r="AS208" i="21"/>
  <c r="AS209" i="21"/>
  <c r="AS210" i="21"/>
  <c r="AS236" i="21"/>
  <c r="AS237" i="21"/>
  <c r="AS238" i="21"/>
  <c r="AS239" i="21"/>
  <c r="AS240" i="21"/>
  <c r="AS241" i="21"/>
  <c r="AS242" i="21"/>
  <c r="AS243" i="21"/>
  <c r="AS244" i="21"/>
  <c r="AS245" i="21"/>
  <c r="AS246" i="21"/>
  <c r="AS247" i="21"/>
  <c r="AS248" i="21"/>
  <c r="AS249" i="21"/>
  <c r="AS250" i="21"/>
  <c r="AS251" i="21"/>
  <c r="AS252" i="21"/>
  <c r="AS253" i="21"/>
  <c r="AS254" i="21"/>
  <c r="AS255" i="21"/>
  <c r="AS256" i="21"/>
  <c r="AS257" i="21"/>
  <c r="AS258" i="21"/>
  <c r="AS259" i="21"/>
  <c r="AS260" i="21"/>
  <c r="AS261" i="21"/>
  <c r="AS262" i="21"/>
  <c r="AS263" i="21"/>
  <c r="AS264" i="21"/>
  <c r="AS265" i="21"/>
  <c r="AS266" i="21"/>
  <c r="AS267" i="21"/>
  <c r="AS268" i="21"/>
  <c r="AS269" i="21"/>
  <c r="AS270" i="21"/>
  <c r="AS271" i="21"/>
  <c r="AS272" i="21"/>
  <c r="AS273" i="21"/>
  <c r="AS274" i="21"/>
  <c r="AS275" i="21"/>
  <c r="AS276" i="21"/>
  <c r="AS277" i="21"/>
  <c r="AS278" i="21"/>
  <c r="AS279" i="21"/>
  <c r="AS280" i="21"/>
  <c r="AS281" i="21"/>
  <c r="AS282" i="21"/>
  <c r="AS283" i="21"/>
  <c r="AS284" i="21"/>
  <c r="AS285" i="21"/>
  <c r="AS286" i="21"/>
  <c r="AS287" i="21"/>
  <c r="AS288" i="21"/>
  <c r="AS289" i="21"/>
  <c r="AS290" i="21"/>
  <c r="AS291" i="21"/>
  <c r="AS292" i="21"/>
  <c r="AS293" i="21"/>
  <c r="AS294" i="21"/>
  <c r="AS295" i="21"/>
  <c r="AS296" i="21"/>
  <c r="AS297" i="21"/>
  <c r="AS298" i="21"/>
  <c r="AS299" i="21"/>
  <c r="AS300" i="21"/>
  <c r="AS301" i="21"/>
  <c r="AS308" i="21"/>
  <c r="AS309" i="21"/>
  <c r="AS310" i="21"/>
  <c r="AS311" i="21"/>
  <c r="AS312" i="21"/>
  <c r="AS313" i="21"/>
  <c r="AS314" i="21"/>
  <c r="AS315" i="21"/>
  <c r="AS316" i="21"/>
  <c r="AS317" i="21"/>
  <c r="AS318" i="21"/>
  <c r="AS319" i="21"/>
  <c r="AS320" i="21"/>
  <c r="AS321" i="21"/>
  <c r="AS322" i="21"/>
  <c r="AS323" i="21"/>
  <c r="AS324" i="21"/>
  <c r="AS325" i="21"/>
  <c r="AS326" i="21"/>
  <c r="AS327" i="21"/>
  <c r="AS328" i="21"/>
  <c r="AS329" i="21"/>
  <c r="AS330" i="21"/>
  <c r="AS331" i="21"/>
  <c r="AS332" i="21"/>
  <c r="AS333" i="21"/>
  <c r="AS334" i="21"/>
  <c r="AS335" i="21"/>
  <c r="AS345" i="21"/>
  <c r="AS346" i="21"/>
  <c r="AS347" i="21"/>
  <c r="AS348" i="21"/>
  <c r="AS349" i="21"/>
  <c r="AS350" i="21"/>
  <c r="AS351" i="21"/>
  <c r="AS352" i="21"/>
  <c r="AS353" i="21"/>
  <c r="AS354" i="21"/>
  <c r="AS355" i="21"/>
  <c r="AS356" i="21"/>
  <c r="AS357" i="21"/>
  <c r="AS358" i="21"/>
  <c r="AS359" i="21"/>
  <c r="AS360" i="21"/>
  <c r="AS361" i="21"/>
  <c r="AS362" i="21"/>
  <c r="AS363" i="21"/>
  <c r="AS364" i="21"/>
  <c r="AS365" i="21"/>
  <c r="AS366" i="21"/>
  <c r="AS367" i="21"/>
  <c r="AS368" i="21"/>
  <c r="AS369" i="21"/>
  <c r="AS370" i="21"/>
  <c r="AS371" i="21"/>
  <c r="AS372" i="21"/>
  <c r="AS373" i="21"/>
  <c r="AS374" i="21"/>
  <c r="AS375" i="21"/>
  <c r="AS376" i="21"/>
  <c r="AS377" i="21"/>
  <c r="AS378" i="21"/>
  <c r="AS379" i="21"/>
  <c r="AS380" i="21"/>
  <c r="AS381" i="21"/>
  <c r="AS382" i="21"/>
  <c r="AS383" i="21"/>
  <c r="AS384" i="21"/>
  <c r="AS385" i="21"/>
  <c r="AS386" i="21"/>
  <c r="AS387" i="21"/>
  <c r="AS388" i="21"/>
  <c r="AS389" i="21"/>
  <c r="AS390" i="21"/>
  <c r="AS391" i="21"/>
  <c r="AS392" i="21"/>
  <c r="AS393" i="21"/>
  <c r="AS394" i="21"/>
  <c r="AS395" i="21"/>
  <c r="AS396" i="21"/>
  <c r="AS397" i="21"/>
  <c r="AS398" i="21"/>
  <c r="AS399" i="21"/>
  <c r="AS400" i="21"/>
  <c r="AS401" i="21"/>
  <c r="AS402" i="21"/>
  <c r="AS403" i="21"/>
  <c r="AS404" i="21"/>
  <c r="AS405" i="21"/>
  <c r="AS406" i="21"/>
  <c r="AS407" i="21"/>
  <c r="AS408" i="21"/>
  <c r="AS409" i="21"/>
  <c r="AS410" i="21"/>
  <c r="AS411" i="21"/>
  <c r="AS412" i="21"/>
  <c r="AS413" i="21"/>
  <c r="AS414" i="21"/>
  <c r="AS415" i="21"/>
  <c r="AS416" i="21"/>
  <c r="AS417" i="21"/>
  <c r="AS418" i="21"/>
  <c r="AS419" i="21"/>
  <c r="AS420" i="21"/>
  <c r="AS421" i="21"/>
  <c r="AS422" i="21"/>
  <c r="AS423" i="21"/>
  <c r="AS424" i="21"/>
  <c r="AS425" i="21"/>
  <c r="AS426" i="21"/>
  <c r="AS427" i="21"/>
  <c r="AS428" i="21"/>
  <c r="AS429" i="21"/>
  <c r="AS430" i="21"/>
  <c r="AS431" i="21"/>
  <c r="AS432" i="21"/>
  <c r="AS433" i="21"/>
  <c r="AS434" i="21"/>
  <c r="AS435" i="21"/>
  <c r="AS436" i="21"/>
  <c r="AS437" i="21"/>
  <c r="AS438" i="21"/>
  <c r="AS439" i="21"/>
  <c r="AS440" i="21"/>
  <c r="AS441" i="21"/>
  <c r="AS442" i="21"/>
  <c r="AS443" i="21"/>
  <c r="AS444" i="21"/>
  <c r="AS445" i="21"/>
  <c r="AS446" i="21"/>
  <c r="AS447" i="21"/>
  <c r="AS448" i="21"/>
  <c r="AS449" i="21"/>
  <c r="AS450" i="21"/>
  <c r="AS451" i="21"/>
  <c r="AS452" i="21"/>
  <c r="AS453" i="21"/>
  <c r="AS454" i="21"/>
  <c r="AS455" i="21"/>
  <c r="AS456" i="21"/>
  <c r="AS457" i="21"/>
  <c r="AS458" i="21"/>
  <c r="AS459" i="21"/>
  <c r="AS460" i="21"/>
  <c r="AS461" i="21"/>
  <c r="AS462" i="21"/>
  <c r="AS463" i="21"/>
  <c r="AS464" i="21"/>
  <c r="AS465" i="21"/>
  <c r="AS466" i="21"/>
  <c r="AS467" i="21"/>
  <c r="AS468" i="21"/>
  <c r="AS469" i="21"/>
  <c r="AS470" i="21"/>
  <c r="AS471" i="21"/>
  <c r="AS472" i="21"/>
  <c r="AS473" i="21"/>
  <c r="AS474" i="21"/>
  <c r="AS475" i="21"/>
  <c r="AS476" i="21"/>
  <c r="AS477" i="21"/>
  <c r="AS478" i="21"/>
  <c r="AS479" i="21"/>
  <c r="AS480" i="21"/>
  <c r="AS481" i="21"/>
  <c r="AS482" i="21"/>
  <c r="AS483" i="21"/>
  <c r="AS484" i="21"/>
  <c r="AQ4" i="21"/>
  <c r="AQ5" i="21"/>
  <c r="AQ6" i="21"/>
  <c r="AQ7" i="21"/>
  <c r="AQ8" i="21"/>
  <c r="AQ9" i="21"/>
  <c r="AQ10" i="21"/>
  <c r="AQ11" i="21"/>
  <c r="AQ12" i="21"/>
  <c r="AQ13" i="21"/>
  <c r="AQ14" i="21"/>
  <c r="AQ15" i="21"/>
  <c r="AQ16" i="21"/>
  <c r="AQ17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Q174" i="21"/>
  <c r="AQ175" i="21"/>
  <c r="AQ176" i="21"/>
  <c r="AQ177" i="21"/>
  <c r="AQ178" i="21"/>
  <c r="AQ179" i="21"/>
  <c r="AQ180" i="21"/>
  <c r="AQ181" i="21"/>
  <c r="AQ182" i="21"/>
  <c r="AQ183" i="21"/>
  <c r="AQ184" i="21"/>
  <c r="AQ185" i="21"/>
  <c r="AQ186" i="21"/>
  <c r="AQ187" i="21"/>
  <c r="AQ188" i="21"/>
  <c r="AQ189" i="21"/>
  <c r="AQ190" i="21"/>
  <c r="AQ191" i="21"/>
  <c r="AQ192" i="21"/>
  <c r="AQ193" i="21"/>
  <c r="AQ194" i="21"/>
  <c r="AQ195" i="21"/>
  <c r="AQ196" i="21"/>
  <c r="AQ197" i="21"/>
  <c r="AQ198" i="21"/>
  <c r="AQ199" i="21"/>
  <c r="AQ200" i="21"/>
  <c r="AQ201" i="21"/>
  <c r="AQ202" i="21"/>
  <c r="AQ203" i="21"/>
  <c r="AQ204" i="21"/>
  <c r="AQ205" i="21"/>
  <c r="AQ206" i="21"/>
  <c r="AQ207" i="21"/>
  <c r="AQ208" i="21"/>
  <c r="AQ209" i="21"/>
  <c r="AQ210" i="21"/>
  <c r="AQ235" i="21"/>
  <c r="AQ236" i="21"/>
  <c r="AQ237" i="21"/>
  <c r="AQ238" i="21"/>
  <c r="AQ239" i="21"/>
  <c r="AQ240" i="21"/>
  <c r="AQ241" i="21"/>
  <c r="AQ242" i="21"/>
  <c r="AQ243" i="21"/>
  <c r="AQ244" i="21"/>
  <c r="AQ245" i="21"/>
  <c r="AQ246" i="21"/>
  <c r="AQ247" i="21"/>
  <c r="AQ248" i="21"/>
  <c r="AQ249" i="21"/>
  <c r="AQ250" i="21"/>
  <c r="AQ251" i="21"/>
  <c r="AQ252" i="21"/>
  <c r="AQ253" i="21"/>
  <c r="AQ254" i="21"/>
  <c r="AQ255" i="21"/>
  <c r="AQ256" i="21"/>
  <c r="AQ257" i="21"/>
  <c r="AQ258" i="21"/>
  <c r="AQ259" i="21"/>
  <c r="AQ260" i="21"/>
  <c r="AQ261" i="21"/>
  <c r="AQ262" i="21"/>
  <c r="AQ263" i="21"/>
  <c r="AQ264" i="21"/>
  <c r="AQ265" i="21"/>
  <c r="AQ266" i="21"/>
  <c r="AQ267" i="21"/>
  <c r="AQ268" i="21"/>
  <c r="AQ269" i="21"/>
  <c r="AQ270" i="21"/>
  <c r="AQ271" i="21"/>
  <c r="AQ272" i="21"/>
  <c r="AQ273" i="21"/>
  <c r="AQ274" i="21"/>
  <c r="AQ275" i="21"/>
  <c r="AQ276" i="21"/>
  <c r="AQ277" i="21"/>
  <c r="AQ278" i="21"/>
  <c r="AQ279" i="21"/>
  <c r="AQ280" i="21"/>
  <c r="AQ281" i="21"/>
  <c r="AQ282" i="21"/>
  <c r="AQ283" i="21"/>
  <c r="AQ284" i="21"/>
  <c r="AQ285" i="21"/>
  <c r="AQ286" i="21"/>
  <c r="AQ287" i="21"/>
  <c r="AQ288" i="21"/>
  <c r="AQ289" i="21"/>
  <c r="AQ290" i="21"/>
  <c r="AQ291" i="21"/>
  <c r="AQ292" i="21"/>
  <c r="AQ293" i="21"/>
  <c r="AQ294" i="21"/>
  <c r="AQ295" i="21"/>
  <c r="AQ296" i="21"/>
  <c r="AQ297" i="21"/>
  <c r="AQ298" i="21"/>
  <c r="AQ299" i="21"/>
  <c r="AQ300" i="21"/>
  <c r="AQ301" i="21"/>
  <c r="AQ308" i="21"/>
  <c r="AQ309" i="21"/>
  <c r="AQ310" i="21"/>
  <c r="AQ311" i="21"/>
  <c r="AQ312" i="21"/>
  <c r="AQ313" i="21"/>
  <c r="AQ314" i="21"/>
  <c r="AQ315" i="21"/>
  <c r="AQ316" i="21"/>
  <c r="AQ317" i="21"/>
  <c r="AQ318" i="21"/>
  <c r="AQ319" i="21"/>
  <c r="AQ320" i="21"/>
  <c r="AQ321" i="21"/>
  <c r="AQ322" i="21"/>
  <c r="AQ323" i="21"/>
  <c r="AQ324" i="21"/>
  <c r="AQ325" i="21"/>
  <c r="AQ326" i="21"/>
  <c r="AQ327" i="21"/>
  <c r="AQ328" i="21"/>
  <c r="AQ329" i="21"/>
  <c r="AQ330" i="21"/>
  <c r="AQ331" i="21"/>
  <c r="AQ332" i="21"/>
  <c r="AQ333" i="21"/>
  <c r="AQ334" i="21"/>
  <c r="AQ335" i="21"/>
  <c r="AQ345" i="21"/>
  <c r="AQ346" i="21"/>
  <c r="AQ347" i="21"/>
  <c r="AQ348" i="21"/>
  <c r="AQ349" i="21"/>
  <c r="AQ350" i="21"/>
  <c r="AQ351" i="21"/>
  <c r="AQ352" i="21"/>
  <c r="AQ353" i="21"/>
  <c r="AQ354" i="21"/>
  <c r="AQ355" i="21"/>
  <c r="AQ356" i="21"/>
  <c r="AQ357" i="21"/>
  <c r="AQ358" i="21"/>
  <c r="AQ359" i="21"/>
  <c r="AQ360" i="21"/>
  <c r="AQ361" i="21"/>
  <c r="AQ362" i="21"/>
  <c r="AQ363" i="21"/>
  <c r="AQ364" i="21"/>
  <c r="AQ365" i="21"/>
  <c r="AQ366" i="21"/>
  <c r="AQ367" i="21"/>
  <c r="AQ368" i="21"/>
  <c r="AQ369" i="21"/>
  <c r="AQ370" i="21"/>
  <c r="AQ371" i="21"/>
  <c r="AQ372" i="21"/>
  <c r="AQ373" i="21"/>
  <c r="AQ374" i="21"/>
  <c r="AQ375" i="21"/>
  <c r="AQ376" i="21"/>
  <c r="AQ377" i="21"/>
  <c r="AQ378" i="21"/>
  <c r="AQ379" i="21"/>
  <c r="AQ380" i="21"/>
  <c r="AQ381" i="21"/>
  <c r="AQ382" i="21"/>
  <c r="AQ383" i="21"/>
  <c r="AQ384" i="21"/>
  <c r="AQ385" i="21"/>
  <c r="AQ386" i="21"/>
  <c r="AQ387" i="21"/>
  <c r="AQ388" i="21"/>
  <c r="AQ389" i="21"/>
  <c r="AQ390" i="21"/>
  <c r="AQ391" i="21"/>
  <c r="AQ392" i="21"/>
  <c r="AQ393" i="21"/>
  <c r="AQ394" i="21"/>
  <c r="AQ395" i="21"/>
  <c r="AQ396" i="21"/>
  <c r="AQ397" i="21"/>
  <c r="AQ398" i="21"/>
  <c r="AQ399" i="21"/>
  <c r="AQ400" i="21"/>
  <c r="AQ401" i="21"/>
  <c r="AQ402" i="21"/>
  <c r="AQ403" i="21"/>
  <c r="AQ404" i="21"/>
  <c r="AQ405" i="21"/>
  <c r="AQ406" i="21"/>
  <c r="AQ407" i="21"/>
  <c r="AQ408" i="21"/>
  <c r="AQ409" i="21"/>
  <c r="AQ410" i="21"/>
  <c r="AQ411" i="21"/>
  <c r="AQ412" i="21"/>
  <c r="AQ413" i="21"/>
  <c r="AQ414" i="21"/>
  <c r="AQ415" i="21"/>
  <c r="AQ416" i="21"/>
  <c r="AQ417" i="21"/>
  <c r="AQ418" i="21"/>
  <c r="AQ419" i="21"/>
  <c r="AQ420" i="21"/>
  <c r="AQ421" i="21"/>
  <c r="AQ422" i="21"/>
  <c r="AQ423" i="21"/>
  <c r="AQ424" i="21"/>
  <c r="AQ425" i="21"/>
  <c r="AQ426" i="21"/>
  <c r="AQ427" i="21"/>
  <c r="AQ428" i="21"/>
  <c r="AQ429" i="21"/>
  <c r="AQ430" i="21"/>
  <c r="AQ431" i="21"/>
  <c r="AQ432" i="21"/>
  <c r="AQ433" i="21"/>
  <c r="AQ434" i="21"/>
  <c r="AQ435" i="21"/>
  <c r="AQ436" i="21"/>
  <c r="AQ437" i="21"/>
  <c r="AQ438" i="21"/>
  <c r="AQ439" i="21"/>
  <c r="AQ440" i="21"/>
  <c r="AQ441" i="21"/>
  <c r="AQ442" i="21"/>
  <c r="AQ443" i="21"/>
  <c r="AQ444" i="21"/>
  <c r="AQ445" i="21"/>
  <c r="AQ446" i="21"/>
  <c r="AQ447" i="21"/>
  <c r="AQ448" i="21"/>
  <c r="AQ449" i="21"/>
  <c r="AQ450" i="21"/>
  <c r="AQ451" i="21"/>
  <c r="AQ452" i="21"/>
  <c r="AQ453" i="21"/>
  <c r="AQ454" i="21"/>
  <c r="AQ455" i="21"/>
  <c r="AQ456" i="21"/>
  <c r="AQ457" i="21"/>
  <c r="AQ458" i="21"/>
  <c r="AQ459" i="21"/>
  <c r="AQ460" i="21"/>
  <c r="AQ461" i="21"/>
  <c r="AQ462" i="21"/>
  <c r="AQ463" i="21"/>
  <c r="AQ464" i="21"/>
  <c r="AQ465" i="21"/>
  <c r="AQ466" i="21"/>
  <c r="AQ467" i="21"/>
  <c r="AQ468" i="21"/>
  <c r="AQ469" i="21"/>
  <c r="AQ470" i="21"/>
  <c r="AQ471" i="21"/>
  <c r="AQ472" i="21"/>
  <c r="AQ473" i="21"/>
  <c r="AQ474" i="21"/>
  <c r="AQ475" i="21"/>
  <c r="AQ476" i="21"/>
  <c r="AQ477" i="21"/>
  <c r="AQ478" i="21"/>
  <c r="AQ479" i="21"/>
  <c r="AQ480" i="21"/>
  <c r="AQ481" i="21"/>
  <c r="AQ482" i="21"/>
  <c r="AQ483" i="21"/>
  <c r="AQ484" i="21"/>
  <c r="AO4" i="21"/>
  <c r="AO5" i="21"/>
  <c r="AO6" i="21"/>
  <c r="AO7" i="21"/>
  <c r="AO8" i="21"/>
  <c r="AO9" i="21"/>
  <c r="AO10" i="21"/>
  <c r="AO11" i="21"/>
  <c r="AO12" i="21"/>
  <c r="AO13" i="21"/>
  <c r="AO14" i="21"/>
  <c r="AO15" i="21"/>
  <c r="AO16" i="21"/>
  <c r="AO17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174" i="21"/>
  <c r="AO175" i="21"/>
  <c r="AO176" i="21"/>
  <c r="AO177" i="21"/>
  <c r="AO178" i="21"/>
  <c r="AO179" i="21"/>
  <c r="AO180" i="21"/>
  <c r="AO181" i="21"/>
  <c r="AO182" i="21"/>
  <c r="AO183" i="21"/>
  <c r="AO184" i="21"/>
  <c r="AO185" i="21"/>
  <c r="AO186" i="21"/>
  <c r="AO187" i="21"/>
  <c r="AO188" i="21"/>
  <c r="AO189" i="21"/>
  <c r="AO190" i="21"/>
  <c r="AO191" i="21"/>
  <c r="AO192" i="21"/>
  <c r="AO193" i="21"/>
  <c r="AO194" i="21"/>
  <c r="AO195" i="21"/>
  <c r="AO196" i="21"/>
  <c r="AO197" i="21"/>
  <c r="AO198" i="21"/>
  <c r="AO199" i="21"/>
  <c r="AO200" i="21"/>
  <c r="AO201" i="21"/>
  <c r="AO202" i="21"/>
  <c r="AO203" i="21"/>
  <c r="AO204" i="21"/>
  <c r="AO205" i="21"/>
  <c r="AO206" i="21"/>
  <c r="AO207" i="21"/>
  <c r="AO208" i="21"/>
  <c r="AO209" i="21"/>
  <c r="AO210" i="21"/>
  <c r="AO235" i="21"/>
  <c r="AO236" i="21"/>
  <c r="AO237" i="21"/>
  <c r="AO238" i="21"/>
  <c r="AO239" i="21"/>
  <c r="AO240" i="21"/>
  <c r="AO241" i="21"/>
  <c r="AO242" i="21"/>
  <c r="AO243" i="21"/>
  <c r="AO244" i="21"/>
  <c r="AO245" i="21"/>
  <c r="AO246" i="21"/>
  <c r="AO247" i="21"/>
  <c r="AO248" i="21"/>
  <c r="AO249" i="21"/>
  <c r="AO250" i="21"/>
  <c r="AO251" i="21"/>
  <c r="AO252" i="21"/>
  <c r="AO253" i="21"/>
  <c r="AO254" i="21"/>
  <c r="AO255" i="21"/>
  <c r="AO256" i="21"/>
  <c r="AO257" i="21"/>
  <c r="AO258" i="21"/>
  <c r="AO259" i="21"/>
  <c r="AO260" i="21"/>
  <c r="AO261" i="21"/>
  <c r="AO262" i="21"/>
  <c r="AO263" i="21"/>
  <c r="AO264" i="21"/>
  <c r="AO265" i="21"/>
  <c r="AO266" i="21"/>
  <c r="AO267" i="21"/>
  <c r="AO268" i="21"/>
  <c r="AO269" i="21"/>
  <c r="AO270" i="21"/>
  <c r="AO271" i="21"/>
  <c r="AO272" i="21"/>
  <c r="AO273" i="21"/>
  <c r="AO274" i="21"/>
  <c r="AO275" i="21"/>
  <c r="AO276" i="21"/>
  <c r="AO277" i="21"/>
  <c r="AO278" i="21"/>
  <c r="AO279" i="21"/>
  <c r="AO280" i="21"/>
  <c r="AO281" i="21"/>
  <c r="AO282" i="21"/>
  <c r="AO283" i="21"/>
  <c r="AO284" i="21"/>
  <c r="AO285" i="21"/>
  <c r="AO286" i="21"/>
  <c r="AO287" i="21"/>
  <c r="AO288" i="21"/>
  <c r="AO289" i="21"/>
  <c r="AO290" i="21"/>
  <c r="AO291" i="21"/>
  <c r="AO292" i="21"/>
  <c r="AO293" i="21"/>
  <c r="AO294" i="21"/>
  <c r="AO295" i="21"/>
  <c r="AO296" i="21"/>
  <c r="AO297" i="21"/>
  <c r="AO298" i="21"/>
  <c r="AO299" i="21"/>
  <c r="AO300" i="21"/>
  <c r="AO301" i="21"/>
  <c r="AO308" i="21"/>
  <c r="AO309" i="21"/>
  <c r="AO310" i="21"/>
  <c r="AO311" i="21"/>
  <c r="AO312" i="21"/>
  <c r="AO313" i="21"/>
  <c r="AO314" i="21"/>
  <c r="AO315" i="21"/>
  <c r="AO316" i="21"/>
  <c r="AO317" i="21"/>
  <c r="AO318" i="21"/>
  <c r="AO319" i="21"/>
  <c r="AO320" i="21"/>
  <c r="AO321" i="21"/>
  <c r="AO322" i="21"/>
  <c r="AO323" i="21"/>
  <c r="AO324" i="21"/>
  <c r="AO325" i="21"/>
  <c r="AO326" i="21"/>
  <c r="AO327" i="21"/>
  <c r="AO328" i="21"/>
  <c r="AO329" i="21"/>
  <c r="AO330" i="21"/>
  <c r="AO331" i="21"/>
  <c r="AO332" i="21"/>
  <c r="AO333" i="21"/>
  <c r="AO334" i="21"/>
  <c r="AO335" i="21"/>
  <c r="AO346" i="21"/>
  <c r="AO347" i="21"/>
  <c r="AO348" i="21"/>
  <c r="AO349" i="21"/>
  <c r="AO350" i="21"/>
  <c r="AO351" i="21"/>
  <c r="AO352" i="21"/>
  <c r="AO353" i="21"/>
  <c r="AO354" i="21"/>
  <c r="AO355" i="21"/>
  <c r="AO356" i="21"/>
  <c r="AO357" i="21"/>
  <c r="AO358" i="21"/>
  <c r="AO359" i="21"/>
  <c r="AO360" i="21"/>
  <c r="AO361" i="21"/>
  <c r="AO362" i="21"/>
  <c r="AO363" i="21"/>
  <c r="AO364" i="21"/>
  <c r="AO365" i="21"/>
  <c r="AO366" i="21"/>
  <c r="AO367" i="21"/>
  <c r="AO368" i="21"/>
  <c r="AO369" i="21"/>
  <c r="AO370" i="21"/>
  <c r="AO371" i="21"/>
  <c r="AO372" i="21"/>
  <c r="AO373" i="21"/>
  <c r="AO374" i="21"/>
  <c r="AO375" i="21"/>
  <c r="AO376" i="21"/>
  <c r="AO377" i="21"/>
  <c r="AO378" i="21"/>
  <c r="AO379" i="21"/>
  <c r="AO380" i="21"/>
  <c r="AO381" i="21"/>
  <c r="AO382" i="21"/>
  <c r="AO383" i="21"/>
  <c r="AO384" i="21"/>
  <c r="AO385" i="21"/>
  <c r="AO386" i="21"/>
  <c r="AO387" i="21"/>
  <c r="AO388" i="21"/>
  <c r="AO389" i="21"/>
  <c r="AO390" i="21"/>
  <c r="AO391" i="21"/>
  <c r="AO392" i="21"/>
  <c r="AO393" i="21"/>
  <c r="AO394" i="21"/>
  <c r="AO395" i="21"/>
  <c r="AO396" i="21"/>
  <c r="AO397" i="21"/>
  <c r="AO398" i="21"/>
  <c r="AO399" i="21"/>
  <c r="AO400" i="21"/>
  <c r="AO401" i="21"/>
  <c r="AO402" i="21"/>
  <c r="AO403" i="21"/>
  <c r="AO404" i="21"/>
  <c r="AO405" i="21"/>
  <c r="AO406" i="21"/>
  <c r="AO407" i="21"/>
  <c r="AO408" i="21"/>
  <c r="AO409" i="21"/>
  <c r="AO410" i="21"/>
  <c r="AO411" i="21"/>
  <c r="AO412" i="21"/>
  <c r="AO413" i="21"/>
  <c r="AO414" i="21"/>
  <c r="AO415" i="21"/>
  <c r="AO416" i="21"/>
  <c r="AO417" i="21"/>
  <c r="AO418" i="21"/>
  <c r="AO419" i="21"/>
  <c r="AO420" i="21"/>
  <c r="AO421" i="21"/>
  <c r="AO422" i="21"/>
  <c r="AO423" i="21"/>
  <c r="AO424" i="21"/>
  <c r="AO425" i="21"/>
  <c r="AO426" i="21"/>
  <c r="AO427" i="21"/>
  <c r="AO428" i="21"/>
  <c r="AO429" i="21"/>
  <c r="AO430" i="21"/>
  <c r="AO431" i="21"/>
  <c r="AO432" i="21"/>
  <c r="AO433" i="21"/>
  <c r="AO434" i="21"/>
  <c r="AO435" i="21"/>
  <c r="AO436" i="21"/>
  <c r="AO437" i="21"/>
  <c r="AO438" i="21"/>
  <c r="AO439" i="21"/>
  <c r="AO440" i="21"/>
  <c r="AO441" i="21"/>
  <c r="AO442" i="21"/>
  <c r="AO443" i="21"/>
  <c r="AO444" i="21"/>
  <c r="AO445" i="21"/>
  <c r="AO446" i="21"/>
  <c r="AO447" i="21"/>
  <c r="AO448" i="21"/>
  <c r="AO449" i="21"/>
  <c r="AO450" i="21"/>
  <c r="AO451" i="21"/>
  <c r="AO452" i="21"/>
  <c r="AO453" i="21"/>
  <c r="AO454" i="21"/>
  <c r="AO455" i="21"/>
  <c r="AO456" i="21"/>
  <c r="AO457" i="21"/>
  <c r="AO458" i="21"/>
  <c r="AO459" i="21"/>
  <c r="AO460" i="21"/>
  <c r="AO461" i="21"/>
  <c r="AO462" i="21"/>
  <c r="AO463" i="21"/>
  <c r="AO464" i="21"/>
  <c r="AO465" i="21"/>
  <c r="AO466" i="21"/>
  <c r="AO467" i="21"/>
  <c r="AO468" i="21"/>
  <c r="AO469" i="21"/>
  <c r="AO470" i="21"/>
  <c r="AO471" i="21"/>
  <c r="AO472" i="21"/>
  <c r="AO473" i="21"/>
  <c r="AO474" i="21"/>
  <c r="AO475" i="21"/>
  <c r="AO476" i="21"/>
  <c r="AO477" i="21"/>
  <c r="AO478" i="21"/>
  <c r="AO479" i="21"/>
  <c r="AO480" i="21"/>
  <c r="AO481" i="21"/>
  <c r="AO482" i="21"/>
  <c r="AO483" i="21"/>
  <c r="AO484" i="21"/>
  <c r="AM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24" i="21"/>
  <c r="AM25" i="21"/>
  <c r="AM26" i="21"/>
  <c r="AM27" i="21"/>
  <c r="AM28" i="21"/>
  <c r="AM29" i="21"/>
  <c r="AM30" i="21"/>
  <c r="AM31" i="21"/>
  <c r="AM32" i="21"/>
  <c r="AM33" i="21"/>
  <c r="AM34" i="21"/>
  <c r="AM35" i="21"/>
  <c r="AM36" i="21"/>
  <c r="AM37" i="21"/>
  <c r="AM38" i="21"/>
  <c r="AM39" i="21"/>
  <c r="AM40" i="21"/>
  <c r="AM41" i="21"/>
  <c r="AM42" i="21"/>
  <c r="AM43" i="21"/>
  <c r="AM62" i="21"/>
  <c r="AM63" i="21"/>
  <c r="AM64" i="21"/>
  <c r="AM65" i="21"/>
  <c r="AM66" i="21"/>
  <c r="AM67" i="21"/>
  <c r="AM68" i="21"/>
  <c r="AM69" i="21"/>
  <c r="AM70" i="21"/>
  <c r="AM71" i="21"/>
  <c r="AM72" i="21"/>
  <c r="AM73" i="21"/>
  <c r="AM74" i="21"/>
  <c r="AM75" i="21"/>
  <c r="AM76" i="21"/>
  <c r="AM77" i="21"/>
  <c r="AM78" i="21"/>
  <c r="AM79" i="21"/>
  <c r="AM80" i="21"/>
  <c r="AM81" i="21"/>
  <c r="AM82" i="21"/>
  <c r="AM83" i="21"/>
  <c r="AM84" i="21"/>
  <c r="AM85" i="21"/>
  <c r="AM86" i="21"/>
  <c r="AM87" i="21"/>
  <c r="AM88" i="21"/>
  <c r="AM89" i="21"/>
  <c r="AM90" i="21"/>
  <c r="AM91" i="21"/>
  <c r="AM92" i="21"/>
  <c r="AM93" i="21"/>
  <c r="AM94" i="21"/>
  <c r="AM95" i="21"/>
  <c r="AM96" i="21"/>
  <c r="AM97" i="21"/>
  <c r="AM98" i="21"/>
  <c r="AM99" i="21"/>
  <c r="AM100" i="21"/>
  <c r="AM101" i="21"/>
  <c r="AM102" i="21"/>
  <c r="AM103" i="21"/>
  <c r="AM104" i="21"/>
  <c r="AM105" i="21"/>
  <c r="AM106" i="21"/>
  <c r="AM107" i="21"/>
  <c r="AM108" i="21"/>
  <c r="AM109" i="21"/>
  <c r="AM110" i="21"/>
  <c r="AM111" i="21"/>
  <c r="AM112" i="21"/>
  <c r="AM113" i="21"/>
  <c r="AM114" i="21"/>
  <c r="AM115" i="21"/>
  <c r="AM116" i="21"/>
  <c r="AM117" i="21"/>
  <c r="AM118" i="21"/>
  <c r="AM119" i="21"/>
  <c r="AM120" i="21"/>
  <c r="AM121" i="21"/>
  <c r="AM122" i="21"/>
  <c r="AM123" i="21"/>
  <c r="AM143" i="21"/>
  <c r="AM144" i="21"/>
  <c r="AM145" i="21"/>
  <c r="AM146" i="21"/>
  <c r="AM147" i="21"/>
  <c r="AM148" i="21"/>
  <c r="AM149" i="21"/>
  <c r="AM150" i="21"/>
  <c r="AM151" i="21"/>
  <c r="AM152" i="21"/>
  <c r="AM153" i="21"/>
  <c r="AM154" i="21"/>
  <c r="AM155" i="21"/>
  <c r="AM156" i="21"/>
  <c r="AM157" i="21"/>
  <c r="AM158" i="21"/>
  <c r="AM159" i="21"/>
  <c r="AM160" i="21"/>
  <c r="AM161" i="21"/>
  <c r="AM162" i="21"/>
  <c r="AM163" i="21"/>
  <c r="AM164" i="21"/>
  <c r="AM165" i="21"/>
  <c r="AM166" i="21"/>
  <c r="AM167" i="21"/>
  <c r="AM168" i="21"/>
  <c r="AM169" i="21"/>
  <c r="AM170" i="21"/>
  <c r="AM171" i="21"/>
  <c r="AM172" i="21"/>
  <c r="AM173" i="21"/>
  <c r="AM174" i="21"/>
  <c r="AM175" i="21"/>
  <c r="AM176" i="21"/>
  <c r="AM177" i="21"/>
  <c r="AM178" i="21"/>
  <c r="AM179" i="21"/>
  <c r="AM180" i="21"/>
  <c r="AM181" i="21"/>
  <c r="AM182" i="21"/>
  <c r="AM183" i="21"/>
  <c r="AM184" i="21"/>
  <c r="AM185" i="21"/>
  <c r="AM186" i="21"/>
  <c r="AM187" i="21"/>
  <c r="AM188" i="21"/>
  <c r="AM189" i="21"/>
  <c r="AM190" i="21"/>
  <c r="AM191" i="21"/>
  <c r="AM192" i="21"/>
  <c r="AM193" i="21"/>
  <c r="AM194" i="21"/>
  <c r="AM195" i="21"/>
  <c r="AM196" i="21"/>
  <c r="AM197" i="21"/>
  <c r="AM198" i="21"/>
  <c r="AM199" i="21"/>
  <c r="AM200" i="21"/>
  <c r="AM201" i="21"/>
  <c r="AM202" i="21"/>
  <c r="AM203" i="21"/>
  <c r="AM204" i="21"/>
  <c r="AM205" i="21"/>
  <c r="AM206" i="21"/>
  <c r="AM207" i="21"/>
  <c r="AM208" i="21"/>
  <c r="AM209" i="21"/>
  <c r="AM210" i="21"/>
  <c r="AM237" i="21"/>
  <c r="AM238" i="21"/>
  <c r="AM239" i="21"/>
  <c r="AM240" i="21"/>
  <c r="AM241" i="21"/>
  <c r="AM242" i="21"/>
  <c r="AM243" i="21"/>
  <c r="AM244" i="21"/>
  <c r="AM245" i="21"/>
  <c r="AM246" i="21"/>
  <c r="AM247" i="21"/>
  <c r="AM248" i="21"/>
  <c r="AM249" i="21"/>
  <c r="AM250" i="21"/>
  <c r="AM251" i="21"/>
  <c r="AM252" i="21"/>
  <c r="AM253" i="21"/>
  <c r="AM254" i="21"/>
  <c r="AM255" i="21"/>
  <c r="AM256" i="21"/>
  <c r="AM257" i="21"/>
  <c r="AM258" i="21"/>
  <c r="AM259" i="21"/>
  <c r="AM260" i="21"/>
  <c r="AM261" i="21"/>
  <c r="AM262" i="21"/>
  <c r="AM263" i="21"/>
  <c r="AM264" i="21"/>
  <c r="AM265" i="21"/>
  <c r="AM266" i="21"/>
  <c r="AM267" i="21"/>
  <c r="AM268" i="21"/>
  <c r="AM269" i="21"/>
  <c r="AM270" i="21"/>
  <c r="AM271" i="21"/>
  <c r="AM272" i="21"/>
  <c r="AM273" i="21"/>
  <c r="AM274" i="21"/>
  <c r="AM275" i="21"/>
  <c r="AM276" i="21"/>
  <c r="AM277" i="21"/>
  <c r="AM278" i="21"/>
  <c r="AM279" i="21"/>
  <c r="AM280" i="21"/>
  <c r="AM281" i="21"/>
  <c r="AM282" i="21"/>
  <c r="AM283" i="21"/>
  <c r="AM284" i="21"/>
  <c r="AM285" i="21"/>
  <c r="AM286" i="21"/>
  <c r="AM287" i="21"/>
  <c r="AM288" i="21"/>
  <c r="AM289" i="21"/>
  <c r="AM290" i="21"/>
  <c r="AM291" i="21"/>
  <c r="AM292" i="21"/>
  <c r="AM293" i="21"/>
  <c r="AM294" i="21"/>
  <c r="AM295" i="21"/>
  <c r="AM296" i="21"/>
  <c r="AM297" i="21"/>
  <c r="AM298" i="21"/>
  <c r="AM299" i="21"/>
  <c r="AM300" i="21"/>
  <c r="AM301" i="21"/>
  <c r="AM308" i="21"/>
  <c r="AM309" i="21"/>
  <c r="AM310" i="21"/>
  <c r="AM311" i="21"/>
  <c r="AM312" i="21"/>
  <c r="AM313" i="21"/>
  <c r="AM314" i="21"/>
  <c r="AM315" i="21"/>
  <c r="AM316" i="21"/>
  <c r="AM317" i="21"/>
  <c r="AM318" i="21"/>
  <c r="AM319" i="21"/>
  <c r="AM320" i="21"/>
  <c r="AM321" i="21"/>
  <c r="AM322" i="21"/>
  <c r="AM323" i="21"/>
  <c r="AM324" i="21"/>
  <c r="AM325" i="21"/>
  <c r="AM326" i="21"/>
  <c r="AM327" i="21"/>
  <c r="AM328" i="21"/>
  <c r="AM329" i="21"/>
  <c r="AM330" i="21"/>
  <c r="AM331" i="21"/>
  <c r="AM332" i="21"/>
  <c r="AM333" i="21"/>
  <c r="AM334" i="21"/>
  <c r="AM335" i="21"/>
  <c r="AM347" i="21"/>
  <c r="AM348" i="21"/>
  <c r="AM349" i="21"/>
  <c r="AM350" i="21"/>
  <c r="AM351" i="21"/>
  <c r="AM352" i="21"/>
  <c r="AM353" i="21"/>
  <c r="AM354" i="21"/>
  <c r="AM355" i="21"/>
  <c r="AM356" i="21"/>
  <c r="AM357" i="21"/>
  <c r="AM358" i="21"/>
  <c r="AM359" i="21"/>
  <c r="AM360" i="21"/>
  <c r="AM361" i="21"/>
  <c r="AM362" i="21"/>
  <c r="AM363" i="21"/>
  <c r="AM364" i="21"/>
  <c r="AM365" i="21"/>
  <c r="AM366" i="21"/>
  <c r="AM367" i="21"/>
  <c r="AM368" i="21"/>
  <c r="AM369" i="21"/>
  <c r="AM370" i="21"/>
  <c r="AM371" i="21"/>
  <c r="AM372" i="21"/>
  <c r="AM373" i="21"/>
  <c r="AM374" i="21"/>
  <c r="AM375" i="21"/>
  <c r="AM376" i="21"/>
  <c r="AM377" i="21"/>
  <c r="AM378" i="21"/>
  <c r="AM379" i="21"/>
  <c r="AM380" i="21"/>
  <c r="AM381" i="21"/>
  <c r="AM382" i="21"/>
  <c r="AM383" i="21"/>
  <c r="AM384" i="21"/>
  <c r="AM385" i="21"/>
  <c r="AM386" i="21"/>
  <c r="AM387" i="21"/>
  <c r="AM388" i="21"/>
  <c r="AM389" i="21"/>
  <c r="AM390" i="21"/>
  <c r="AM391" i="21"/>
  <c r="AM392" i="21"/>
  <c r="AM393" i="21"/>
  <c r="AM394" i="21"/>
  <c r="AM395" i="21"/>
  <c r="AM396" i="21"/>
  <c r="AM397" i="21"/>
  <c r="AM398" i="21"/>
  <c r="AM399" i="21"/>
  <c r="AM400" i="21"/>
  <c r="AM401" i="21"/>
  <c r="AM402" i="21"/>
  <c r="AM403" i="21"/>
  <c r="AM404" i="21"/>
  <c r="AM405" i="21"/>
  <c r="AM406" i="21"/>
  <c r="AM407" i="21"/>
  <c r="AM408" i="21"/>
  <c r="AM409" i="21"/>
  <c r="AM410" i="21"/>
  <c r="AM411" i="21"/>
  <c r="AM412" i="21"/>
  <c r="AM413" i="21"/>
  <c r="AM414" i="21"/>
  <c r="AM415" i="21"/>
  <c r="AM416" i="21"/>
  <c r="AM417" i="21"/>
  <c r="AM418" i="21"/>
  <c r="AM419" i="21"/>
  <c r="AM420" i="21"/>
  <c r="AM421" i="21"/>
  <c r="AM422" i="21"/>
  <c r="AM423" i="21"/>
  <c r="AM424" i="21"/>
  <c r="AM425" i="21"/>
  <c r="AM426" i="21"/>
  <c r="AM427" i="21"/>
  <c r="AM428" i="21"/>
  <c r="AM429" i="21"/>
  <c r="AM430" i="21"/>
  <c r="AM431" i="21"/>
  <c r="AM432" i="21"/>
  <c r="AM433" i="21"/>
  <c r="AM434" i="21"/>
  <c r="AM435" i="21"/>
  <c r="AM436" i="21"/>
  <c r="AM437" i="21"/>
  <c r="AM438" i="21"/>
  <c r="AM439" i="21"/>
  <c r="AM440" i="21"/>
  <c r="AM441" i="21"/>
  <c r="AM442" i="21"/>
  <c r="AM443" i="21"/>
  <c r="AM444" i="21"/>
  <c r="AM445" i="21"/>
  <c r="AM446" i="21"/>
  <c r="AM447" i="21"/>
  <c r="AM448" i="21"/>
  <c r="AM449" i="21"/>
  <c r="AM450" i="21"/>
  <c r="AM451" i="21"/>
  <c r="AM452" i="21"/>
  <c r="AM453" i="21"/>
  <c r="AM454" i="21"/>
  <c r="AM455" i="21"/>
  <c r="AM456" i="21"/>
  <c r="AM457" i="21"/>
  <c r="AM458" i="21"/>
  <c r="AM459" i="21"/>
  <c r="AM460" i="21"/>
  <c r="AM461" i="21"/>
  <c r="AM462" i="21"/>
  <c r="AM463" i="21"/>
  <c r="AM464" i="21"/>
  <c r="AM465" i="21"/>
  <c r="AM466" i="21"/>
  <c r="AM467" i="21"/>
  <c r="AM468" i="21"/>
  <c r="AM469" i="21"/>
  <c r="AM470" i="21"/>
  <c r="AM471" i="21"/>
  <c r="AM472" i="21"/>
  <c r="AM473" i="21"/>
  <c r="AM474" i="21"/>
  <c r="AM475" i="21"/>
  <c r="AM476" i="21"/>
  <c r="AM477" i="21"/>
  <c r="AM478" i="21"/>
  <c r="AM479" i="21"/>
  <c r="AM480" i="21"/>
  <c r="AM481" i="21"/>
  <c r="AM482" i="21"/>
  <c r="AM483" i="21"/>
  <c r="AM484" i="21"/>
  <c r="BA519" i="21" l="1"/>
  <c r="BA520" i="21"/>
  <c r="AW519" i="21"/>
  <c r="AU519" i="21"/>
  <c r="AQ519" i="21"/>
  <c r="E127" i="19" l="1"/>
  <c r="D127" i="19"/>
  <c r="G118" i="23" l="1"/>
  <c r="G84" i="23"/>
  <c r="G49" i="23"/>
  <c r="G14" i="23"/>
  <c r="F27" i="22"/>
  <c r="F26" i="22"/>
  <c r="F20" i="22"/>
  <c r="F19" i="22"/>
  <c r="F13" i="22"/>
  <c r="F12" i="22"/>
  <c r="F6" i="22"/>
  <c r="F5" i="22"/>
  <c r="BI520" i="21"/>
  <c r="BG520" i="21"/>
  <c r="BE520" i="21"/>
  <c r="BC520" i="21"/>
  <c r="AY520" i="21"/>
  <c r="AW520" i="21"/>
  <c r="AU520" i="21"/>
  <c r="AS520" i="21"/>
  <c r="AQ520" i="21"/>
  <c r="AO520" i="21"/>
  <c r="AM520" i="21"/>
  <c r="E127" i="23"/>
  <c r="D93" i="23"/>
  <c r="E58" i="23"/>
  <c r="D58" i="23"/>
  <c r="E23" i="23"/>
  <c r="D128" i="23"/>
  <c r="D94" i="23"/>
  <c r="D59" i="23"/>
  <c r="F125" i="23"/>
  <c r="E125" i="23"/>
  <c r="D125" i="23"/>
  <c r="F91" i="23"/>
  <c r="E91" i="23"/>
  <c r="D91" i="23"/>
  <c r="F56" i="23"/>
  <c r="E56" i="23"/>
  <c r="D56" i="23"/>
  <c r="F21" i="23"/>
  <c r="E21" i="23"/>
  <c r="D21" i="23"/>
  <c r="D55" i="23"/>
  <c r="F123" i="23"/>
  <c r="D89" i="23"/>
  <c r="E54" i="23"/>
  <c r="F122" i="23"/>
  <c r="D119" i="23"/>
  <c r="E50" i="23"/>
  <c r="F115" i="23"/>
  <c r="D121" i="23"/>
  <c r="E81" i="23"/>
  <c r="E52" i="23"/>
  <c r="D46" i="23"/>
  <c r="F114" i="23"/>
  <c r="E114" i="23"/>
  <c r="D114" i="23"/>
  <c r="F45" i="23"/>
  <c r="E45" i="23"/>
  <c r="D45" i="23"/>
  <c r="F10" i="23"/>
  <c r="F113" i="23"/>
  <c r="E113" i="23"/>
  <c r="F79" i="23"/>
  <c r="E79" i="23"/>
  <c r="F44" i="23"/>
  <c r="E44" i="23"/>
  <c r="D44" i="23"/>
  <c r="F9" i="23"/>
  <c r="E9" i="23"/>
  <c r="F117" i="23"/>
  <c r="D83" i="23"/>
  <c r="D48" i="23"/>
  <c r="E13" i="23"/>
  <c r="E116" i="23"/>
  <c r="D116" i="23"/>
  <c r="F82" i="23"/>
  <c r="D82" i="23"/>
  <c r="F47" i="23"/>
  <c r="D47" i="23"/>
  <c r="F12" i="23"/>
  <c r="E12" i="23"/>
  <c r="D12" i="23"/>
  <c r="E112" i="23"/>
  <c r="F43" i="23"/>
  <c r="D7" i="23"/>
  <c r="F110" i="23"/>
  <c r="E110" i="23"/>
  <c r="BI3" i="21"/>
  <c r="BG3" i="21"/>
  <c r="BE3" i="21"/>
  <c r="BC3" i="21"/>
  <c r="BA3" i="21"/>
  <c r="AY3" i="21"/>
  <c r="AW3" i="21"/>
  <c r="AU3" i="21"/>
  <c r="AS3" i="21"/>
  <c r="AQ3" i="21"/>
  <c r="AO3" i="21"/>
  <c r="AM3" i="21"/>
  <c r="F20" i="23" l="1"/>
  <c r="E19" i="23"/>
  <c r="D54" i="23"/>
  <c r="E124" i="23"/>
  <c r="D53" i="23"/>
  <c r="D123" i="23"/>
  <c r="F53" i="23"/>
  <c r="E18" i="23"/>
  <c r="F54" i="23"/>
  <c r="F55" i="23"/>
  <c r="F24" i="23"/>
  <c r="F124" i="23"/>
  <c r="D24" i="23"/>
  <c r="D42" i="23"/>
  <c r="E6" i="23"/>
  <c r="E17" i="23"/>
  <c r="E123" i="23"/>
  <c r="D23" i="23"/>
  <c r="E24" i="23"/>
  <c r="F50" i="23"/>
  <c r="D80" i="23"/>
  <c r="E59" i="23"/>
  <c r="D113" i="23"/>
  <c r="G113" i="23" s="1"/>
  <c r="E111" i="23"/>
  <c r="E119" i="23"/>
  <c r="D127" i="23"/>
  <c r="F112" i="23"/>
  <c r="F116" i="23"/>
  <c r="G116" i="23" s="1"/>
  <c r="F59" i="23"/>
  <c r="F128" i="23"/>
  <c r="F89" i="23"/>
  <c r="E126" i="23"/>
  <c r="F127" i="23"/>
  <c r="D126" i="23"/>
  <c r="F58" i="23"/>
  <c r="G58" i="23" s="1"/>
  <c r="F57" i="23"/>
  <c r="D57" i="23"/>
  <c r="F94" i="23"/>
  <c r="E57" i="23"/>
  <c r="E20" i="23"/>
  <c r="E22" i="23"/>
  <c r="D15" i="23"/>
  <c r="D19" i="23"/>
  <c r="D20" i="23"/>
  <c r="F13" i="23"/>
  <c r="E117" i="23"/>
  <c r="D13" i="23"/>
  <c r="D117" i="23"/>
  <c r="F83" i="23"/>
  <c r="D110" i="23"/>
  <c r="G110" i="23" s="1"/>
  <c r="F78" i="23"/>
  <c r="D112" i="23"/>
  <c r="E122" i="23"/>
  <c r="D111" i="23"/>
  <c r="F7" i="23"/>
  <c r="D124" i="23"/>
  <c r="F22" i="23"/>
  <c r="D122" i="23"/>
  <c r="D17" i="23"/>
  <c r="F111" i="23"/>
  <c r="AY1" i="21"/>
  <c r="C18" i="22" s="1"/>
  <c r="C21" i="22" s="1"/>
  <c r="AW1" i="21"/>
  <c r="E11" i="22" s="1"/>
  <c r="E14" i="22" s="1"/>
  <c r="E128" i="23"/>
  <c r="F81" i="23"/>
  <c r="F85" i="23"/>
  <c r="F88" i="23"/>
  <c r="E93" i="23"/>
  <c r="F42" i="23"/>
  <c r="F46" i="23"/>
  <c r="F18" i="23"/>
  <c r="D6" i="23"/>
  <c r="D8" i="23"/>
  <c r="D9" i="23"/>
  <c r="G9" i="23" s="1"/>
  <c r="D10" i="23"/>
  <c r="D22" i="23"/>
  <c r="G114" i="23"/>
  <c r="E80" i="23"/>
  <c r="E94" i="23"/>
  <c r="D90" i="23"/>
  <c r="D76" i="23"/>
  <c r="D77" i="23"/>
  <c r="D78" i="23"/>
  <c r="D79" i="23"/>
  <c r="G79" i="23" s="1"/>
  <c r="D87" i="23"/>
  <c r="D85" i="23"/>
  <c r="D88" i="23"/>
  <c r="D92" i="23"/>
  <c r="F41" i="23"/>
  <c r="F48" i="23"/>
  <c r="E41" i="23"/>
  <c r="E43" i="23"/>
  <c r="E48" i="23"/>
  <c r="E53" i="23"/>
  <c r="E55" i="23"/>
  <c r="D43" i="23"/>
  <c r="AM1" i="21"/>
  <c r="C4" i="22" s="1"/>
  <c r="C7" i="22" s="1"/>
  <c r="D18" i="23"/>
  <c r="D115" i="23"/>
  <c r="AS1" i="21"/>
  <c r="C11" i="22" s="1"/>
  <c r="C14" i="22" s="1"/>
  <c r="D41" i="23"/>
  <c r="F40" i="23"/>
  <c r="D75" i="23"/>
  <c r="E83" i="23"/>
  <c r="E88" i="23"/>
  <c r="E89" i="23"/>
  <c r="E90" i="23"/>
  <c r="E92" i="23"/>
  <c r="F76" i="23"/>
  <c r="F77" i="23"/>
  <c r="F80" i="23"/>
  <c r="F90" i="23"/>
  <c r="F92" i="23"/>
  <c r="F93" i="23"/>
  <c r="D120" i="23"/>
  <c r="BG1" i="21"/>
  <c r="D25" i="22" s="1"/>
  <c r="D28" i="22" s="1"/>
  <c r="E121" i="23"/>
  <c r="E120" i="23"/>
  <c r="F126" i="23"/>
  <c r="E115" i="23"/>
  <c r="E5" i="23"/>
  <c r="F15" i="23"/>
  <c r="D81" i="23"/>
  <c r="E8" i="23"/>
  <c r="E10" i="23"/>
  <c r="AQ1" i="21"/>
  <c r="E4" i="22" s="1"/>
  <c r="E7" i="22" s="1"/>
  <c r="F6" i="23"/>
  <c r="D50" i="23"/>
  <c r="E42" i="23"/>
  <c r="E51" i="23"/>
  <c r="E46" i="23"/>
  <c r="D86" i="23"/>
  <c r="BE1" i="21"/>
  <c r="C25" i="22" s="1"/>
  <c r="C28" i="22" s="1"/>
  <c r="BI1" i="21"/>
  <c r="E25" i="22" s="1"/>
  <c r="E28" i="22" s="1"/>
  <c r="E7" i="23"/>
  <c r="E15" i="23"/>
  <c r="G125" i="23"/>
  <c r="F119" i="23"/>
  <c r="F120" i="23"/>
  <c r="E40" i="23"/>
  <c r="G12" i="23"/>
  <c r="D16" i="23"/>
  <c r="E16" i="23"/>
  <c r="G56" i="23"/>
  <c r="D40" i="23"/>
  <c r="AU1" i="21"/>
  <c r="D11" i="22" s="1"/>
  <c r="D14" i="22" s="1"/>
  <c r="G44" i="23"/>
  <c r="F52" i="23"/>
  <c r="F8" i="23"/>
  <c r="F17" i="23"/>
  <c r="F19" i="23"/>
  <c r="F23" i="23"/>
  <c r="G45" i="23"/>
  <c r="D52" i="23"/>
  <c r="D109" i="23"/>
  <c r="E76" i="23"/>
  <c r="E77" i="23"/>
  <c r="E78" i="23"/>
  <c r="E82" i="23"/>
  <c r="G82" i="23" s="1"/>
  <c r="E85" i="23"/>
  <c r="E86" i="23"/>
  <c r="E109" i="23"/>
  <c r="F16" i="23"/>
  <c r="F5" i="23"/>
  <c r="E47" i="23"/>
  <c r="G47" i="23" s="1"/>
  <c r="F86" i="23"/>
  <c r="G21" i="23"/>
  <c r="D5" i="23"/>
  <c r="G91" i="23"/>
  <c r="F121" i="23"/>
  <c r="F51" i="23"/>
  <c r="F109" i="23"/>
  <c r="E87" i="23"/>
  <c r="E75" i="23"/>
  <c r="AO1" i="21"/>
  <c r="D4" i="22" s="1"/>
  <c r="D7" i="22" s="1"/>
  <c r="F87" i="23"/>
  <c r="F75" i="23"/>
  <c r="D51" i="23"/>
  <c r="D11" i="23"/>
  <c r="E11" i="23"/>
  <c r="F11" i="23"/>
  <c r="BA1" i="21"/>
  <c r="D18" i="22" s="1"/>
  <c r="D21" i="22" s="1"/>
  <c r="BC1" i="21"/>
  <c r="E18" i="22" s="1"/>
  <c r="E21" i="22" s="1"/>
  <c r="BL349" i="17"/>
  <c r="BL350" i="17"/>
  <c r="BL351" i="17"/>
  <c r="BL352" i="17"/>
  <c r="BL353" i="17"/>
  <c r="BL354" i="17"/>
  <c r="BL355" i="17"/>
  <c r="BL356" i="17"/>
  <c r="BL357" i="17"/>
  <c r="BL358" i="17"/>
  <c r="BL359" i="17"/>
  <c r="BL360" i="17"/>
  <c r="BL361" i="17"/>
  <c r="BL362" i="17"/>
  <c r="BL363" i="17"/>
  <c r="BL364" i="17"/>
  <c r="BL365" i="17"/>
  <c r="BL366" i="17"/>
  <c r="BL367" i="17"/>
  <c r="BL368" i="17"/>
  <c r="BL369" i="17"/>
  <c r="BL370" i="17"/>
  <c r="BL371" i="17"/>
  <c r="BL372" i="17"/>
  <c r="BL373" i="17"/>
  <c r="BJ349" i="17"/>
  <c r="BJ350" i="17"/>
  <c r="BJ351" i="17"/>
  <c r="BJ352" i="17"/>
  <c r="BJ353" i="17"/>
  <c r="BJ354" i="17"/>
  <c r="BJ355" i="17"/>
  <c r="BJ356" i="17"/>
  <c r="BJ357" i="17"/>
  <c r="BJ358" i="17"/>
  <c r="BJ359" i="17"/>
  <c r="BJ360" i="17"/>
  <c r="BJ361" i="17"/>
  <c r="BJ362" i="17"/>
  <c r="BJ363" i="17"/>
  <c r="BJ364" i="17"/>
  <c r="BJ365" i="17"/>
  <c r="BJ366" i="17"/>
  <c r="BJ367" i="17"/>
  <c r="BJ368" i="17"/>
  <c r="BJ369" i="17"/>
  <c r="BJ370" i="17"/>
  <c r="BJ371" i="17"/>
  <c r="BJ372" i="17"/>
  <c r="BJ373" i="17"/>
  <c r="BH349" i="17"/>
  <c r="BH350" i="17"/>
  <c r="BH351" i="17"/>
  <c r="BH352" i="17"/>
  <c r="BH353" i="17"/>
  <c r="BH354" i="17"/>
  <c r="BH355" i="17"/>
  <c r="BH356" i="17"/>
  <c r="BH357" i="17"/>
  <c r="BH358" i="17"/>
  <c r="BH359" i="17"/>
  <c r="BH360" i="17"/>
  <c r="BH361" i="17"/>
  <c r="BH362" i="17"/>
  <c r="BH363" i="17"/>
  <c r="BH364" i="17"/>
  <c r="BH365" i="17"/>
  <c r="BH366" i="17"/>
  <c r="BH367" i="17"/>
  <c r="BH368" i="17"/>
  <c r="BH369" i="17"/>
  <c r="BH370" i="17"/>
  <c r="BH371" i="17"/>
  <c r="BH372" i="17"/>
  <c r="BH373" i="17"/>
  <c r="BF349" i="17"/>
  <c r="BF350" i="17"/>
  <c r="BF351" i="17"/>
  <c r="BF352" i="17"/>
  <c r="BF353" i="17"/>
  <c r="BF354" i="17"/>
  <c r="BF355" i="17"/>
  <c r="BF356" i="17"/>
  <c r="BF357" i="17"/>
  <c r="BF358" i="17"/>
  <c r="BF359" i="17"/>
  <c r="BF360" i="17"/>
  <c r="BF361" i="17"/>
  <c r="BF362" i="17"/>
  <c r="BF363" i="17"/>
  <c r="BF364" i="17"/>
  <c r="BF365" i="17"/>
  <c r="BF366" i="17"/>
  <c r="BF367" i="17"/>
  <c r="BF368" i="17"/>
  <c r="BF369" i="17"/>
  <c r="BF370" i="17"/>
  <c r="BF371" i="17"/>
  <c r="BF372" i="17"/>
  <c r="BF373" i="17"/>
  <c r="BD349" i="17"/>
  <c r="BD350" i="17"/>
  <c r="BD351" i="17"/>
  <c r="BD352" i="17"/>
  <c r="BD353" i="17"/>
  <c r="BD354" i="17"/>
  <c r="BD355" i="17"/>
  <c r="BD356" i="17"/>
  <c r="BD357" i="17"/>
  <c r="BD358" i="17"/>
  <c r="BD359" i="17"/>
  <c r="BD360" i="17"/>
  <c r="BD361" i="17"/>
  <c r="BD362" i="17"/>
  <c r="BD363" i="17"/>
  <c r="BD364" i="17"/>
  <c r="BD365" i="17"/>
  <c r="BD366" i="17"/>
  <c r="BD367" i="17"/>
  <c r="BD368" i="17"/>
  <c r="BD369" i="17"/>
  <c r="BD370" i="17"/>
  <c r="BD371" i="17"/>
  <c r="BD372" i="17"/>
  <c r="BD373" i="17"/>
  <c r="BB349" i="17"/>
  <c r="BB350" i="17"/>
  <c r="BB351" i="17"/>
  <c r="BB352" i="17"/>
  <c r="BB353" i="17"/>
  <c r="BB354" i="17"/>
  <c r="BB355" i="17"/>
  <c r="BB356" i="17"/>
  <c r="BB357" i="17"/>
  <c r="BB358" i="17"/>
  <c r="BB359" i="17"/>
  <c r="BB360" i="17"/>
  <c r="BB361" i="17"/>
  <c r="BB362" i="17"/>
  <c r="BB363" i="17"/>
  <c r="BB364" i="17"/>
  <c r="BB365" i="17"/>
  <c r="BB366" i="17"/>
  <c r="BB367" i="17"/>
  <c r="BB368" i="17"/>
  <c r="BB369" i="17"/>
  <c r="BB370" i="17"/>
  <c r="BB371" i="17"/>
  <c r="BB372" i="17"/>
  <c r="BB373" i="17"/>
  <c r="AZ349" i="17"/>
  <c r="AZ350" i="17"/>
  <c r="AZ351" i="17"/>
  <c r="AZ352" i="17"/>
  <c r="AZ353" i="17"/>
  <c r="AZ354" i="17"/>
  <c r="AZ355" i="17"/>
  <c r="AZ356" i="17"/>
  <c r="AZ357" i="17"/>
  <c r="AZ358" i="17"/>
  <c r="AZ359" i="17"/>
  <c r="AZ360" i="17"/>
  <c r="AZ361" i="17"/>
  <c r="AZ362" i="17"/>
  <c r="AZ363" i="17"/>
  <c r="AZ364" i="17"/>
  <c r="AZ365" i="17"/>
  <c r="AZ366" i="17"/>
  <c r="AZ367" i="17"/>
  <c r="AZ368" i="17"/>
  <c r="AZ369" i="17"/>
  <c r="AZ370" i="17"/>
  <c r="AZ371" i="17"/>
  <c r="AZ372" i="17"/>
  <c r="AZ373" i="17"/>
  <c r="AX349" i="17"/>
  <c r="AX350" i="17"/>
  <c r="AX351" i="17"/>
  <c r="AX352" i="17"/>
  <c r="AX353" i="17"/>
  <c r="AX354" i="17"/>
  <c r="AX355" i="17"/>
  <c r="AX356" i="17"/>
  <c r="AX357" i="17"/>
  <c r="AX358" i="17"/>
  <c r="AX359" i="17"/>
  <c r="AX360" i="17"/>
  <c r="AX361" i="17"/>
  <c r="AX362" i="17"/>
  <c r="AX363" i="17"/>
  <c r="AX364" i="17"/>
  <c r="AX365" i="17"/>
  <c r="AX366" i="17"/>
  <c r="AX367" i="17"/>
  <c r="AX368" i="17"/>
  <c r="AX369" i="17"/>
  <c r="AX370" i="17"/>
  <c r="AX371" i="17"/>
  <c r="AX372" i="17"/>
  <c r="AX373" i="17"/>
  <c r="AV349" i="17"/>
  <c r="AV350" i="17"/>
  <c r="AV351" i="17"/>
  <c r="AV352" i="17"/>
  <c r="AV353" i="17"/>
  <c r="AV354" i="17"/>
  <c r="AV355" i="17"/>
  <c r="AV356" i="17"/>
  <c r="AV357" i="17"/>
  <c r="AV358" i="17"/>
  <c r="AV359" i="17"/>
  <c r="AV360" i="17"/>
  <c r="AV361" i="17"/>
  <c r="AV362" i="17"/>
  <c r="AV363" i="17"/>
  <c r="AV364" i="17"/>
  <c r="AV365" i="17"/>
  <c r="AV366" i="17"/>
  <c r="AV367" i="17"/>
  <c r="AV368" i="17"/>
  <c r="AV369" i="17"/>
  <c r="AV370" i="17"/>
  <c r="AV371" i="17"/>
  <c r="AV372" i="17"/>
  <c r="AV373" i="17"/>
  <c r="AT349" i="17"/>
  <c r="AT350" i="17"/>
  <c r="AT351" i="17"/>
  <c r="AT352" i="17"/>
  <c r="AT353" i="17"/>
  <c r="AT354" i="17"/>
  <c r="AT355" i="17"/>
  <c r="AT356" i="17"/>
  <c r="AT357" i="17"/>
  <c r="AT358" i="17"/>
  <c r="AT359" i="17"/>
  <c r="AT360" i="17"/>
  <c r="AT361" i="17"/>
  <c r="AT362" i="17"/>
  <c r="AT363" i="17"/>
  <c r="AT364" i="17"/>
  <c r="AT365" i="17"/>
  <c r="AT366" i="17"/>
  <c r="AT367" i="17"/>
  <c r="AT368" i="17"/>
  <c r="AT369" i="17"/>
  <c r="AT370" i="17"/>
  <c r="AT371" i="17"/>
  <c r="AT372" i="17"/>
  <c r="AT373" i="17"/>
  <c r="AR349" i="17"/>
  <c r="AR350" i="17"/>
  <c r="AR351" i="17"/>
  <c r="AR352" i="17"/>
  <c r="AR353" i="17"/>
  <c r="AR354" i="17"/>
  <c r="AR355" i="17"/>
  <c r="AR356" i="17"/>
  <c r="AR357" i="17"/>
  <c r="AR358" i="17"/>
  <c r="AR359" i="17"/>
  <c r="AR360" i="17"/>
  <c r="AR361" i="17"/>
  <c r="AR362" i="17"/>
  <c r="AR363" i="17"/>
  <c r="AR364" i="17"/>
  <c r="AR365" i="17"/>
  <c r="AR366" i="17"/>
  <c r="AR367" i="17"/>
  <c r="AR368" i="17"/>
  <c r="AR369" i="17"/>
  <c r="AR370" i="17"/>
  <c r="AR371" i="17"/>
  <c r="AR372" i="17"/>
  <c r="AR373" i="17"/>
  <c r="AP349" i="17"/>
  <c r="AP350" i="17"/>
  <c r="AP351" i="17"/>
  <c r="AP352" i="17"/>
  <c r="AP353" i="17"/>
  <c r="AP354" i="17"/>
  <c r="AP355" i="17"/>
  <c r="AP356" i="17"/>
  <c r="AP357" i="17"/>
  <c r="AP358" i="17"/>
  <c r="AP359" i="17"/>
  <c r="AP360" i="17"/>
  <c r="AP361" i="17"/>
  <c r="AP362" i="17"/>
  <c r="AP363" i="17"/>
  <c r="AP364" i="17"/>
  <c r="AP365" i="17"/>
  <c r="AP366" i="17"/>
  <c r="AP367" i="17"/>
  <c r="AP368" i="17"/>
  <c r="AP369" i="17"/>
  <c r="AP370" i="17"/>
  <c r="AP371" i="17"/>
  <c r="AP372" i="17"/>
  <c r="AP373" i="17"/>
  <c r="G54" i="23" l="1"/>
  <c r="G55" i="23"/>
  <c r="G53" i="23"/>
  <c r="G123" i="23"/>
  <c r="G59" i="23"/>
  <c r="G112" i="23"/>
  <c r="G24" i="23"/>
  <c r="G127" i="23"/>
  <c r="G124" i="23"/>
  <c r="G119" i="23"/>
  <c r="G50" i="23"/>
  <c r="G128" i="23"/>
  <c r="G23" i="23"/>
  <c r="G94" i="23"/>
  <c r="G126" i="23"/>
  <c r="G89" i="23"/>
  <c r="G57" i="23"/>
  <c r="G111" i="23"/>
  <c r="G117" i="23"/>
  <c r="G20" i="23"/>
  <c r="G13" i="23"/>
  <c r="G10" i="23"/>
  <c r="G122" i="23"/>
  <c r="G19" i="23"/>
  <c r="G83" i="23"/>
  <c r="G93" i="23"/>
  <c r="G43" i="23"/>
  <c r="G85" i="23"/>
  <c r="G22" i="23"/>
  <c r="G92" i="23"/>
  <c r="G18" i="23"/>
  <c r="G88" i="23"/>
  <c r="G40" i="23"/>
  <c r="G17" i="23"/>
  <c r="G121" i="23"/>
  <c r="G46" i="23"/>
  <c r="G6" i="23"/>
  <c r="G115" i="23"/>
  <c r="G81" i="23"/>
  <c r="G80" i="23"/>
  <c r="G42" i="23"/>
  <c r="G48" i="23"/>
  <c r="G41" i="23"/>
  <c r="G51" i="23"/>
  <c r="G120" i="23"/>
  <c r="E135" i="23"/>
  <c r="G78" i="23"/>
  <c r="G90" i="23"/>
  <c r="D101" i="23"/>
  <c r="G86" i="23"/>
  <c r="G15" i="23"/>
  <c r="D66" i="23"/>
  <c r="G5" i="23"/>
  <c r="F101" i="23"/>
  <c r="F31" i="23"/>
  <c r="F25" i="22"/>
  <c r="F28" i="22" s="1"/>
  <c r="G77" i="23"/>
  <c r="E31" i="23"/>
  <c r="F11" i="22"/>
  <c r="F14" i="22" s="1"/>
  <c r="G76" i="23"/>
  <c r="D135" i="23"/>
  <c r="F135" i="23"/>
  <c r="E66" i="23"/>
  <c r="G8" i="23"/>
  <c r="G52" i="23"/>
  <c r="G11" i="23"/>
  <c r="E101" i="23"/>
  <c r="G7" i="23"/>
  <c r="G87" i="23"/>
  <c r="G16" i="23"/>
  <c r="F18" i="22"/>
  <c r="F21" i="22" s="1"/>
  <c r="D31" i="23"/>
  <c r="G109" i="23"/>
  <c r="F66" i="23"/>
  <c r="G75" i="23"/>
  <c r="F4" i="22"/>
  <c r="F7" i="22" s="1"/>
  <c r="BF4" i="17"/>
  <c r="BF5" i="17"/>
  <c r="BF6" i="17"/>
  <c r="BF7" i="17"/>
  <c r="BF8" i="17"/>
  <c r="BF9" i="17"/>
  <c r="BF10" i="17"/>
  <c r="BF11" i="17"/>
  <c r="BF12" i="17"/>
  <c r="BF13" i="17"/>
  <c r="BF14" i="17"/>
  <c r="BF15" i="17"/>
  <c r="BF16" i="17"/>
  <c r="BF17" i="17"/>
  <c r="BF18" i="17"/>
  <c r="BF19" i="17"/>
  <c r="BF20" i="17"/>
  <c r="BF21" i="17"/>
  <c r="BF22" i="17"/>
  <c r="BF23" i="17"/>
  <c r="BF24" i="17"/>
  <c r="BF25" i="17"/>
  <c r="BF26" i="17"/>
  <c r="BF27" i="17"/>
  <c r="BF28" i="17"/>
  <c r="BF29" i="17"/>
  <c r="BF30" i="17"/>
  <c r="BF31" i="17"/>
  <c r="BF32" i="17"/>
  <c r="BF33" i="17"/>
  <c r="BF34" i="17"/>
  <c r="BF35" i="17"/>
  <c r="BF36" i="17"/>
  <c r="BF37" i="17"/>
  <c r="BF38" i="17"/>
  <c r="BF39" i="17"/>
  <c r="BF40" i="17"/>
  <c r="BF41" i="17"/>
  <c r="BF42" i="17"/>
  <c r="BF43" i="17"/>
  <c r="BF44" i="17"/>
  <c r="BF45" i="17"/>
  <c r="BF46" i="17"/>
  <c r="BF47" i="17"/>
  <c r="BF48" i="17"/>
  <c r="BF49" i="17"/>
  <c r="BF50" i="17"/>
  <c r="BF51" i="17"/>
  <c r="BF52" i="17"/>
  <c r="BF53" i="17"/>
  <c r="BF54" i="17"/>
  <c r="BF55" i="17"/>
  <c r="BF56" i="17"/>
  <c r="BF57" i="17"/>
  <c r="BF58" i="17"/>
  <c r="BF59" i="17"/>
  <c r="BF60" i="17"/>
  <c r="BF61" i="17"/>
  <c r="BF62" i="17"/>
  <c r="BF63" i="17"/>
  <c r="BF64" i="17"/>
  <c r="BF65" i="17"/>
  <c r="BF66" i="17"/>
  <c r="BF67" i="17"/>
  <c r="BF68" i="17"/>
  <c r="BF69" i="17"/>
  <c r="BF70" i="17"/>
  <c r="BF71" i="17"/>
  <c r="BF72" i="17"/>
  <c r="BF73" i="17"/>
  <c r="BF74" i="17"/>
  <c r="BF75" i="17"/>
  <c r="BF76" i="17"/>
  <c r="BF77" i="17"/>
  <c r="BF78" i="17"/>
  <c r="BF79" i="17"/>
  <c r="BF80" i="17"/>
  <c r="BF81" i="17"/>
  <c r="BF82" i="17"/>
  <c r="BF83" i="17"/>
  <c r="BF84" i="17"/>
  <c r="BF85" i="17"/>
  <c r="BF86" i="17"/>
  <c r="BF87" i="17"/>
  <c r="BF88" i="17"/>
  <c r="BF89" i="17"/>
  <c r="BF90" i="17"/>
  <c r="BF91" i="17"/>
  <c r="BF92" i="17"/>
  <c r="BF93" i="17"/>
  <c r="BF94" i="17"/>
  <c r="BF95" i="17"/>
  <c r="BF96" i="17"/>
  <c r="BF97" i="17"/>
  <c r="BF98" i="17"/>
  <c r="BF99" i="17"/>
  <c r="BF100" i="17"/>
  <c r="BF101" i="17"/>
  <c r="BF102" i="17"/>
  <c r="BF103" i="17"/>
  <c r="BF104" i="17"/>
  <c r="BF105" i="17"/>
  <c r="BF106" i="17"/>
  <c r="BF107" i="17"/>
  <c r="BF108" i="17"/>
  <c r="BF109" i="17"/>
  <c r="BF110" i="17"/>
  <c r="BF111" i="17"/>
  <c r="G101" i="23" l="1"/>
  <c r="G105" i="23" s="1"/>
  <c r="G60" i="23"/>
  <c r="G66" i="23"/>
  <c r="G70" i="23" s="1"/>
  <c r="G31" i="23"/>
  <c r="G35" i="23" s="1"/>
  <c r="G129" i="23"/>
  <c r="G25" i="23"/>
  <c r="G135" i="23"/>
  <c r="G139" i="23" s="1"/>
  <c r="G95" i="23"/>
  <c r="BL158" i="17"/>
  <c r="BL159" i="17"/>
  <c r="BJ158" i="17"/>
  <c r="BJ159" i="17"/>
  <c r="BH158" i="17"/>
  <c r="BH159" i="17"/>
  <c r="BF158" i="17"/>
  <c r="BD158" i="17"/>
  <c r="BD159" i="17"/>
  <c r="BB158" i="17"/>
  <c r="BB159" i="17"/>
  <c r="AZ158" i="17"/>
  <c r="AX158" i="17"/>
  <c r="AX159" i="17"/>
  <c r="AV158" i="17"/>
  <c r="AT158" i="17"/>
  <c r="AR158" i="17"/>
  <c r="AP158" i="17"/>
  <c r="BL26" i="17" l="1"/>
  <c r="BL27" i="17"/>
  <c r="BL28" i="17"/>
  <c r="BL29" i="17"/>
  <c r="BL30" i="17"/>
  <c r="BL31" i="17"/>
  <c r="BL32" i="17"/>
  <c r="BJ26" i="17"/>
  <c r="BJ27" i="17"/>
  <c r="BJ28" i="17"/>
  <c r="BJ29" i="17"/>
  <c r="BJ30" i="17"/>
  <c r="BJ31" i="17"/>
  <c r="BH26" i="17"/>
  <c r="BH27" i="17"/>
  <c r="BH28" i="17"/>
  <c r="BH29" i="17"/>
  <c r="BH30" i="17"/>
  <c r="BH31" i="17"/>
  <c r="BD26" i="17"/>
  <c r="BD27" i="17"/>
  <c r="BD28" i="17"/>
  <c r="BD29" i="17"/>
  <c r="BD30" i="17"/>
  <c r="BD31" i="17"/>
  <c r="BB26" i="17"/>
  <c r="BB27" i="17"/>
  <c r="BB28" i="17"/>
  <c r="BB29" i="17"/>
  <c r="BB30" i="17"/>
  <c r="BB31" i="17"/>
  <c r="AZ26" i="17"/>
  <c r="AZ27" i="17"/>
  <c r="AZ28" i="17"/>
  <c r="AZ29" i="17"/>
  <c r="AZ30" i="17"/>
  <c r="AZ31" i="17"/>
  <c r="AX26" i="17"/>
  <c r="AX27" i="17"/>
  <c r="AX28" i="17"/>
  <c r="AX29" i="17"/>
  <c r="AX30" i="17"/>
  <c r="AX31" i="17"/>
  <c r="AV26" i="17"/>
  <c r="AV27" i="17"/>
  <c r="AV28" i="17"/>
  <c r="AV29" i="17"/>
  <c r="AV30" i="17"/>
  <c r="AV31" i="17"/>
  <c r="AT26" i="17"/>
  <c r="AT27" i="17"/>
  <c r="AT28" i="17"/>
  <c r="AT29" i="17"/>
  <c r="AT30" i="17"/>
  <c r="AT31" i="17"/>
  <c r="AR26" i="17"/>
  <c r="AR27" i="17"/>
  <c r="AR28" i="17"/>
  <c r="AR29" i="17"/>
  <c r="AR30" i="17"/>
  <c r="AR31" i="17"/>
  <c r="AR32" i="17"/>
  <c r="AP26" i="17"/>
  <c r="AP27" i="17"/>
  <c r="AP28" i="17"/>
  <c r="AP29" i="17"/>
  <c r="AP30" i="17"/>
  <c r="AP31" i="17"/>
  <c r="BL59" i="17"/>
  <c r="BL60" i="17"/>
  <c r="BL61" i="17"/>
  <c r="BL62" i="17"/>
  <c r="BL63" i="17"/>
  <c r="BJ59" i="17"/>
  <c r="BJ60" i="17"/>
  <c r="BJ61" i="17"/>
  <c r="BJ62" i="17"/>
  <c r="BJ63" i="17"/>
  <c r="BH59" i="17"/>
  <c r="BH60" i="17"/>
  <c r="BH61" i="17"/>
  <c r="BH62" i="17"/>
  <c r="BH63" i="17"/>
  <c r="BD59" i="17"/>
  <c r="BD60" i="17"/>
  <c r="BD61" i="17"/>
  <c r="BD62" i="17"/>
  <c r="BD63" i="17"/>
  <c r="BD64" i="17"/>
  <c r="BB59" i="17"/>
  <c r="BB60" i="17"/>
  <c r="BB61" i="17"/>
  <c r="BB62" i="17"/>
  <c r="BB63" i="17"/>
  <c r="BB64" i="17"/>
  <c r="AZ59" i="17"/>
  <c r="AZ60" i="17"/>
  <c r="AZ61" i="17"/>
  <c r="AZ62" i="17"/>
  <c r="AZ63" i="17"/>
  <c r="AX59" i="17"/>
  <c r="AX60" i="17"/>
  <c r="AX61" i="17"/>
  <c r="AX62" i="17"/>
  <c r="AX63" i="17"/>
  <c r="AV59" i="17"/>
  <c r="AV60" i="17"/>
  <c r="AV61" i="17"/>
  <c r="AV62" i="17"/>
  <c r="AV63" i="17"/>
  <c r="AT59" i="17"/>
  <c r="AT60" i="17"/>
  <c r="AT61" i="17"/>
  <c r="AT62" i="17"/>
  <c r="AT63" i="17"/>
  <c r="AR59" i="17"/>
  <c r="AR60" i="17"/>
  <c r="AR61" i="17"/>
  <c r="AR62" i="17"/>
  <c r="AR63" i="17"/>
  <c r="AP59" i="17"/>
  <c r="AP60" i="17"/>
  <c r="AP61" i="17"/>
  <c r="AP62" i="17"/>
  <c r="AP63" i="17"/>
  <c r="AP20" i="17" l="1"/>
  <c r="AR20" i="17"/>
  <c r="AT20" i="17"/>
  <c r="AV20" i="17"/>
  <c r="AX20" i="17"/>
  <c r="AZ20" i="17"/>
  <c r="BB20" i="17"/>
  <c r="BD20" i="17"/>
  <c r="BL150" i="17" l="1"/>
  <c r="BL151" i="17"/>
  <c r="BL152" i="17"/>
  <c r="BL153" i="17"/>
  <c r="BL154" i="17"/>
  <c r="BL155" i="17"/>
  <c r="BL156" i="17"/>
  <c r="BL157" i="17"/>
  <c r="BL160" i="17"/>
  <c r="BL161" i="17"/>
  <c r="BL162" i="17"/>
  <c r="BL163" i="17"/>
  <c r="BL164" i="17"/>
  <c r="BL165" i="17"/>
  <c r="BL166" i="17"/>
  <c r="BJ150" i="17"/>
  <c r="BJ151" i="17"/>
  <c r="BJ152" i="17"/>
  <c r="BJ153" i="17"/>
  <c r="BJ154" i="17"/>
  <c r="BJ155" i="17"/>
  <c r="BJ156" i="17"/>
  <c r="BJ157" i="17"/>
  <c r="BJ160" i="17"/>
  <c r="BJ161" i="17"/>
  <c r="BJ162" i="17"/>
  <c r="BJ163" i="17"/>
  <c r="BJ164" i="17"/>
  <c r="BJ165" i="17"/>
  <c r="BJ166" i="17"/>
  <c r="BH150" i="17"/>
  <c r="BH151" i="17"/>
  <c r="BH152" i="17"/>
  <c r="BH153" i="17"/>
  <c r="BH154" i="17"/>
  <c r="BH155" i="17"/>
  <c r="BH156" i="17"/>
  <c r="BH157" i="17"/>
  <c r="BH160" i="17"/>
  <c r="BH161" i="17"/>
  <c r="BH162" i="17"/>
  <c r="BH163" i="17"/>
  <c r="BH164" i="17"/>
  <c r="BH165" i="17"/>
  <c r="BH166" i="17"/>
  <c r="BF150" i="17"/>
  <c r="BF151" i="17"/>
  <c r="BF152" i="17"/>
  <c r="BF153" i="17"/>
  <c r="BF154" i="17"/>
  <c r="BF155" i="17"/>
  <c r="BF156" i="17"/>
  <c r="BF157" i="17"/>
  <c r="BF159" i="17"/>
  <c r="BF160" i="17"/>
  <c r="BF161" i="17"/>
  <c r="BF162" i="17"/>
  <c r="BF163" i="17"/>
  <c r="BF164" i="17"/>
  <c r="BF165" i="17"/>
  <c r="BF166" i="17"/>
  <c r="BD150" i="17"/>
  <c r="BD151" i="17"/>
  <c r="BD152" i="17"/>
  <c r="BD153" i="17"/>
  <c r="BD154" i="17"/>
  <c r="BD155" i="17"/>
  <c r="BD156" i="17"/>
  <c r="BD157" i="17"/>
  <c r="BD160" i="17"/>
  <c r="BD161" i="17"/>
  <c r="BD162" i="17"/>
  <c r="BD163" i="17"/>
  <c r="BD164" i="17"/>
  <c r="BD165" i="17"/>
  <c r="BD166" i="17"/>
  <c r="BD167" i="17"/>
  <c r="BB150" i="17"/>
  <c r="BB151" i="17"/>
  <c r="BB152" i="17"/>
  <c r="BB153" i="17"/>
  <c r="BB154" i="17"/>
  <c r="BB155" i="17"/>
  <c r="BB156" i="17"/>
  <c r="BB157" i="17"/>
  <c r="BB160" i="17"/>
  <c r="BB161" i="17"/>
  <c r="BB162" i="17"/>
  <c r="BB163" i="17"/>
  <c r="BB164" i="17"/>
  <c r="BB165" i="17"/>
  <c r="BB166" i="17"/>
  <c r="AZ150" i="17"/>
  <c r="AZ151" i="17"/>
  <c r="AZ152" i="17"/>
  <c r="AZ153" i="17"/>
  <c r="AZ154" i="17"/>
  <c r="AZ155" i="17"/>
  <c r="AZ156" i="17"/>
  <c r="AZ157" i="17"/>
  <c r="AZ159" i="17"/>
  <c r="AZ160" i="17"/>
  <c r="AZ161" i="17"/>
  <c r="AZ162" i="17"/>
  <c r="AZ163" i="17"/>
  <c r="AZ164" i="17"/>
  <c r="AZ165" i="17"/>
  <c r="AZ166" i="17"/>
  <c r="AX149" i="17"/>
  <c r="AX150" i="17"/>
  <c r="AX151" i="17"/>
  <c r="AX152" i="17"/>
  <c r="AX153" i="17"/>
  <c r="AX154" i="17"/>
  <c r="AX155" i="17"/>
  <c r="AX156" i="17"/>
  <c r="AX157" i="17"/>
  <c r="AX160" i="17"/>
  <c r="AX161" i="17"/>
  <c r="AX162" i="17"/>
  <c r="AX163" i="17"/>
  <c r="AX164" i="17"/>
  <c r="AX165" i="17"/>
  <c r="AX166" i="17"/>
  <c r="AX167" i="17"/>
  <c r="AV150" i="17"/>
  <c r="AV151" i="17"/>
  <c r="AV152" i="17"/>
  <c r="AV153" i="17"/>
  <c r="AV154" i="17"/>
  <c r="AV155" i="17"/>
  <c r="AV156" i="17"/>
  <c r="AV157" i="17"/>
  <c r="AV159" i="17"/>
  <c r="AV160" i="17"/>
  <c r="AV161" i="17"/>
  <c r="AV162" i="17"/>
  <c r="AV163" i="17"/>
  <c r="AV164" i="17"/>
  <c r="AV165" i="17"/>
  <c r="AV166" i="17"/>
  <c r="AT150" i="17"/>
  <c r="AT151" i="17"/>
  <c r="AT152" i="17"/>
  <c r="AT153" i="17"/>
  <c r="AT154" i="17"/>
  <c r="AT155" i="17"/>
  <c r="AT156" i="17"/>
  <c r="AT157" i="17"/>
  <c r="AT159" i="17"/>
  <c r="AT160" i="17"/>
  <c r="AT161" i="17"/>
  <c r="AT162" i="17"/>
  <c r="AT163" i="17"/>
  <c r="AT164" i="17"/>
  <c r="AT165" i="17"/>
  <c r="AT166" i="17"/>
  <c r="AR150" i="17"/>
  <c r="AR151" i="17"/>
  <c r="AR152" i="17"/>
  <c r="AR153" i="17"/>
  <c r="AR154" i="17"/>
  <c r="AR155" i="17"/>
  <c r="AR156" i="17"/>
  <c r="AR157" i="17"/>
  <c r="AR159" i="17"/>
  <c r="AR160" i="17"/>
  <c r="AR161" i="17"/>
  <c r="AR162" i="17"/>
  <c r="AR163" i="17"/>
  <c r="AR164" i="17"/>
  <c r="AR165" i="17"/>
  <c r="AR166" i="17"/>
  <c r="AR167" i="17"/>
  <c r="AP150" i="17"/>
  <c r="AP151" i="17"/>
  <c r="AP152" i="17"/>
  <c r="AP153" i="17"/>
  <c r="AP154" i="17"/>
  <c r="AP155" i="17"/>
  <c r="AP156" i="17"/>
  <c r="AP157" i="17"/>
  <c r="AP159" i="17"/>
  <c r="AP160" i="17"/>
  <c r="AP161" i="17"/>
  <c r="AP162" i="17"/>
  <c r="AP163" i="17"/>
  <c r="AP164" i="17"/>
  <c r="AP165" i="17"/>
  <c r="AP166" i="17"/>
  <c r="BL245" i="17" l="1"/>
  <c r="BL246" i="17"/>
  <c r="BL247" i="17"/>
  <c r="BJ245" i="17"/>
  <c r="BJ246" i="17"/>
  <c r="BJ247" i="17"/>
  <c r="BH245" i="17"/>
  <c r="BH246" i="17"/>
  <c r="BH247" i="17"/>
  <c r="BH248" i="17"/>
  <c r="BF245" i="17"/>
  <c r="BF246" i="17"/>
  <c r="BF247" i="17"/>
  <c r="BF248" i="17"/>
  <c r="BF249" i="17"/>
  <c r="BD245" i="17"/>
  <c r="BD246" i="17"/>
  <c r="BD247" i="17"/>
  <c r="BB245" i="17"/>
  <c r="BB246" i="17"/>
  <c r="BB247" i="17"/>
  <c r="AZ245" i="17"/>
  <c r="AZ246" i="17"/>
  <c r="AZ247" i="17"/>
  <c r="AX245" i="17"/>
  <c r="AX246" i="17"/>
  <c r="AX247" i="17"/>
  <c r="AV245" i="17"/>
  <c r="AV246" i="17"/>
  <c r="AV247" i="17"/>
  <c r="AT245" i="17"/>
  <c r="AT246" i="17"/>
  <c r="AT247" i="17"/>
  <c r="AR245" i="17"/>
  <c r="AR246" i="17"/>
  <c r="AR247" i="17"/>
  <c r="AP245" i="17"/>
  <c r="AP246" i="17"/>
  <c r="AP247" i="17"/>
  <c r="BL302" i="17"/>
  <c r="BL303" i="17"/>
  <c r="BJ302" i="17"/>
  <c r="BJ303" i="17"/>
  <c r="BH302" i="17"/>
  <c r="BH303" i="17"/>
  <c r="BF302" i="17"/>
  <c r="BF303" i="17"/>
  <c r="BD302" i="17"/>
  <c r="BD303" i="17"/>
  <c r="BB302" i="17"/>
  <c r="BB303" i="17"/>
  <c r="AZ302" i="17"/>
  <c r="AZ303" i="17"/>
  <c r="AZ304" i="17"/>
  <c r="AX302" i="17"/>
  <c r="AX303" i="17"/>
  <c r="AX304" i="17"/>
  <c r="AV302" i="17"/>
  <c r="AV303" i="17"/>
  <c r="AT302" i="17"/>
  <c r="AT303" i="17"/>
  <c r="AT304" i="17"/>
  <c r="AR302" i="17"/>
  <c r="AR303" i="17"/>
  <c r="AP302" i="17"/>
  <c r="AP303" i="17"/>
  <c r="BL234" i="17" l="1"/>
  <c r="BL235" i="17"/>
  <c r="BL236" i="17"/>
  <c r="BL237" i="17"/>
  <c r="BJ234" i="17"/>
  <c r="BJ235" i="17"/>
  <c r="BJ236" i="17"/>
  <c r="BJ237" i="17"/>
  <c r="BH234" i="17"/>
  <c r="BH235" i="17"/>
  <c r="BH236" i="17"/>
  <c r="BH237" i="17"/>
  <c r="BF234" i="17"/>
  <c r="BF235" i="17"/>
  <c r="BF236" i="17"/>
  <c r="BD234" i="17"/>
  <c r="BD235" i="17"/>
  <c r="BD236" i="17"/>
  <c r="BB234" i="17"/>
  <c r="BB235" i="17"/>
  <c r="BB236" i="17"/>
  <c r="BB237" i="17"/>
  <c r="AZ234" i="17"/>
  <c r="AZ235" i="17"/>
  <c r="AZ236" i="17"/>
  <c r="AZ237" i="17"/>
  <c r="AX234" i="17"/>
  <c r="AX235" i="17"/>
  <c r="AX236" i="17"/>
  <c r="AV234" i="17"/>
  <c r="AV235" i="17"/>
  <c r="AV236" i="17"/>
  <c r="AT234" i="17"/>
  <c r="AT235" i="17"/>
  <c r="AT236" i="17"/>
  <c r="AT237" i="17"/>
  <c r="AR234" i="17"/>
  <c r="AR235" i="17"/>
  <c r="AR236" i="17"/>
  <c r="AR237" i="17"/>
  <c r="AP234" i="17"/>
  <c r="AP235" i="17"/>
  <c r="AP236" i="17"/>
  <c r="AP237" i="17"/>
  <c r="BB374" i="17" l="1"/>
  <c r="BL104" i="17" l="1"/>
  <c r="BL105" i="17"/>
  <c r="BL106" i="17"/>
  <c r="BL107" i="17"/>
  <c r="BL108" i="17"/>
  <c r="BL109" i="17"/>
  <c r="BL110" i="17"/>
  <c r="BL111" i="17"/>
  <c r="BL112" i="17"/>
  <c r="BL113" i="17"/>
  <c r="BL114" i="17"/>
  <c r="BL115" i="17"/>
  <c r="BL116" i="17"/>
  <c r="BL117" i="17"/>
  <c r="BL118" i="17"/>
  <c r="BL119" i="17"/>
  <c r="BL120" i="17"/>
  <c r="BL121" i="17"/>
  <c r="BL122" i="17"/>
  <c r="BL123" i="17"/>
  <c r="BL124" i="17"/>
  <c r="BL125" i="17"/>
  <c r="BL126" i="17"/>
  <c r="BL127" i="17"/>
  <c r="BL128" i="17"/>
  <c r="BL129" i="17"/>
  <c r="BL130" i="17"/>
  <c r="BL131" i="17"/>
  <c r="BL132" i="17"/>
  <c r="BL133" i="17"/>
  <c r="BL134" i="17"/>
  <c r="BL135" i="17"/>
  <c r="BL136" i="17"/>
  <c r="BL137" i="17"/>
  <c r="BL138" i="17"/>
  <c r="BL139" i="17"/>
  <c r="BL140" i="17"/>
  <c r="BL141" i="17"/>
  <c r="BL142" i="17"/>
  <c r="BL143" i="17"/>
  <c r="BL144" i="17"/>
  <c r="BL145" i="17"/>
  <c r="BL146" i="17"/>
  <c r="BL147" i="17"/>
  <c r="BL148" i="17"/>
  <c r="BL149" i="17"/>
  <c r="BL167" i="17"/>
  <c r="BL168" i="17"/>
  <c r="BL169" i="17"/>
  <c r="BJ104" i="17"/>
  <c r="BJ105" i="17"/>
  <c r="BJ106" i="17"/>
  <c r="BJ107" i="17"/>
  <c r="BJ108" i="17"/>
  <c r="BJ109" i="17"/>
  <c r="BJ110" i="17"/>
  <c r="BJ111" i="17"/>
  <c r="BJ112" i="17"/>
  <c r="BJ113" i="17"/>
  <c r="BJ114" i="17"/>
  <c r="BJ115" i="17"/>
  <c r="BJ116" i="17"/>
  <c r="BJ117" i="17"/>
  <c r="BJ118" i="17"/>
  <c r="BJ119" i="17"/>
  <c r="BJ120" i="17"/>
  <c r="BJ121" i="17"/>
  <c r="BJ122" i="17"/>
  <c r="BJ123" i="17"/>
  <c r="BJ124" i="17"/>
  <c r="BJ125" i="17"/>
  <c r="BJ126" i="17"/>
  <c r="BJ127" i="17"/>
  <c r="BJ128" i="17"/>
  <c r="BJ129" i="17"/>
  <c r="BJ130" i="17"/>
  <c r="BJ131" i="17"/>
  <c r="BJ132" i="17"/>
  <c r="BJ133" i="17"/>
  <c r="BJ134" i="17"/>
  <c r="BJ135" i="17"/>
  <c r="BJ136" i="17"/>
  <c r="BJ137" i="17"/>
  <c r="BJ138" i="17"/>
  <c r="BJ139" i="17"/>
  <c r="BJ140" i="17"/>
  <c r="BJ141" i="17"/>
  <c r="BJ142" i="17"/>
  <c r="BJ143" i="17"/>
  <c r="BJ144" i="17"/>
  <c r="BJ145" i="17"/>
  <c r="BJ146" i="17"/>
  <c r="BJ147" i="17"/>
  <c r="BJ148" i="17"/>
  <c r="BJ149" i="17"/>
  <c r="BJ167" i="17"/>
  <c r="BJ168" i="17"/>
  <c r="BJ169" i="17"/>
  <c r="BH104" i="17"/>
  <c r="BH105" i="17"/>
  <c r="BH106" i="17"/>
  <c r="BH107" i="17"/>
  <c r="BH108" i="17"/>
  <c r="BH109" i="17"/>
  <c r="BH110" i="17"/>
  <c r="BH111" i="17"/>
  <c r="BH112" i="17"/>
  <c r="BH113" i="17"/>
  <c r="BH114" i="17"/>
  <c r="BH115" i="17"/>
  <c r="BH116" i="17"/>
  <c r="BH117" i="17"/>
  <c r="BH118" i="17"/>
  <c r="BH119" i="17"/>
  <c r="BH120" i="17"/>
  <c r="BH121" i="17"/>
  <c r="BH122" i="17"/>
  <c r="BH123" i="17"/>
  <c r="BH124" i="17"/>
  <c r="BH125" i="17"/>
  <c r="BH126" i="17"/>
  <c r="BH127" i="17"/>
  <c r="BH128" i="17"/>
  <c r="BH129" i="17"/>
  <c r="BH130" i="17"/>
  <c r="BH131" i="17"/>
  <c r="BH132" i="17"/>
  <c r="BH133" i="17"/>
  <c r="BH134" i="17"/>
  <c r="BH135" i="17"/>
  <c r="BH136" i="17"/>
  <c r="BH137" i="17"/>
  <c r="BH138" i="17"/>
  <c r="BH139" i="17"/>
  <c r="BH140" i="17"/>
  <c r="BH141" i="17"/>
  <c r="BH142" i="17"/>
  <c r="BH143" i="17"/>
  <c r="BH144" i="17"/>
  <c r="BH145" i="17"/>
  <c r="BH146" i="17"/>
  <c r="BH147" i="17"/>
  <c r="BH148" i="17"/>
  <c r="BH149" i="17"/>
  <c r="BH167" i="17"/>
  <c r="BH168" i="17"/>
  <c r="BH169" i="17"/>
  <c r="BH170" i="17"/>
  <c r="BF112" i="17"/>
  <c r="BF113" i="17"/>
  <c r="BF114" i="17"/>
  <c r="BF115" i="17"/>
  <c r="BF116" i="17"/>
  <c r="BF117" i="17"/>
  <c r="BF118" i="17"/>
  <c r="BF119" i="17"/>
  <c r="BF120" i="17"/>
  <c r="BF121" i="17"/>
  <c r="BF122" i="17"/>
  <c r="BF123" i="17"/>
  <c r="BF124" i="17"/>
  <c r="BF125" i="17"/>
  <c r="BF126" i="17"/>
  <c r="BF127" i="17"/>
  <c r="BF128" i="17"/>
  <c r="BF129" i="17"/>
  <c r="BF130" i="17"/>
  <c r="BF131" i="17"/>
  <c r="BF132" i="17"/>
  <c r="BF133" i="17"/>
  <c r="BF134" i="17"/>
  <c r="BF135" i="17"/>
  <c r="BF136" i="17"/>
  <c r="BF137" i="17"/>
  <c r="BF138" i="17"/>
  <c r="BF139" i="17"/>
  <c r="BF140" i="17"/>
  <c r="BF141" i="17"/>
  <c r="BF142" i="17"/>
  <c r="BF143" i="17"/>
  <c r="BF144" i="17"/>
  <c r="BF145" i="17"/>
  <c r="BF146" i="17"/>
  <c r="BF147" i="17"/>
  <c r="BF148" i="17"/>
  <c r="BF149" i="17"/>
  <c r="BF167" i="17"/>
  <c r="BF168" i="17"/>
  <c r="BF169" i="17"/>
  <c r="BD104" i="17"/>
  <c r="BD105" i="17"/>
  <c r="BD106" i="17"/>
  <c r="BD107" i="17"/>
  <c r="BD108" i="17"/>
  <c r="BD109" i="17"/>
  <c r="BD110" i="17"/>
  <c r="BD111" i="17"/>
  <c r="BD112" i="17"/>
  <c r="BD113" i="17"/>
  <c r="BD114" i="17"/>
  <c r="BD115" i="17"/>
  <c r="BD116" i="17"/>
  <c r="BD117" i="17"/>
  <c r="BD118" i="17"/>
  <c r="BD119" i="17"/>
  <c r="BD120" i="17"/>
  <c r="BD121" i="17"/>
  <c r="BD122" i="17"/>
  <c r="BD123" i="17"/>
  <c r="BD124" i="17"/>
  <c r="BD125" i="17"/>
  <c r="BD126" i="17"/>
  <c r="BD127" i="17"/>
  <c r="BD128" i="17"/>
  <c r="BD129" i="17"/>
  <c r="BD130" i="17"/>
  <c r="BD131" i="17"/>
  <c r="BD132" i="17"/>
  <c r="BD133" i="17"/>
  <c r="BD134" i="17"/>
  <c r="BD135" i="17"/>
  <c r="BD136" i="17"/>
  <c r="BD137" i="17"/>
  <c r="BD138" i="17"/>
  <c r="BD139" i="17"/>
  <c r="BD140" i="17"/>
  <c r="BD141" i="17"/>
  <c r="BD142" i="17"/>
  <c r="BD143" i="17"/>
  <c r="BD144" i="17"/>
  <c r="BD145" i="17"/>
  <c r="BD146" i="17"/>
  <c r="BD147" i="17"/>
  <c r="BD148" i="17"/>
  <c r="BD149" i="17"/>
  <c r="BD168" i="17"/>
  <c r="BD169" i="17"/>
  <c r="BB104" i="17"/>
  <c r="BB105" i="17"/>
  <c r="BB106" i="17"/>
  <c r="BB107" i="17"/>
  <c r="BB108" i="17"/>
  <c r="BB109" i="17"/>
  <c r="BB110" i="17"/>
  <c r="BB111" i="17"/>
  <c r="BB112" i="17"/>
  <c r="BB113" i="17"/>
  <c r="BB114" i="17"/>
  <c r="BB115" i="17"/>
  <c r="BB116" i="17"/>
  <c r="BB117" i="17"/>
  <c r="BB118" i="17"/>
  <c r="BB119" i="17"/>
  <c r="BB120" i="17"/>
  <c r="BB121" i="17"/>
  <c r="BB122" i="17"/>
  <c r="BB123" i="17"/>
  <c r="BB124" i="17"/>
  <c r="BB125" i="17"/>
  <c r="BB126" i="17"/>
  <c r="BB127" i="17"/>
  <c r="BB128" i="17"/>
  <c r="BB129" i="17"/>
  <c r="BB130" i="17"/>
  <c r="BB131" i="17"/>
  <c r="BB132" i="17"/>
  <c r="BB133" i="17"/>
  <c r="BB134" i="17"/>
  <c r="BB135" i="17"/>
  <c r="BB136" i="17"/>
  <c r="BB137" i="17"/>
  <c r="BB138" i="17"/>
  <c r="BB139" i="17"/>
  <c r="BB140" i="17"/>
  <c r="BB141" i="17"/>
  <c r="BB142" i="17"/>
  <c r="BB143" i="17"/>
  <c r="BB144" i="17"/>
  <c r="BB145" i="17"/>
  <c r="BB146" i="17"/>
  <c r="BB147" i="17"/>
  <c r="BB148" i="17"/>
  <c r="BB149" i="17"/>
  <c r="BB167" i="17"/>
  <c r="BB168" i="17"/>
  <c r="BB169" i="17"/>
  <c r="AZ103" i="17"/>
  <c r="AZ104" i="17"/>
  <c r="AZ105" i="17"/>
  <c r="AZ106" i="17"/>
  <c r="AZ107" i="17"/>
  <c r="AZ108" i="17"/>
  <c r="AZ109" i="17"/>
  <c r="AZ110" i="17"/>
  <c r="AZ111" i="17"/>
  <c r="AZ112" i="17"/>
  <c r="AZ113" i="17"/>
  <c r="AZ114" i="17"/>
  <c r="AZ115" i="17"/>
  <c r="AZ116" i="17"/>
  <c r="AZ117" i="17"/>
  <c r="AZ118" i="17"/>
  <c r="AZ119" i="17"/>
  <c r="AZ120" i="17"/>
  <c r="AZ121" i="17"/>
  <c r="AZ122" i="17"/>
  <c r="AZ123" i="17"/>
  <c r="AZ124" i="17"/>
  <c r="AZ125" i="17"/>
  <c r="AZ126" i="17"/>
  <c r="AZ127" i="17"/>
  <c r="AZ128" i="17"/>
  <c r="AZ129" i="17"/>
  <c r="AZ130" i="17"/>
  <c r="AZ131" i="17"/>
  <c r="AZ132" i="17"/>
  <c r="AZ133" i="17"/>
  <c r="AZ134" i="17"/>
  <c r="AZ135" i="17"/>
  <c r="AZ136" i="17"/>
  <c r="AZ137" i="17"/>
  <c r="AZ138" i="17"/>
  <c r="AZ139" i="17"/>
  <c r="AZ140" i="17"/>
  <c r="AZ141" i="17"/>
  <c r="AZ142" i="17"/>
  <c r="AZ143" i="17"/>
  <c r="AZ144" i="17"/>
  <c r="AZ145" i="17"/>
  <c r="AZ146" i="17"/>
  <c r="AZ147" i="17"/>
  <c r="AZ148" i="17"/>
  <c r="AZ149" i="17"/>
  <c r="AZ167" i="17"/>
  <c r="AZ168" i="17"/>
  <c r="AZ169" i="17"/>
  <c r="AX103" i="17"/>
  <c r="AX104" i="17"/>
  <c r="AX105" i="17"/>
  <c r="AX106" i="17"/>
  <c r="AX107" i="17"/>
  <c r="AX108" i="17"/>
  <c r="AX109" i="17"/>
  <c r="AX110" i="17"/>
  <c r="AX111" i="17"/>
  <c r="AX112" i="17"/>
  <c r="AX113" i="17"/>
  <c r="AX114" i="17"/>
  <c r="AX115" i="17"/>
  <c r="AX116" i="17"/>
  <c r="AX117" i="17"/>
  <c r="AX118" i="17"/>
  <c r="AX119" i="17"/>
  <c r="AX120" i="17"/>
  <c r="AX121" i="17"/>
  <c r="AX122" i="17"/>
  <c r="AX123" i="17"/>
  <c r="AX124" i="17"/>
  <c r="AX125" i="17"/>
  <c r="AX126" i="17"/>
  <c r="AX127" i="17"/>
  <c r="AX128" i="17"/>
  <c r="AX129" i="17"/>
  <c r="AX130" i="17"/>
  <c r="AX131" i="17"/>
  <c r="AX132" i="17"/>
  <c r="AX133" i="17"/>
  <c r="AX134" i="17"/>
  <c r="AX135" i="17"/>
  <c r="AX136" i="17"/>
  <c r="AX137" i="17"/>
  <c r="AX138" i="17"/>
  <c r="AX139" i="17"/>
  <c r="AX140" i="17"/>
  <c r="AX141" i="17"/>
  <c r="AX142" i="17"/>
  <c r="AX143" i="17"/>
  <c r="AX144" i="17"/>
  <c r="AX145" i="17"/>
  <c r="AX146" i="17"/>
  <c r="AX147" i="17"/>
  <c r="AX148" i="17"/>
  <c r="AX168" i="17"/>
  <c r="AX169" i="17"/>
  <c r="AV103" i="17"/>
  <c r="AV104" i="17"/>
  <c r="AV105" i="17"/>
  <c r="AV106" i="17"/>
  <c r="AV107" i="17"/>
  <c r="AV108" i="17"/>
  <c r="AV109" i="17"/>
  <c r="AV110" i="17"/>
  <c r="AV111" i="17"/>
  <c r="AV112" i="17"/>
  <c r="AV113" i="17"/>
  <c r="AV114" i="17"/>
  <c r="AV115" i="17"/>
  <c r="AV116" i="17"/>
  <c r="AV117" i="17"/>
  <c r="AV118" i="17"/>
  <c r="AV119" i="17"/>
  <c r="AV120" i="17"/>
  <c r="AV121" i="17"/>
  <c r="AV122" i="17"/>
  <c r="AV123" i="17"/>
  <c r="AV124" i="17"/>
  <c r="AV125" i="17"/>
  <c r="AV126" i="17"/>
  <c r="AV127" i="17"/>
  <c r="AV128" i="17"/>
  <c r="AV129" i="17"/>
  <c r="AV130" i="17"/>
  <c r="AV131" i="17"/>
  <c r="AV132" i="17"/>
  <c r="AV133" i="17"/>
  <c r="AV134" i="17"/>
  <c r="AV135" i="17"/>
  <c r="AV136" i="17"/>
  <c r="AV137" i="17"/>
  <c r="AV138" i="17"/>
  <c r="AV139" i="17"/>
  <c r="AV140" i="17"/>
  <c r="AV141" i="17"/>
  <c r="AV142" i="17"/>
  <c r="AV143" i="17"/>
  <c r="AV144" i="17"/>
  <c r="AV145" i="17"/>
  <c r="AV146" i="17"/>
  <c r="AV147" i="17"/>
  <c r="AV148" i="17"/>
  <c r="AV149" i="17"/>
  <c r="AV167" i="17"/>
  <c r="AV168" i="17"/>
  <c r="AV169" i="17"/>
  <c r="AT103" i="17"/>
  <c r="AT104" i="17"/>
  <c r="AT105" i="17"/>
  <c r="AT106" i="17"/>
  <c r="AT107" i="17"/>
  <c r="AT108" i="17"/>
  <c r="AT109" i="17"/>
  <c r="AT110" i="17"/>
  <c r="AT111" i="17"/>
  <c r="AT112" i="17"/>
  <c r="AT113" i="17"/>
  <c r="AT114" i="17"/>
  <c r="AT115" i="17"/>
  <c r="AT116" i="17"/>
  <c r="AT117" i="17"/>
  <c r="AT118" i="17"/>
  <c r="AT119" i="17"/>
  <c r="AT120" i="17"/>
  <c r="AT121" i="17"/>
  <c r="AT122" i="17"/>
  <c r="AT123" i="17"/>
  <c r="AT124" i="17"/>
  <c r="AT125" i="17"/>
  <c r="AT126" i="17"/>
  <c r="AT127" i="17"/>
  <c r="AT128" i="17"/>
  <c r="AT129" i="17"/>
  <c r="AT130" i="17"/>
  <c r="AT131" i="17"/>
  <c r="AT132" i="17"/>
  <c r="AT133" i="17"/>
  <c r="AT134" i="17"/>
  <c r="AT135" i="17"/>
  <c r="AT136" i="17"/>
  <c r="AT137" i="17"/>
  <c r="AT138" i="17"/>
  <c r="AT139" i="17"/>
  <c r="AT140" i="17"/>
  <c r="AT141" i="17"/>
  <c r="AT142" i="17"/>
  <c r="AT143" i="17"/>
  <c r="AT144" i="17"/>
  <c r="AT145" i="17"/>
  <c r="AT146" i="17"/>
  <c r="AT147" i="17"/>
  <c r="AT148" i="17"/>
  <c r="AT149" i="17"/>
  <c r="AT167" i="17"/>
  <c r="AT168" i="17"/>
  <c r="AT169" i="17"/>
  <c r="AR104" i="17"/>
  <c r="AR105" i="17"/>
  <c r="AR106" i="17"/>
  <c r="AR107" i="17"/>
  <c r="AR108" i="17"/>
  <c r="AR109" i="17"/>
  <c r="AR110" i="17"/>
  <c r="AR111" i="17"/>
  <c r="AR112" i="17"/>
  <c r="AR113" i="17"/>
  <c r="AR114" i="17"/>
  <c r="AR115" i="17"/>
  <c r="AR116" i="17"/>
  <c r="AR117" i="17"/>
  <c r="AR118" i="17"/>
  <c r="AR119" i="17"/>
  <c r="AR120" i="17"/>
  <c r="AR121" i="17"/>
  <c r="AR122" i="17"/>
  <c r="AR123" i="17"/>
  <c r="AR124" i="17"/>
  <c r="AR125" i="17"/>
  <c r="AR126" i="17"/>
  <c r="AR127" i="17"/>
  <c r="AR128" i="17"/>
  <c r="AR129" i="17"/>
  <c r="AR130" i="17"/>
  <c r="AR131" i="17"/>
  <c r="AR132" i="17"/>
  <c r="AR133" i="17"/>
  <c r="AR134" i="17"/>
  <c r="AR135" i="17"/>
  <c r="AR136" i="17"/>
  <c r="AR137" i="17"/>
  <c r="AR138" i="17"/>
  <c r="AR139" i="17"/>
  <c r="AR140" i="17"/>
  <c r="AR141" i="17"/>
  <c r="AR142" i="17"/>
  <c r="AR143" i="17"/>
  <c r="AR144" i="17"/>
  <c r="AR145" i="17"/>
  <c r="AR146" i="17"/>
  <c r="AR147" i="17"/>
  <c r="AR148" i="17"/>
  <c r="AR149" i="17"/>
  <c r="AR168" i="17"/>
  <c r="AR169" i="17"/>
  <c r="AP104" i="17"/>
  <c r="AP105" i="17"/>
  <c r="AP106" i="17"/>
  <c r="AP107" i="17"/>
  <c r="AP108" i="17"/>
  <c r="AP109" i="17"/>
  <c r="AP110" i="17"/>
  <c r="AP111" i="17"/>
  <c r="AP112" i="17"/>
  <c r="AP113" i="17"/>
  <c r="AP114" i="17"/>
  <c r="AP115" i="17"/>
  <c r="AP116" i="17"/>
  <c r="AP117" i="17"/>
  <c r="AP118" i="17"/>
  <c r="AP119" i="17"/>
  <c r="AP120" i="17"/>
  <c r="AP121" i="17"/>
  <c r="AP122" i="17"/>
  <c r="AP123" i="17"/>
  <c r="AP124" i="17"/>
  <c r="AP125" i="17"/>
  <c r="AP126" i="17"/>
  <c r="AP127" i="17"/>
  <c r="AP128" i="17"/>
  <c r="AP129" i="17"/>
  <c r="AP130" i="17"/>
  <c r="AP131" i="17"/>
  <c r="AP132" i="17"/>
  <c r="AP133" i="17"/>
  <c r="AP134" i="17"/>
  <c r="AP135" i="17"/>
  <c r="AP136" i="17"/>
  <c r="AP137" i="17"/>
  <c r="AP138" i="17"/>
  <c r="AP139" i="17"/>
  <c r="AP140" i="17"/>
  <c r="AP141" i="17"/>
  <c r="AP142" i="17"/>
  <c r="AP143" i="17"/>
  <c r="AP144" i="17"/>
  <c r="AP145" i="17"/>
  <c r="AP146" i="17"/>
  <c r="AP147" i="17"/>
  <c r="AP148" i="17"/>
  <c r="AP149" i="17"/>
  <c r="AP167" i="17"/>
  <c r="AP168" i="17"/>
  <c r="AP169" i="17"/>
  <c r="BL44" i="17" l="1"/>
  <c r="BL45" i="17"/>
  <c r="BL46" i="17"/>
  <c r="BL47" i="17"/>
  <c r="BL48" i="17"/>
  <c r="BJ44" i="17"/>
  <c r="BJ45" i="17"/>
  <c r="BJ46" i="17"/>
  <c r="BJ47" i="17"/>
  <c r="BJ48" i="17"/>
  <c r="BJ49" i="17"/>
  <c r="BH44" i="17"/>
  <c r="BH45" i="17"/>
  <c r="BH46" i="17"/>
  <c r="BH47" i="17"/>
  <c r="BH48" i="17"/>
  <c r="BD44" i="17"/>
  <c r="BD45" i="17"/>
  <c r="BD46" i="17"/>
  <c r="BD47" i="17"/>
  <c r="BD48" i="17"/>
  <c r="BB44" i="17"/>
  <c r="BB45" i="17"/>
  <c r="BB46" i="17"/>
  <c r="BB47" i="17"/>
  <c r="BB48" i="17"/>
  <c r="AZ44" i="17"/>
  <c r="AZ45" i="17"/>
  <c r="AZ46" i="17"/>
  <c r="AZ47" i="17"/>
  <c r="AZ48" i="17"/>
  <c r="AX43" i="17"/>
  <c r="AX44" i="17"/>
  <c r="AX45" i="17"/>
  <c r="AX46" i="17"/>
  <c r="AX47" i="17"/>
  <c r="AX48" i="17"/>
  <c r="AV44" i="17"/>
  <c r="AV45" i="17"/>
  <c r="AV46" i="17"/>
  <c r="AV47" i="17"/>
  <c r="AV48" i="17"/>
  <c r="AT44" i="17"/>
  <c r="AT45" i="17"/>
  <c r="AT46" i="17"/>
  <c r="AT47" i="17"/>
  <c r="AT48" i="17"/>
  <c r="AR44" i="17"/>
  <c r="AR45" i="17"/>
  <c r="AR46" i="17"/>
  <c r="AR47" i="17"/>
  <c r="AR48" i="17"/>
  <c r="AP44" i="17"/>
  <c r="AP45" i="17"/>
  <c r="AP46" i="17"/>
  <c r="AP47" i="17"/>
  <c r="AP48" i="17"/>
  <c r="BL92" i="17"/>
  <c r="BL93" i="17"/>
  <c r="BL94" i="17"/>
  <c r="BL95" i="17"/>
  <c r="BL96" i="17"/>
  <c r="BL97" i="17"/>
  <c r="BL98" i="17"/>
  <c r="BL99" i="17"/>
  <c r="BL100" i="17"/>
  <c r="BL101" i="17"/>
  <c r="BL102" i="17"/>
  <c r="BJ92" i="17"/>
  <c r="BJ93" i="17"/>
  <c r="BJ94" i="17"/>
  <c r="BJ95" i="17"/>
  <c r="BJ96" i="17"/>
  <c r="BJ97" i="17"/>
  <c r="BJ98" i="17"/>
  <c r="BJ99" i="17"/>
  <c r="BJ100" i="17"/>
  <c r="BJ101" i="17"/>
  <c r="BJ102" i="17"/>
  <c r="BJ103" i="17"/>
  <c r="BH92" i="17"/>
  <c r="BH93" i="17"/>
  <c r="BH94" i="17"/>
  <c r="BH95" i="17"/>
  <c r="BH96" i="17"/>
  <c r="BH97" i="17"/>
  <c r="BH98" i="17"/>
  <c r="BH99" i="17"/>
  <c r="BH100" i="17"/>
  <c r="BH101" i="17"/>
  <c r="BH102" i="17"/>
  <c r="BD92" i="17"/>
  <c r="BD93" i="17"/>
  <c r="BD94" i="17"/>
  <c r="BD95" i="17"/>
  <c r="BD96" i="17"/>
  <c r="BD97" i="17"/>
  <c r="BD98" i="17"/>
  <c r="BD99" i="17"/>
  <c r="BD100" i="17"/>
  <c r="BD101" i="17"/>
  <c r="BD102" i="17"/>
  <c r="BB92" i="17"/>
  <c r="BB93" i="17"/>
  <c r="BB94" i="17"/>
  <c r="BB95" i="17"/>
  <c r="BB96" i="17"/>
  <c r="BB97" i="17"/>
  <c r="BB98" i="17"/>
  <c r="BB99" i="17"/>
  <c r="BB100" i="17"/>
  <c r="BB101" i="17"/>
  <c r="BB102" i="17"/>
  <c r="AZ92" i="17"/>
  <c r="AZ93" i="17"/>
  <c r="AZ94" i="17"/>
  <c r="AZ95" i="17"/>
  <c r="AZ96" i="17"/>
  <c r="AZ97" i="17"/>
  <c r="AZ98" i="17"/>
  <c r="AZ99" i="17"/>
  <c r="AZ100" i="17"/>
  <c r="AZ101" i="17"/>
  <c r="AZ102" i="17"/>
  <c r="AX92" i="17"/>
  <c r="AX93" i="17"/>
  <c r="AX94" i="17"/>
  <c r="AX95" i="17"/>
  <c r="AX96" i="17"/>
  <c r="AX97" i="17"/>
  <c r="AX98" i="17"/>
  <c r="AX99" i="17"/>
  <c r="AX100" i="17"/>
  <c r="AX101" i="17"/>
  <c r="AV92" i="17"/>
  <c r="AV93" i="17"/>
  <c r="AV94" i="17"/>
  <c r="AV95" i="17"/>
  <c r="AV96" i="17"/>
  <c r="AV97" i="17"/>
  <c r="AV98" i="17"/>
  <c r="AV99" i="17"/>
  <c r="AV100" i="17"/>
  <c r="AV101" i="17"/>
  <c r="AV102" i="17"/>
  <c r="AT92" i="17"/>
  <c r="AT93" i="17"/>
  <c r="AT94" i="17"/>
  <c r="AT95" i="17"/>
  <c r="AT96" i="17"/>
  <c r="AT97" i="17"/>
  <c r="AT98" i="17"/>
  <c r="AT99" i="17"/>
  <c r="AT100" i="17"/>
  <c r="AT101" i="17"/>
  <c r="AT102" i="17"/>
  <c r="AR92" i="17"/>
  <c r="AR93" i="17"/>
  <c r="AR94" i="17"/>
  <c r="AR95" i="17"/>
  <c r="AR96" i="17"/>
  <c r="AR97" i="17"/>
  <c r="AR98" i="17"/>
  <c r="AR99" i="17"/>
  <c r="AR100" i="17"/>
  <c r="AR101" i="17"/>
  <c r="AP92" i="17"/>
  <c r="AP93" i="17"/>
  <c r="AP94" i="17"/>
  <c r="AP95" i="17"/>
  <c r="AP96" i="17"/>
  <c r="AP97" i="17"/>
  <c r="AP98" i="17"/>
  <c r="AP99" i="17"/>
  <c r="AP100" i="17"/>
  <c r="AP101" i="17"/>
  <c r="AP102" i="17"/>
  <c r="BL216" i="17" l="1"/>
  <c r="BJ216" i="17"/>
  <c r="BH216" i="17"/>
  <c r="BF216" i="17"/>
  <c r="BD216" i="17"/>
  <c r="BB216" i="17"/>
  <c r="AZ216" i="17"/>
  <c r="AX216" i="17"/>
  <c r="AV216" i="17"/>
  <c r="AT216" i="17"/>
  <c r="AR216" i="17"/>
  <c r="AP216" i="17"/>
  <c r="BL215" i="17"/>
  <c r="BJ215" i="17"/>
  <c r="BH215" i="17"/>
  <c r="BF215" i="17"/>
  <c r="BD215" i="17"/>
  <c r="BB215" i="17"/>
  <c r="AZ215" i="17"/>
  <c r="AX215" i="17"/>
  <c r="AV215" i="17"/>
  <c r="AT215" i="17"/>
  <c r="AR215" i="17"/>
  <c r="AP215" i="17"/>
  <c r="BL218" i="17"/>
  <c r="BL219" i="17"/>
  <c r="BJ218" i="17"/>
  <c r="BJ219" i="17"/>
  <c r="BH218" i="17"/>
  <c r="BH219" i="17"/>
  <c r="BH220" i="17"/>
  <c r="BF218" i="17"/>
  <c r="BF219" i="17"/>
  <c r="BD218" i="17"/>
  <c r="BD219" i="17"/>
  <c r="BB218" i="17"/>
  <c r="BB219" i="17"/>
  <c r="AZ218" i="17"/>
  <c r="AZ219" i="17"/>
  <c r="AX218" i="17"/>
  <c r="AX219" i="17"/>
  <c r="AX220" i="17"/>
  <c r="AV218" i="17"/>
  <c r="AV219" i="17"/>
  <c r="AT218" i="17"/>
  <c r="AT219" i="17"/>
  <c r="AR218" i="17"/>
  <c r="AR219" i="17"/>
  <c r="AP218" i="17"/>
  <c r="AP219" i="17"/>
  <c r="AP220" i="17"/>
  <c r="BL33" i="17" l="1"/>
  <c r="BL34" i="17"/>
  <c r="BL35" i="17"/>
  <c r="BL36" i="17"/>
  <c r="BJ33" i="17"/>
  <c r="BJ34" i="17"/>
  <c r="BJ35" i="17"/>
  <c r="BJ36" i="17"/>
  <c r="BH33" i="17"/>
  <c r="BH34" i="17"/>
  <c r="BH35" i="17"/>
  <c r="BH36" i="17"/>
  <c r="BD33" i="17"/>
  <c r="BD34" i="17"/>
  <c r="BD35" i="17"/>
  <c r="BD36" i="17"/>
  <c r="BB33" i="17"/>
  <c r="BB34" i="17"/>
  <c r="BB35" i="17"/>
  <c r="AZ33" i="17"/>
  <c r="AZ34" i="17"/>
  <c r="AZ35" i="17"/>
  <c r="AX33" i="17"/>
  <c r="AX34" i="17"/>
  <c r="AX35" i="17"/>
  <c r="AX36" i="17"/>
  <c r="AV33" i="17"/>
  <c r="AV34" i="17"/>
  <c r="AV35" i="17"/>
  <c r="AV36" i="17"/>
  <c r="AT33" i="17"/>
  <c r="AT34" i="17"/>
  <c r="AT35" i="17"/>
  <c r="AT36" i="17"/>
  <c r="AR33" i="17"/>
  <c r="AR34" i="17"/>
  <c r="AR35" i="17"/>
  <c r="AP33" i="17"/>
  <c r="AP34" i="17"/>
  <c r="AP35" i="17"/>
  <c r="BL57" i="17" l="1"/>
  <c r="BL58" i="17"/>
  <c r="BL64" i="17"/>
  <c r="BL65" i="17"/>
  <c r="BJ57" i="17"/>
  <c r="BJ58" i="17"/>
  <c r="BJ64" i="17"/>
  <c r="BH57" i="17"/>
  <c r="BH58" i="17"/>
  <c r="BH64" i="17"/>
  <c r="BD57" i="17"/>
  <c r="BD58" i="17"/>
  <c r="BD65" i="17"/>
  <c r="BD66" i="17"/>
  <c r="BB57" i="17"/>
  <c r="BB58" i="17"/>
  <c r="BB65" i="17"/>
  <c r="BB66" i="17"/>
  <c r="AZ57" i="17"/>
  <c r="AZ58" i="17"/>
  <c r="AZ64" i="17"/>
  <c r="AX57" i="17"/>
  <c r="AX58" i="17"/>
  <c r="AX64" i="17"/>
  <c r="AV57" i="17"/>
  <c r="AV58" i="17"/>
  <c r="AV64" i="17"/>
  <c r="AT57" i="17"/>
  <c r="AT58" i="17"/>
  <c r="AT64" i="17"/>
  <c r="AT65" i="17"/>
  <c r="AR56" i="17"/>
  <c r="AR57" i="17"/>
  <c r="AR58" i="17"/>
  <c r="AR64" i="17"/>
  <c r="AP57" i="17"/>
  <c r="AP58" i="17"/>
  <c r="AP64" i="17"/>
  <c r="AZ23" i="17" l="1"/>
  <c r="BB23" i="17"/>
  <c r="BD23" i="17"/>
  <c r="BH23" i="17"/>
  <c r="BJ23" i="17"/>
  <c r="BL23" i="17"/>
  <c r="AZ24" i="17"/>
  <c r="BB24" i="17"/>
  <c r="BD24" i="17"/>
  <c r="BH24" i="17"/>
  <c r="BJ24" i="17"/>
  <c r="BL24" i="17"/>
  <c r="BL260" i="17" l="1"/>
  <c r="BL261" i="17"/>
  <c r="BL262" i="17"/>
  <c r="BL263" i="17"/>
  <c r="BL264" i="17"/>
  <c r="BL265" i="17"/>
  <c r="BL266" i="17"/>
  <c r="BL267" i="17"/>
  <c r="BL268" i="17"/>
  <c r="BL269" i="17"/>
  <c r="BL270" i="17"/>
  <c r="BL271" i="17"/>
  <c r="BL272" i="17"/>
  <c r="BL273" i="17"/>
  <c r="BJ259" i="17"/>
  <c r="BJ260" i="17"/>
  <c r="BJ261" i="17"/>
  <c r="BJ262" i="17"/>
  <c r="BJ263" i="17"/>
  <c r="BJ264" i="17"/>
  <c r="BJ265" i="17"/>
  <c r="BJ266" i="17"/>
  <c r="BJ267" i="17"/>
  <c r="BJ268" i="17"/>
  <c r="BJ269" i="17"/>
  <c r="BJ270" i="17"/>
  <c r="BJ271" i="17"/>
  <c r="BJ272" i="17"/>
  <c r="BJ273" i="17"/>
  <c r="BJ274" i="17"/>
  <c r="BH260" i="17"/>
  <c r="BH261" i="17"/>
  <c r="BH262" i="17"/>
  <c r="BH263" i="17"/>
  <c r="BH264" i="17"/>
  <c r="BH265" i="17"/>
  <c r="BH266" i="17"/>
  <c r="BH267" i="17"/>
  <c r="BH268" i="17"/>
  <c r="BH269" i="17"/>
  <c r="BH270" i="17"/>
  <c r="BH271" i="17"/>
  <c r="BH272" i="17"/>
  <c r="BH273" i="17"/>
  <c r="BH274" i="17"/>
  <c r="BF260" i="17"/>
  <c r="BF261" i="17"/>
  <c r="BF262" i="17"/>
  <c r="BF263" i="17"/>
  <c r="BF264" i="17"/>
  <c r="BF265" i="17"/>
  <c r="BF266" i="17"/>
  <c r="BF267" i="17"/>
  <c r="BF268" i="17"/>
  <c r="BF269" i="17"/>
  <c r="BF270" i="17"/>
  <c r="BF271" i="17"/>
  <c r="BF272" i="17"/>
  <c r="BF273" i="17"/>
  <c r="BF274" i="17"/>
  <c r="BD259" i="17"/>
  <c r="BD260" i="17"/>
  <c r="BD261" i="17"/>
  <c r="BD262" i="17"/>
  <c r="BD263" i="17"/>
  <c r="BD264" i="17"/>
  <c r="BD265" i="17"/>
  <c r="BD266" i="17"/>
  <c r="BD267" i="17"/>
  <c r="BD268" i="17"/>
  <c r="BD269" i="17"/>
  <c r="BD270" i="17"/>
  <c r="BD271" i="17"/>
  <c r="BD272" i="17"/>
  <c r="BD273" i="17"/>
  <c r="BB260" i="17"/>
  <c r="BB261" i="17"/>
  <c r="BB262" i="17"/>
  <c r="BB263" i="17"/>
  <c r="BB264" i="17"/>
  <c r="BB265" i="17"/>
  <c r="BB266" i="17"/>
  <c r="BB267" i="17"/>
  <c r="BB268" i="17"/>
  <c r="BB269" i="17"/>
  <c r="BB270" i="17"/>
  <c r="BB271" i="17"/>
  <c r="BB272" i="17"/>
  <c r="BB273" i="17"/>
  <c r="AZ260" i="17"/>
  <c r="AZ261" i="17"/>
  <c r="AZ262" i="17"/>
  <c r="AZ263" i="17"/>
  <c r="AZ264" i="17"/>
  <c r="AZ265" i="17"/>
  <c r="AZ266" i="17"/>
  <c r="AZ267" i="17"/>
  <c r="AZ268" i="17"/>
  <c r="AZ269" i="17"/>
  <c r="AZ270" i="17"/>
  <c r="AZ271" i="17"/>
  <c r="AZ272" i="17"/>
  <c r="AZ273" i="17"/>
  <c r="AX259" i="17"/>
  <c r="AX260" i="17"/>
  <c r="AX261" i="17"/>
  <c r="AX262" i="17"/>
  <c r="AX263" i="17"/>
  <c r="AX264" i="17"/>
  <c r="AX265" i="17"/>
  <c r="AX266" i="17"/>
  <c r="AX267" i="17"/>
  <c r="AX268" i="17"/>
  <c r="AX269" i="17"/>
  <c r="AX270" i="17"/>
  <c r="AX271" i="17"/>
  <c r="AX272" i="17"/>
  <c r="AX273" i="17"/>
  <c r="AX274" i="17"/>
  <c r="AV259" i="17"/>
  <c r="AV260" i="17"/>
  <c r="AV261" i="17"/>
  <c r="AV262" i="17"/>
  <c r="AV263" i="17"/>
  <c r="AV264" i="17"/>
  <c r="AV265" i="17"/>
  <c r="AV266" i="17"/>
  <c r="AV267" i="17"/>
  <c r="AV268" i="17"/>
  <c r="AV269" i="17"/>
  <c r="AV270" i="17"/>
  <c r="AV271" i="17"/>
  <c r="AV272" i="17"/>
  <c r="AV273" i="17"/>
  <c r="AT259" i="17"/>
  <c r="AT260" i="17"/>
  <c r="AT261" i="17"/>
  <c r="AT262" i="17"/>
  <c r="AT263" i="17"/>
  <c r="AT264" i="17"/>
  <c r="AT265" i="17"/>
  <c r="AT266" i="17"/>
  <c r="AT267" i="17"/>
  <c r="AT268" i="17"/>
  <c r="AT269" i="17"/>
  <c r="AT270" i="17"/>
  <c r="AT271" i="17"/>
  <c r="AT272" i="17"/>
  <c r="AT273" i="17"/>
  <c r="AT274" i="17"/>
  <c r="AR259" i="17"/>
  <c r="AR260" i="17"/>
  <c r="AR261" i="17"/>
  <c r="AR262" i="17"/>
  <c r="AR263" i="17"/>
  <c r="AR264" i="17"/>
  <c r="AR265" i="17"/>
  <c r="AR266" i="17"/>
  <c r="AR267" i="17"/>
  <c r="AR268" i="17"/>
  <c r="AR269" i="17"/>
  <c r="AR270" i="17"/>
  <c r="AR271" i="17"/>
  <c r="AR272" i="17"/>
  <c r="AR273" i="17"/>
  <c r="AR274" i="17"/>
  <c r="AR275" i="17"/>
  <c r="AP259" i="17"/>
  <c r="AP260" i="17"/>
  <c r="AP261" i="17"/>
  <c r="AP262" i="17"/>
  <c r="AP263" i="17"/>
  <c r="AP264" i="17"/>
  <c r="AP265" i="17"/>
  <c r="AP266" i="17"/>
  <c r="AP267" i="17"/>
  <c r="AP268" i="17"/>
  <c r="AP269" i="17"/>
  <c r="AP270" i="17"/>
  <c r="AP271" i="17"/>
  <c r="AP272" i="17"/>
  <c r="AP273" i="17"/>
  <c r="AP274" i="17"/>
  <c r="BL348" i="17" l="1"/>
  <c r="BJ348" i="17"/>
  <c r="BH348" i="17"/>
  <c r="BF348" i="17"/>
  <c r="BD347" i="17"/>
  <c r="BD348" i="17"/>
  <c r="BB348" i="17"/>
  <c r="AZ347" i="17"/>
  <c r="AZ348" i="17"/>
  <c r="AX347" i="17"/>
  <c r="AX348" i="17"/>
  <c r="AV348" i="17"/>
  <c r="AT348" i="17"/>
  <c r="AP348" i="17"/>
  <c r="AR348" i="17"/>
  <c r="BL339" i="17"/>
  <c r="BL340" i="17"/>
  <c r="BL341" i="17"/>
  <c r="BL342" i="17"/>
  <c r="BL343" i="17"/>
  <c r="BL344" i="17"/>
  <c r="BL345" i="17"/>
  <c r="BL346" i="17"/>
  <c r="BL347" i="17"/>
  <c r="BJ339" i="17"/>
  <c r="BJ340" i="17"/>
  <c r="BJ341" i="17"/>
  <c r="BJ342" i="17"/>
  <c r="BJ343" i="17"/>
  <c r="BJ344" i="17"/>
  <c r="BJ345" i="17"/>
  <c r="BJ346" i="17"/>
  <c r="BJ347" i="17"/>
  <c r="BH339" i="17"/>
  <c r="BH340" i="17"/>
  <c r="BH341" i="17"/>
  <c r="BH342" i="17"/>
  <c r="BH343" i="17"/>
  <c r="BH344" i="17"/>
  <c r="BH345" i="17"/>
  <c r="BH346" i="17"/>
  <c r="BH347" i="17"/>
  <c r="BF339" i="17"/>
  <c r="BF340" i="17"/>
  <c r="BF341" i="17"/>
  <c r="BF342" i="17"/>
  <c r="BF343" i="17"/>
  <c r="BF344" i="17"/>
  <c r="BF345" i="17"/>
  <c r="BF346" i="17"/>
  <c r="BF347" i="17"/>
  <c r="BD339" i="17"/>
  <c r="BD340" i="17"/>
  <c r="BD341" i="17"/>
  <c r="BD342" i="17"/>
  <c r="BD343" i="17"/>
  <c r="BD344" i="17"/>
  <c r="BD345" i="17"/>
  <c r="BD346" i="17"/>
  <c r="BB339" i="17"/>
  <c r="BB340" i="17"/>
  <c r="BB341" i="17"/>
  <c r="BB342" i="17"/>
  <c r="BB343" i="17"/>
  <c r="BB344" i="17"/>
  <c r="BB345" i="17"/>
  <c r="BB346" i="17"/>
  <c r="BB347" i="17"/>
  <c r="AZ339" i="17"/>
  <c r="AZ340" i="17"/>
  <c r="AZ341" i="17"/>
  <c r="AZ342" i="17"/>
  <c r="AZ343" i="17"/>
  <c r="AZ344" i="17"/>
  <c r="AZ345" i="17"/>
  <c r="AZ346" i="17"/>
  <c r="AX339" i="17"/>
  <c r="AX340" i="17"/>
  <c r="AX341" i="17"/>
  <c r="AX342" i="17"/>
  <c r="AX343" i="17"/>
  <c r="AX344" i="17"/>
  <c r="AX345" i="17"/>
  <c r="AX346" i="17"/>
  <c r="AV339" i="17"/>
  <c r="AV340" i="17"/>
  <c r="AV341" i="17"/>
  <c r="AV342" i="17"/>
  <c r="AV343" i="17"/>
  <c r="AV344" i="17"/>
  <c r="AV345" i="17"/>
  <c r="AV346" i="17"/>
  <c r="AV347" i="17"/>
  <c r="AT339" i="17"/>
  <c r="AT340" i="17"/>
  <c r="AT341" i="17"/>
  <c r="AT342" i="17"/>
  <c r="AT343" i="17"/>
  <c r="AT344" i="17"/>
  <c r="AT345" i="17"/>
  <c r="AT346" i="17"/>
  <c r="AT347" i="17"/>
  <c r="AR339" i="17"/>
  <c r="AR340" i="17"/>
  <c r="AR341" i="17"/>
  <c r="AR342" i="17"/>
  <c r="AR343" i="17"/>
  <c r="AR344" i="17"/>
  <c r="AR345" i="17"/>
  <c r="AR346" i="17"/>
  <c r="AR347" i="17"/>
  <c r="AP339" i="17"/>
  <c r="AP340" i="17"/>
  <c r="AP341" i="17"/>
  <c r="AP342" i="17"/>
  <c r="AP343" i="17"/>
  <c r="AP344" i="17"/>
  <c r="AP345" i="17"/>
  <c r="AP346" i="17"/>
  <c r="AP347" i="17"/>
  <c r="BL374" i="17"/>
  <c r="BJ374" i="17"/>
  <c r="BH374" i="17"/>
  <c r="BF374" i="17"/>
  <c r="BD374" i="17"/>
  <c r="AZ374" i="17"/>
  <c r="AX374" i="17"/>
  <c r="AV374" i="17"/>
  <c r="AT374" i="17"/>
  <c r="AR374" i="17"/>
  <c r="AP374" i="17"/>
  <c r="BL317" i="17"/>
  <c r="BL318" i="17"/>
  <c r="BL319" i="17"/>
  <c r="BL320" i="17"/>
  <c r="BL321" i="17"/>
  <c r="BL322" i="17"/>
  <c r="BL323" i="17"/>
  <c r="BL324" i="17"/>
  <c r="BL325" i="17"/>
  <c r="BL326" i="17"/>
  <c r="BL327" i="17"/>
  <c r="BL328" i="17"/>
  <c r="BL329" i="17"/>
  <c r="BJ317" i="17"/>
  <c r="BJ318" i="17"/>
  <c r="BJ319" i="17"/>
  <c r="BJ320" i="17"/>
  <c r="BJ321" i="17"/>
  <c r="BJ322" i="17"/>
  <c r="BJ323" i="17"/>
  <c r="BJ324" i="17"/>
  <c r="BJ325" i="17"/>
  <c r="BJ326" i="17"/>
  <c r="BJ327" i="17"/>
  <c r="BJ328" i="17"/>
  <c r="BJ329" i="17"/>
  <c r="BH317" i="17"/>
  <c r="BH318" i="17"/>
  <c r="BH319" i="17"/>
  <c r="BH320" i="17"/>
  <c r="BH321" i="17"/>
  <c r="BH322" i="17"/>
  <c r="BH323" i="17"/>
  <c r="BH324" i="17"/>
  <c r="BH325" i="17"/>
  <c r="BH326" i="17"/>
  <c r="BH327" i="17"/>
  <c r="BH328" i="17"/>
  <c r="BH329" i="17"/>
  <c r="BF317" i="17"/>
  <c r="BF318" i="17"/>
  <c r="BF319" i="17"/>
  <c r="BF320" i="17"/>
  <c r="BF321" i="17"/>
  <c r="BF322" i="17"/>
  <c r="BF323" i="17"/>
  <c r="BF324" i="17"/>
  <c r="BF325" i="17"/>
  <c r="BF326" i="17"/>
  <c r="BF327" i="17"/>
  <c r="BF328" i="17"/>
  <c r="BF329" i="17"/>
  <c r="BD317" i="17"/>
  <c r="BD318" i="17"/>
  <c r="BD319" i="17"/>
  <c r="BD320" i="17"/>
  <c r="BD321" i="17"/>
  <c r="BD322" i="17"/>
  <c r="BD323" i="17"/>
  <c r="BD324" i="17"/>
  <c r="BD325" i="17"/>
  <c r="BD326" i="17"/>
  <c r="BD327" i="17"/>
  <c r="BD328" i="17"/>
  <c r="BD329" i="17"/>
  <c r="BB317" i="17"/>
  <c r="BB318" i="17"/>
  <c r="BB319" i="17"/>
  <c r="BB320" i="17"/>
  <c r="BB321" i="17"/>
  <c r="BB322" i="17"/>
  <c r="BB323" i="17"/>
  <c r="BB324" i="17"/>
  <c r="BB325" i="17"/>
  <c r="BB326" i="17"/>
  <c r="BB327" i="17"/>
  <c r="BB328" i="17"/>
  <c r="BB329" i="17"/>
  <c r="AZ317" i="17"/>
  <c r="AZ318" i="17"/>
  <c r="AZ319" i="17"/>
  <c r="AZ320" i="17"/>
  <c r="AZ321" i="17"/>
  <c r="AZ322" i="17"/>
  <c r="AZ323" i="17"/>
  <c r="AZ324" i="17"/>
  <c r="AZ325" i="17"/>
  <c r="AZ326" i="17"/>
  <c r="AZ327" i="17"/>
  <c r="AZ328" i="17"/>
  <c r="AZ329" i="17"/>
  <c r="AX317" i="17"/>
  <c r="AX318" i="17"/>
  <c r="AX319" i="17"/>
  <c r="AX320" i="17"/>
  <c r="AX321" i="17"/>
  <c r="AX322" i="17"/>
  <c r="AX323" i="17"/>
  <c r="AX324" i="17"/>
  <c r="AX325" i="17"/>
  <c r="AX326" i="17"/>
  <c r="AX327" i="17"/>
  <c r="AX328" i="17"/>
  <c r="AX329" i="17"/>
  <c r="AV317" i="17"/>
  <c r="AV318" i="17"/>
  <c r="AV319" i="17"/>
  <c r="AV320" i="17"/>
  <c r="AV321" i="17"/>
  <c r="AV322" i="17"/>
  <c r="AV323" i="17"/>
  <c r="AV324" i="17"/>
  <c r="AV325" i="17"/>
  <c r="AV326" i="17"/>
  <c r="AV327" i="17"/>
  <c r="AV328" i="17"/>
  <c r="AV329" i="17"/>
  <c r="AT317" i="17"/>
  <c r="AT318" i="17"/>
  <c r="AT319" i="17"/>
  <c r="AT320" i="17"/>
  <c r="AT321" i="17"/>
  <c r="AT322" i="17"/>
  <c r="AT323" i="17"/>
  <c r="AT324" i="17"/>
  <c r="AT325" i="17"/>
  <c r="AT326" i="17"/>
  <c r="AT327" i="17"/>
  <c r="AT328" i="17"/>
  <c r="AT329" i="17"/>
  <c r="AT330" i="17"/>
  <c r="AR317" i="17"/>
  <c r="AR318" i="17"/>
  <c r="AR319" i="17"/>
  <c r="AR320" i="17"/>
  <c r="AR321" i="17"/>
  <c r="AR322" i="17"/>
  <c r="AR323" i="17"/>
  <c r="AR324" i="17"/>
  <c r="AR325" i="17"/>
  <c r="AR326" i="17"/>
  <c r="AR327" i="17"/>
  <c r="AR328" i="17"/>
  <c r="AR329" i="17"/>
  <c r="AP317" i="17"/>
  <c r="AP318" i="17"/>
  <c r="AP319" i="17"/>
  <c r="AP320" i="17"/>
  <c r="AP321" i="17"/>
  <c r="AP322" i="17"/>
  <c r="AP323" i="17"/>
  <c r="AP324" i="17"/>
  <c r="AP325" i="17"/>
  <c r="AP326" i="17"/>
  <c r="AP327" i="17"/>
  <c r="AP328" i="17"/>
  <c r="AP329" i="17"/>
  <c r="BL310" i="17"/>
  <c r="BL311" i="17"/>
  <c r="BL312" i="17"/>
  <c r="BL313" i="17"/>
  <c r="BL314" i="17"/>
  <c r="BL315" i="17"/>
  <c r="BL316" i="17"/>
  <c r="BJ310" i="17"/>
  <c r="BJ311" i="17"/>
  <c r="BJ312" i="17"/>
  <c r="BJ313" i="17"/>
  <c r="BJ314" i="17"/>
  <c r="BJ315" i="17"/>
  <c r="BH310" i="17"/>
  <c r="BH311" i="17"/>
  <c r="BH312" i="17"/>
  <c r="BH313" i="17"/>
  <c r="BH314" i="17"/>
  <c r="BH315" i="17"/>
  <c r="BF310" i="17"/>
  <c r="BF311" i="17"/>
  <c r="BF312" i="17"/>
  <c r="BF313" i="17"/>
  <c r="BF314" i="17"/>
  <c r="BF315" i="17"/>
  <c r="BD310" i="17"/>
  <c r="BD311" i="17"/>
  <c r="BD312" i="17"/>
  <c r="BD313" i="17"/>
  <c r="BD314" i="17"/>
  <c r="BD315" i="17"/>
  <c r="BB310" i="17"/>
  <c r="BB311" i="17"/>
  <c r="BB312" i="17"/>
  <c r="BB313" i="17"/>
  <c r="BB314" i="17"/>
  <c r="BB315" i="17"/>
  <c r="AZ310" i="17"/>
  <c r="AZ311" i="17"/>
  <c r="AZ312" i="17"/>
  <c r="AZ313" i="17"/>
  <c r="AZ314" i="17"/>
  <c r="AZ315" i="17"/>
  <c r="AZ316" i="17"/>
  <c r="AX310" i="17"/>
  <c r="AX311" i="17"/>
  <c r="AX312" i="17"/>
  <c r="AX313" i="17"/>
  <c r="AX314" i="17"/>
  <c r="AX315" i="17"/>
  <c r="AV310" i="17"/>
  <c r="AV311" i="17"/>
  <c r="AV312" i="17"/>
  <c r="AV313" i="17"/>
  <c r="AV314" i="17"/>
  <c r="AV315" i="17"/>
  <c r="AV316" i="17"/>
  <c r="AT310" i="17"/>
  <c r="AT311" i="17"/>
  <c r="AT312" i="17"/>
  <c r="AT313" i="17"/>
  <c r="AT314" i="17"/>
  <c r="AR310" i="17"/>
  <c r="AR311" i="17"/>
  <c r="AR312" i="17"/>
  <c r="AR313" i="17"/>
  <c r="AR314" i="17"/>
  <c r="AR315" i="17"/>
  <c r="AR316" i="17"/>
  <c r="AP310" i="17"/>
  <c r="AP311" i="17"/>
  <c r="AP312" i="17"/>
  <c r="AP313" i="17"/>
  <c r="AP314" i="17"/>
  <c r="AP315" i="17"/>
  <c r="BL296" i="17"/>
  <c r="BL297" i="17"/>
  <c r="BL298" i="17"/>
  <c r="BL299" i="17"/>
  <c r="BL300" i="17"/>
  <c r="BL301" i="17"/>
  <c r="BJ297" i="17"/>
  <c r="BJ298" i="17"/>
  <c r="BJ299" i="17"/>
  <c r="BJ300" i="17"/>
  <c r="BH296" i="17"/>
  <c r="BH297" i="17"/>
  <c r="BH298" i="17"/>
  <c r="BH299" i="17"/>
  <c r="BH300" i="17"/>
  <c r="BF296" i="17"/>
  <c r="BF297" i="17"/>
  <c r="BF298" i="17"/>
  <c r="BF299" i="17"/>
  <c r="BF300" i="17"/>
  <c r="BD297" i="17"/>
  <c r="BD298" i="17"/>
  <c r="BD299" i="17"/>
  <c r="BD300" i="17"/>
  <c r="BD301" i="17"/>
  <c r="BB297" i="17"/>
  <c r="BB298" i="17"/>
  <c r="BB299" i="17"/>
  <c r="BB300" i="17"/>
  <c r="BB301" i="17"/>
  <c r="BB304" i="17"/>
  <c r="AZ297" i="17"/>
  <c r="AZ298" i="17"/>
  <c r="AZ299" i="17"/>
  <c r="AZ300" i="17"/>
  <c r="AZ301" i="17"/>
  <c r="AX296" i="17"/>
  <c r="AX297" i="17"/>
  <c r="AX298" i="17"/>
  <c r="AX299" i="17"/>
  <c r="AX300" i="17"/>
  <c r="AX301" i="17"/>
  <c r="AV296" i="17"/>
  <c r="AV297" i="17"/>
  <c r="AV298" i="17"/>
  <c r="AV299" i="17"/>
  <c r="AV300" i="17"/>
  <c r="AV301" i="17"/>
  <c r="AV304" i="17"/>
  <c r="AT297" i="17"/>
  <c r="AT298" i="17"/>
  <c r="AT299" i="17"/>
  <c r="AT300" i="17"/>
  <c r="AT301" i="17"/>
  <c r="AT305" i="17"/>
  <c r="AR297" i="17"/>
  <c r="AR298" i="17"/>
  <c r="AR299" i="17"/>
  <c r="AR300" i="17"/>
  <c r="AR301" i="17"/>
  <c r="AR304" i="17"/>
  <c r="AP297" i="17"/>
  <c r="AP298" i="17"/>
  <c r="AP299" i="17"/>
  <c r="AP300" i="17"/>
  <c r="BL304" i="17"/>
  <c r="BJ296" i="17"/>
  <c r="BJ301" i="17"/>
  <c r="BJ304" i="17"/>
  <c r="BJ305" i="17"/>
  <c r="BH301" i="17"/>
  <c r="BH304" i="17"/>
  <c r="BF301" i="17"/>
  <c r="BF304" i="17"/>
  <c r="BD296" i="17"/>
  <c r="BD304" i="17"/>
  <c r="BD305" i="17"/>
  <c r="BB296" i="17"/>
  <c r="BB305" i="17"/>
  <c r="AZ296" i="17"/>
  <c r="AZ305" i="17"/>
  <c r="AZ306" i="17"/>
  <c r="AX305" i="17"/>
  <c r="AV305" i="17"/>
  <c r="AT295" i="17"/>
  <c r="AT296" i="17"/>
  <c r="AT306" i="17"/>
  <c r="AP301" i="17"/>
  <c r="AR296" i="17"/>
  <c r="AP296" i="17"/>
  <c r="BL287" i="17" l="1"/>
  <c r="BL288" i="17"/>
  <c r="BL289" i="17"/>
  <c r="BL290" i="17"/>
  <c r="BL291" i="17"/>
  <c r="BL292" i="17"/>
  <c r="BL293" i="17"/>
  <c r="BL294" i="17"/>
  <c r="BL295" i="17"/>
  <c r="BL305" i="17"/>
  <c r="BJ287" i="17"/>
  <c r="BJ288" i="17"/>
  <c r="BJ289" i="17"/>
  <c r="BJ290" i="17"/>
  <c r="BJ291" i="17"/>
  <c r="BJ292" i="17"/>
  <c r="BJ293" i="17"/>
  <c r="BJ294" i="17"/>
  <c r="BJ295" i="17"/>
  <c r="BH287" i="17"/>
  <c r="BH288" i="17"/>
  <c r="BH289" i="17"/>
  <c r="BH290" i="17"/>
  <c r="BH291" i="17"/>
  <c r="BH292" i="17"/>
  <c r="BH293" i="17"/>
  <c r="BH294" i="17"/>
  <c r="BH295" i="17"/>
  <c r="BF286" i="17"/>
  <c r="BF287" i="17"/>
  <c r="BF288" i="17"/>
  <c r="BF289" i="17"/>
  <c r="BF290" i="17"/>
  <c r="BF291" i="17"/>
  <c r="BF292" i="17"/>
  <c r="BF293" i="17"/>
  <c r="BF294" i="17"/>
  <c r="BF295" i="17"/>
  <c r="BD287" i="17"/>
  <c r="BD288" i="17"/>
  <c r="BD289" i="17"/>
  <c r="BD290" i="17"/>
  <c r="BD291" i="17"/>
  <c r="BD292" i="17"/>
  <c r="BD293" i="17"/>
  <c r="BD294" i="17"/>
  <c r="BD295" i="17"/>
  <c r="BB287" i="17"/>
  <c r="BB288" i="17"/>
  <c r="BB289" i="17"/>
  <c r="BB290" i="17"/>
  <c r="BB291" i="17"/>
  <c r="BB292" i="17"/>
  <c r="BB293" i="17"/>
  <c r="BB294" i="17"/>
  <c r="BB295" i="17"/>
  <c r="AZ287" i="17"/>
  <c r="AZ288" i="17"/>
  <c r="AZ289" i="17"/>
  <c r="AZ290" i="17"/>
  <c r="AZ291" i="17"/>
  <c r="AZ292" i="17"/>
  <c r="AZ293" i="17"/>
  <c r="AZ294" i="17"/>
  <c r="AZ295" i="17"/>
  <c r="AX288" i="17"/>
  <c r="AX289" i="17"/>
  <c r="AX290" i="17"/>
  <c r="AX291" i="17"/>
  <c r="AX292" i="17"/>
  <c r="AX293" i="17"/>
  <c r="AX294" i="17"/>
  <c r="AX295" i="17"/>
  <c r="AV289" i="17"/>
  <c r="AV290" i="17"/>
  <c r="AV291" i="17"/>
  <c r="AV292" i="17"/>
  <c r="AV293" i="17"/>
  <c r="AV294" i="17"/>
  <c r="AV295" i="17"/>
  <c r="AT289" i="17"/>
  <c r="AT290" i="17"/>
  <c r="AT291" i="17"/>
  <c r="AT292" i="17"/>
  <c r="AT293" i="17"/>
  <c r="AT294" i="17"/>
  <c r="AR292" i="17"/>
  <c r="AR293" i="17"/>
  <c r="AR294" i="17"/>
  <c r="AR295" i="17"/>
  <c r="AP293" i="17"/>
  <c r="AP294" i="17"/>
  <c r="AP295" i="17"/>
  <c r="AR289" i="17"/>
  <c r="AR290" i="17"/>
  <c r="AR291" i="17"/>
  <c r="AP289" i="17"/>
  <c r="AP290" i="17"/>
  <c r="AP291" i="17"/>
  <c r="BL283" i="17" l="1"/>
  <c r="BJ283" i="17"/>
  <c r="BJ284" i="17"/>
  <c r="BH283" i="17"/>
  <c r="BH284" i="17"/>
  <c r="BF283" i="17"/>
  <c r="BF284" i="17"/>
  <c r="BD283" i="17"/>
  <c r="BD284" i="17"/>
  <c r="BB283" i="17"/>
  <c r="AZ283" i="17"/>
  <c r="AZ284" i="17"/>
  <c r="AX283" i="17"/>
  <c r="AV283" i="17"/>
  <c r="AV284" i="17"/>
  <c r="AT283" i="17"/>
  <c r="AR283" i="17"/>
  <c r="AP283" i="17"/>
  <c r="BJ316" i="17" l="1"/>
  <c r="BH316" i="17"/>
  <c r="BH330" i="17"/>
  <c r="BF316" i="17"/>
  <c r="BF330" i="17"/>
  <c r="BD316" i="17"/>
  <c r="BD330" i="17"/>
  <c r="BB316" i="17"/>
  <c r="AX316" i="17"/>
  <c r="AV330" i="17"/>
  <c r="AV331" i="17"/>
  <c r="AT315" i="17"/>
  <c r="AT316" i="17"/>
  <c r="AP316" i="17"/>
  <c r="AP330" i="17"/>
  <c r="BL330" i="17"/>
  <c r="BB330" i="17"/>
  <c r="AR330" i="17"/>
  <c r="BL309" i="17"/>
  <c r="BJ309" i="17"/>
  <c r="BH309" i="17"/>
  <c r="BF309" i="17"/>
  <c r="BD309" i="17"/>
  <c r="BB309" i="17"/>
  <c r="AZ309" i="17"/>
  <c r="AX309" i="17"/>
  <c r="AV309" i="17"/>
  <c r="AT309" i="17"/>
  <c r="AR309" i="17"/>
  <c r="AP309" i="17"/>
  <c r="BL308" i="17"/>
  <c r="BJ308" i="17"/>
  <c r="BH308" i="17"/>
  <c r="BF308" i="17"/>
  <c r="BD308" i="17"/>
  <c r="BB308" i="17"/>
  <c r="AZ308" i="17"/>
  <c r="AX308" i="17"/>
  <c r="AV308" i="17"/>
  <c r="AT308" i="17"/>
  <c r="AR308" i="17"/>
  <c r="AP308" i="17"/>
  <c r="BL307" i="17"/>
  <c r="BJ307" i="17"/>
  <c r="BH307" i="17"/>
  <c r="BF307" i="17"/>
  <c r="BD307" i="17"/>
  <c r="BB307" i="17"/>
  <c r="AZ307" i="17"/>
  <c r="AX307" i="17"/>
  <c r="AV307" i="17"/>
  <c r="AT307" i="17"/>
  <c r="AR307" i="17"/>
  <c r="AP307" i="17"/>
  <c r="BL306" i="17"/>
  <c r="BJ306" i="17"/>
  <c r="BH306" i="17"/>
  <c r="BF306" i="17"/>
  <c r="BD306" i="17"/>
  <c r="BB306" i="17"/>
  <c r="AX306" i="17"/>
  <c r="AV306" i="17"/>
  <c r="AR306" i="17"/>
  <c r="AP306" i="17"/>
  <c r="BH305" i="17"/>
  <c r="BF305" i="17"/>
  <c r="AR305" i="17"/>
  <c r="AP305" i="17"/>
  <c r="AP304" i="17"/>
  <c r="BL211" i="17" l="1"/>
  <c r="BJ211" i="17"/>
  <c r="BH211" i="17"/>
  <c r="BH212" i="17"/>
  <c r="BF211" i="17"/>
  <c r="BF212" i="17"/>
  <c r="BD211" i="17"/>
  <c r="BB211" i="17"/>
  <c r="BB212" i="17"/>
  <c r="AZ211" i="17"/>
  <c r="AZ212" i="17"/>
  <c r="AX211" i="17"/>
  <c r="AX212" i="17"/>
  <c r="AV211" i="17"/>
  <c r="AT211" i="17"/>
  <c r="AR211" i="17"/>
  <c r="AR212" i="17"/>
  <c r="AP211" i="17"/>
  <c r="BH49" i="17"/>
  <c r="BD49" i="17"/>
  <c r="BB43" i="17"/>
  <c r="BB49" i="17"/>
  <c r="AZ49" i="17"/>
  <c r="AX49" i="17"/>
  <c r="AV49" i="17"/>
  <c r="AV50" i="17"/>
  <c r="AT49" i="17"/>
  <c r="AT50" i="17"/>
  <c r="AR49" i="17"/>
  <c r="AR50" i="17"/>
  <c r="AP49" i="17"/>
  <c r="BL43" i="17"/>
  <c r="BJ43" i="17"/>
  <c r="BH43" i="17"/>
  <c r="BD43" i="17"/>
  <c r="AZ43" i="17"/>
  <c r="AV43" i="17"/>
  <c r="AT43" i="17"/>
  <c r="AR43" i="17"/>
  <c r="AP43" i="17"/>
  <c r="BL42" i="17"/>
  <c r="BJ42" i="17"/>
  <c r="BH42" i="17"/>
  <c r="BD42" i="17"/>
  <c r="BB42" i="17"/>
  <c r="AZ42" i="17"/>
  <c r="AX42" i="17"/>
  <c r="AV42" i="17"/>
  <c r="AT42" i="17"/>
  <c r="AR42" i="17"/>
  <c r="AP42" i="17"/>
  <c r="AP292" i="17" l="1"/>
  <c r="AV288" i="17"/>
  <c r="AT288" i="17"/>
  <c r="AR288" i="17"/>
  <c r="AP288" i="17"/>
  <c r="AX287" i="17"/>
  <c r="AV287" i="17"/>
  <c r="AT287" i="17"/>
  <c r="AR287" i="17"/>
  <c r="AP287" i="17"/>
  <c r="BL286" i="17"/>
  <c r="BJ286" i="17"/>
  <c r="BH286" i="17"/>
  <c r="BD286" i="17"/>
  <c r="BB286" i="17"/>
  <c r="AZ286" i="17"/>
  <c r="AX286" i="17"/>
  <c r="AV286" i="17"/>
  <c r="AT286" i="17"/>
  <c r="AR286" i="17"/>
  <c r="AP286" i="17"/>
  <c r="BL285" i="17"/>
  <c r="BJ285" i="17"/>
  <c r="BH285" i="17"/>
  <c r="BF285" i="17"/>
  <c r="BD285" i="17"/>
  <c r="BB285" i="17"/>
  <c r="AZ285" i="17"/>
  <c r="AX285" i="17"/>
  <c r="AV285" i="17"/>
  <c r="AT285" i="17"/>
  <c r="AR285" i="17"/>
  <c r="AP285" i="17"/>
  <c r="BL284" i="17"/>
  <c r="BB284" i="17"/>
  <c r="AX284" i="17"/>
  <c r="AT284" i="17"/>
  <c r="AR284" i="17"/>
  <c r="AP284" i="17"/>
  <c r="BL231" i="17"/>
  <c r="BL232" i="17"/>
  <c r="BL233" i="17"/>
  <c r="BL238" i="17"/>
  <c r="BL239" i="17"/>
  <c r="BL240" i="17"/>
  <c r="BL241" i="17"/>
  <c r="BL242" i="17"/>
  <c r="BL243" i="17"/>
  <c r="BL244" i="17"/>
  <c r="BL248" i="17"/>
  <c r="BL249" i="17"/>
  <c r="BL251" i="17"/>
  <c r="BL252" i="17"/>
  <c r="BL253" i="17"/>
  <c r="BL254" i="17"/>
  <c r="BJ230" i="17"/>
  <c r="BJ231" i="17"/>
  <c r="BJ232" i="17"/>
  <c r="BJ233" i="17"/>
  <c r="BJ238" i="17"/>
  <c r="BJ239" i="17"/>
  <c r="BJ240" i="17"/>
  <c r="BJ241" i="17"/>
  <c r="BJ242" i="17"/>
  <c r="BJ243" i="17"/>
  <c r="BJ244" i="17"/>
  <c r="BJ248" i="17"/>
  <c r="BJ249" i="17"/>
  <c r="BH230" i="17"/>
  <c r="BH231" i="17"/>
  <c r="BH232" i="17"/>
  <c r="BH233" i="17"/>
  <c r="BH238" i="17"/>
  <c r="BH239" i="17"/>
  <c r="BH240" i="17"/>
  <c r="BH241" i="17"/>
  <c r="BH242" i="17"/>
  <c r="BH243" i="17"/>
  <c r="BH244" i="17"/>
  <c r="BH249" i="17"/>
  <c r="BF230" i="17"/>
  <c r="BF231" i="17"/>
  <c r="BF232" i="17"/>
  <c r="BF233" i="17"/>
  <c r="BF237" i="17"/>
  <c r="BF238" i="17"/>
  <c r="BF239" i="17"/>
  <c r="BF240" i="17"/>
  <c r="BF241" i="17"/>
  <c r="BF242" i="17"/>
  <c r="BF243" i="17"/>
  <c r="BF244" i="17"/>
  <c r="BD230" i="17"/>
  <c r="BD231" i="17"/>
  <c r="BD232" i="17"/>
  <c r="BD233" i="17"/>
  <c r="BD237" i="17"/>
  <c r="BD238" i="17"/>
  <c r="BD239" i="17"/>
  <c r="BD240" i="17"/>
  <c r="BD241" i="17"/>
  <c r="BD242" i="17"/>
  <c r="BD243" i="17"/>
  <c r="BD244" i="17"/>
  <c r="BD248" i="17"/>
  <c r="BD249" i="17"/>
  <c r="BB230" i="17"/>
  <c r="BB231" i="17"/>
  <c r="BB232" i="17"/>
  <c r="BB233" i="17"/>
  <c r="BB238" i="17"/>
  <c r="BB239" i="17"/>
  <c r="BB240" i="17"/>
  <c r="BB241" i="17"/>
  <c r="BB242" i="17"/>
  <c r="BB243" i="17"/>
  <c r="BB244" i="17"/>
  <c r="BB248" i="17"/>
  <c r="BB249" i="17"/>
  <c r="AZ229" i="17"/>
  <c r="AZ230" i="17"/>
  <c r="AZ231" i="17"/>
  <c r="AZ232" i="17"/>
  <c r="AZ233" i="17"/>
  <c r="AZ238" i="17"/>
  <c r="AZ239" i="17"/>
  <c r="AZ240" i="17"/>
  <c r="AZ241" i="17"/>
  <c r="AZ242" i="17"/>
  <c r="AZ243" i="17"/>
  <c r="AZ244" i="17"/>
  <c r="AZ248" i="17"/>
  <c r="AZ249" i="17"/>
  <c r="AX229" i="17"/>
  <c r="AX230" i="17"/>
  <c r="AX231" i="17"/>
  <c r="AX232" i="17"/>
  <c r="AX233" i="17"/>
  <c r="AX237" i="17"/>
  <c r="AX238" i="17"/>
  <c r="AX239" i="17"/>
  <c r="AX240" i="17"/>
  <c r="AX241" i="17"/>
  <c r="AX242" i="17"/>
  <c r="AX243" i="17"/>
  <c r="AX244" i="17"/>
  <c r="AX248" i="17"/>
  <c r="AX249" i="17"/>
  <c r="AV229" i="17"/>
  <c r="AV230" i="17"/>
  <c r="AV231" i="17"/>
  <c r="AV232" i="17"/>
  <c r="AV233" i="17"/>
  <c r="AV237" i="17"/>
  <c r="AV238" i="17"/>
  <c r="AV239" i="17"/>
  <c r="AV240" i="17"/>
  <c r="AV241" i="17"/>
  <c r="AV242" i="17"/>
  <c r="AV243" i="17"/>
  <c r="AV244" i="17"/>
  <c r="AV248" i="17"/>
  <c r="AV249" i="17"/>
  <c r="AT228" i="17"/>
  <c r="AT229" i="17"/>
  <c r="AT230" i="17"/>
  <c r="AT231" i="17"/>
  <c r="AT232" i="17"/>
  <c r="AT233" i="17"/>
  <c r="AT238" i="17"/>
  <c r="AT239" i="17"/>
  <c r="AT240" i="17"/>
  <c r="AT241" i="17"/>
  <c r="AT242" i="17"/>
  <c r="AT243" i="17"/>
  <c r="AT244" i="17"/>
  <c r="AT248" i="17"/>
  <c r="AT249" i="17"/>
  <c r="AR233" i="17"/>
  <c r="AR238" i="17"/>
  <c r="AR239" i="17"/>
  <c r="AR240" i="17"/>
  <c r="AR241" i="17"/>
  <c r="AR242" i="17"/>
  <c r="AR243" i="17"/>
  <c r="AR244" i="17"/>
  <c r="AR248" i="17"/>
  <c r="AR249" i="17"/>
  <c r="AP238" i="17"/>
  <c r="AP239" i="17"/>
  <c r="AP240" i="17"/>
  <c r="AP241" i="17"/>
  <c r="AP242" i="17"/>
  <c r="AP243" i="17"/>
  <c r="AP244" i="17"/>
  <c r="AP248" i="17"/>
  <c r="AP249" i="17"/>
  <c r="AR231" i="17"/>
  <c r="AR232" i="17"/>
  <c r="AP231" i="17"/>
  <c r="AP232" i="17"/>
  <c r="AP233" i="17"/>
  <c r="BL230" i="17"/>
  <c r="AR230" i="17"/>
  <c r="AP230" i="17"/>
  <c r="BL229" i="17"/>
  <c r="BJ229" i="17"/>
  <c r="BH229" i="17"/>
  <c r="BF229" i="17"/>
  <c r="BD229" i="17"/>
  <c r="BB229" i="17"/>
  <c r="AR229" i="17"/>
  <c r="AP229" i="17"/>
  <c r="BL228" i="17"/>
  <c r="BJ228" i="17"/>
  <c r="BH228" i="17"/>
  <c r="BF228" i="17"/>
  <c r="BD228" i="17"/>
  <c r="BB228" i="17"/>
  <c r="AZ228" i="17"/>
  <c r="AX228" i="17"/>
  <c r="AV228" i="17"/>
  <c r="AR228" i="17"/>
  <c r="AP228" i="17"/>
  <c r="BL227" i="17"/>
  <c r="BJ227" i="17"/>
  <c r="BH227" i="17"/>
  <c r="BF227" i="17"/>
  <c r="BD227" i="17"/>
  <c r="BB227" i="17"/>
  <c r="AZ227" i="17"/>
  <c r="AX227" i="17"/>
  <c r="AV227" i="17"/>
  <c r="AT227" i="17"/>
  <c r="AR227" i="17"/>
  <c r="AP227" i="17"/>
  <c r="BL226" i="17"/>
  <c r="BJ226" i="17"/>
  <c r="BH226" i="17"/>
  <c r="BF226" i="17"/>
  <c r="BD226" i="17"/>
  <c r="BB226" i="17"/>
  <c r="AZ226" i="17"/>
  <c r="AX226" i="17"/>
  <c r="AV226" i="17"/>
  <c r="AT226" i="17"/>
  <c r="AR226" i="17"/>
  <c r="AP226" i="17"/>
  <c r="BL214" i="17"/>
  <c r="BL217" i="17"/>
  <c r="BJ214" i="17"/>
  <c r="BJ217" i="17"/>
  <c r="BJ220" i="17"/>
  <c r="BH214" i="17"/>
  <c r="BH217" i="17"/>
  <c r="BF214" i="17"/>
  <c r="BF217" i="17"/>
  <c r="BF220" i="17"/>
  <c r="BD213" i="17"/>
  <c r="BD214" i="17"/>
  <c r="BD217" i="17"/>
  <c r="BD220" i="17"/>
  <c r="BD221" i="17"/>
  <c r="BB214" i="17"/>
  <c r="BB217" i="17"/>
  <c r="BB220" i="17"/>
  <c r="AZ214" i="17"/>
  <c r="AZ217" i="17"/>
  <c r="AZ220" i="17"/>
  <c r="AX214" i="17"/>
  <c r="AX217" i="17"/>
  <c r="AV214" i="17"/>
  <c r="AV217" i="17"/>
  <c r="AT214" i="17"/>
  <c r="AT217" i="17"/>
  <c r="AT220" i="17"/>
  <c r="AR214" i="17"/>
  <c r="AR217" i="17"/>
  <c r="AR220" i="17"/>
  <c r="AP214" i="17"/>
  <c r="AP217" i="17"/>
  <c r="AP221" i="17"/>
  <c r="BL209" i="17"/>
  <c r="BL210" i="17"/>
  <c r="BJ209" i="17"/>
  <c r="BJ210" i="17"/>
  <c r="BH209" i="17"/>
  <c r="BH210" i="17"/>
  <c r="BF209" i="17"/>
  <c r="BF210" i="17"/>
  <c r="BD209" i="17"/>
  <c r="BD210" i="17"/>
  <c r="BB209" i="17"/>
  <c r="AZ209" i="17"/>
  <c r="AZ210" i="17"/>
  <c r="AX209" i="17"/>
  <c r="AX210" i="17"/>
  <c r="AV208" i="17"/>
  <c r="AV209" i="17"/>
  <c r="AV210" i="17"/>
  <c r="AV212" i="17"/>
  <c r="AT209" i="17"/>
  <c r="AT210" i="17"/>
  <c r="AT212" i="17"/>
  <c r="AR209" i="17"/>
  <c r="AP209" i="17"/>
  <c r="AP210" i="17"/>
  <c r="BL208" i="17"/>
  <c r="BJ208" i="17"/>
  <c r="BH208" i="17"/>
  <c r="BF208" i="17"/>
  <c r="BD208" i="17"/>
  <c r="BB208" i="17"/>
  <c r="AZ208" i="17"/>
  <c r="AX208" i="17"/>
  <c r="AT208" i="17"/>
  <c r="AR208" i="17"/>
  <c r="AP208" i="17"/>
  <c r="BL207" i="17"/>
  <c r="BJ207" i="17"/>
  <c r="BH207" i="17"/>
  <c r="BF207" i="17"/>
  <c r="BD207" i="17"/>
  <c r="BB207" i="17"/>
  <c r="AZ207" i="17"/>
  <c r="AX207" i="17"/>
  <c r="AV207" i="17"/>
  <c r="AT207" i="17"/>
  <c r="AR207" i="17"/>
  <c r="AP207" i="17"/>
  <c r="BL81" i="17" l="1"/>
  <c r="BL82" i="17"/>
  <c r="BL83" i="17"/>
  <c r="BL84" i="17"/>
  <c r="BL85" i="17"/>
  <c r="BL86" i="17"/>
  <c r="BL87" i="17"/>
  <c r="BL88" i="17"/>
  <c r="BL89" i="17"/>
  <c r="BL90" i="17"/>
  <c r="BL91" i="17"/>
  <c r="BJ81" i="17"/>
  <c r="BJ82" i="17"/>
  <c r="BJ83" i="17"/>
  <c r="BJ84" i="17"/>
  <c r="BJ85" i="17"/>
  <c r="BJ86" i="17"/>
  <c r="BJ87" i="17"/>
  <c r="BJ88" i="17"/>
  <c r="BJ89" i="17"/>
  <c r="BJ90" i="17"/>
  <c r="BJ91" i="17"/>
  <c r="BH81" i="17"/>
  <c r="BH82" i="17"/>
  <c r="BH83" i="17"/>
  <c r="BH84" i="17"/>
  <c r="BH85" i="17"/>
  <c r="BH86" i="17"/>
  <c r="BH87" i="17"/>
  <c r="BH88" i="17"/>
  <c r="BH89" i="17"/>
  <c r="BH90" i="17"/>
  <c r="BH91" i="17"/>
  <c r="BH103" i="17"/>
  <c r="BD80" i="17"/>
  <c r="BD81" i="17"/>
  <c r="BD82" i="17"/>
  <c r="BD83" i="17"/>
  <c r="BD84" i="17"/>
  <c r="BD85" i="17"/>
  <c r="BD86" i="17"/>
  <c r="BD87" i="17"/>
  <c r="BD88" i="17"/>
  <c r="BD89" i="17"/>
  <c r="BD90" i="17"/>
  <c r="BD91" i="17"/>
  <c r="BD103" i="17"/>
  <c r="BB80" i="17"/>
  <c r="BB81" i="17"/>
  <c r="BB82" i="17"/>
  <c r="BB83" i="17"/>
  <c r="BB84" i="17"/>
  <c r="BB85" i="17"/>
  <c r="BB86" i="17"/>
  <c r="BB87" i="17"/>
  <c r="BB88" i="17"/>
  <c r="BB89" i="17"/>
  <c r="BB90" i="17"/>
  <c r="BB91" i="17"/>
  <c r="BB103" i="17"/>
  <c r="AZ80" i="17"/>
  <c r="AZ81" i="17"/>
  <c r="AZ82" i="17"/>
  <c r="AZ83" i="17"/>
  <c r="AZ84" i="17"/>
  <c r="AZ85" i="17"/>
  <c r="AZ86" i="17"/>
  <c r="AZ87" i="17"/>
  <c r="AZ88" i="17"/>
  <c r="AZ89" i="17"/>
  <c r="AZ90" i="17"/>
  <c r="AZ91" i="17"/>
  <c r="AX80" i="17"/>
  <c r="AX81" i="17"/>
  <c r="AX82" i="17"/>
  <c r="AX83" i="17"/>
  <c r="AX84" i="17"/>
  <c r="AX85" i="17"/>
  <c r="AX86" i="17"/>
  <c r="AX87" i="17"/>
  <c r="AX88" i="17"/>
  <c r="AX89" i="17"/>
  <c r="AX90" i="17"/>
  <c r="AX91" i="17"/>
  <c r="AX102" i="17"/>
  <c r="AV80" i="17"/>
  <c r="AV81" i="17"/>
  <c r="AV82" i="17"/>
  <c r="AV83" i="17"/>
  <c r="AV84" i="17"/>
  <c r="AV85" i="17"/>
  <c r="AV86" i="17"/>
  <c r="AV87" i="17"/>
  <c r="AV88" i="17"/>
  <c r="AV89" i="17"/>
  <c r="AV90" i="17"/>
  <c r="AV91" i="17"/>
  <c r="AT81" i="17"/>
  <c r="AT82" i="17"/>
  <c r="AT83" i="17"/>
  <c r="AT84" i="17"/>
  <c r="AT85" i="17"/>
  <c r="AT86" i="17"/>
  <c r="AT87" i="17"/>
  <c r="AT88" i="17"/>
  <c r="AT89" i="17"/>
  <c r="AT90" i="17"/>
  <c r="AT91" i="17"/>
  <c r="AR87" i="17"/>
  <c r="AR88" i="17"/>
  <c r="AR89" i="17"/>
  <c r="AR90" i="17"/>
  <c r="AR91" i="17"/>
  <c r="AR102" i="17"/>
  <c r="AR103" i="17"/>
  <c r="AP87" i="17"/>
  <c r="AP88" i="17"/>
  <c r="AP89" i="17"/>
  <c r="AP90" i="17"/>
  <c r="AP91" i="17"/>
  <c r="AP103" i="17"/>
  <c r="AR83" i="17"/>
  <c r="AP83" i="17"/>
  <c r="AR84" i="17"/>
  <c r="AP84" i="17"/>
  <c r="AR82" i="17"/>
  <c r="AR85" i="17"/>
  <c r="AR86" i="17"/>
  <c r="AP85" i="17"/>
  <c r="AP86" i="17"/>
  <c r="AP82" i="17"/>
  <c r="AR81" i="17"/>
  <c r="AP81" i="17"/>
  <c r="BL80" i="17"/>
  <c r="BJ80" i="17"/>
  <c r="BH80" i="17"/>
  <c r="AT80" i="17"/>
  <c r="AR80" i="17"/>
  <c r="AP80" i="17"/>
  <c r="BL79" i="17"/>
  <c r="BJ79" i="17"/>
  <c r="BH79" i="17"/>
  <c r="BD79" i="17"/>
  <c r="BB79" i="17"/>
  <c r="AZ79" i="17"/>
  <c r="AX79" i="17"/>
  <c r="AV79" i="17"/>
  <c r="AT79" i="17"/>
  <c r="AR79" i="17"/>
  <c r="AP79" i="17"/>
  <c r="BL75" i="17"/>
  <c r="BJ75" i="17"/>
  <c r="BH75" i="17"/>
  <c r="BD75" i="17"/>
  <c r="BB75" i="17"/>
  <c r="AZ75" i="17"/>
  <c r="AX75" i="17"/>
  <c r="AV75" i="17"/>
  <c r="AT75" i="17"/>
  <c r="AR75" i="17"/>
  <c r="AP75" i="17"/>
  <c r="BL52" i="17"/>
  <c r="BL53" i="17"/>
  <c r="BL54" i="17"/>
  <c r="BL55" i="17"/>
  <c r="BL56" i="17"/>
  <c r="BJ52" i="17"/>
  <c r="BJ53" i="17"/>
  <c r="BJ54" i="17"/>
  <c r="BJ55" i="17"/>
  <c r="BJ56" i="17"/>
  <c r="BJ65" i="17"/>
  <c r="BH52" i="17"/>
  <c r="BH53" i="17"/>
  <c r="BH54" i="17"/>
  <c r="BH55" i="17"/>
  <c r="BH56" i="17"/>
  <c r="BH65" i="17"/>
  <c r="BD52" i="17"/>
  <c r="BD53" i="17"/>
  <c r="BD54" i="17"/>
  <c r="BD55" i="17"/>
  <c r="BD56" i="17"/>
  <c r="BB52" i="17"/>
  <c r="BB53" i="17"/>
  <c r="BB54" i="17"/>
  <c r="BB55" i="17"/>
  <c r="BB56" i="17"/>
  <c r="AZ52" i="17"/>
  <c r="AZ53" i="17"/>
  <c r="AZ54" i="17"/>
  <c r="AZ55" i="17"/>
  <c r="AZ56" i="17"/>
  <c r="AZ65" i="17"/>
  <c r="AX52" i="17"/>
  <c r="AX53" i="17"/>
  <c r="AX54" i="17"/>
  <c r="AX55" i="17"/>
  <c r="AX56" i="17"/>
  <c r="AX65" i="17"/>
  <c r="AV52" i="17"/>
  <c r="AV53" i="17"/>
  <c r="AV54" i="17"/>
  <c r="AV55" i="17"/>
  <c r="AV56" i="17"/>
  <c r="AV65" i="17"/>
  <c r="AT52" i="17"/>
  <c r="AT53" i="17"/>
  <c r="AT54" i="17"/>
  <c r="AT55" i="17"/>
  <c r="AT56" i="17"/>
  <c r="AT66" i="17"/>
  <c r="AR52" i="17"/>
  <c r="AR53" i="17"/>
  <c r="AR54" i="17"/>
  <c r="AR55" i="17"/>
  <c r="AR65" i="17"/>
  <c r="AP52" i="17"/>
  <c r="AP53" i="17"/>
  <c r="AP54" i="17"/>
  <c r="AP55" i="17"/>
  <c r="AP56" i="17"/>
  <c r="AP65" i="17"/>
  <c r="BL7" i="17" l="1"/>
  <c r="BL8" i="17"/>
  <c r="BL9" i="17"/>
  <c r="BL10" i="17"/>
  <c r="BL11" i="17"/>
  <c r="BL12" i="17"/>
  <c r="BL13" i="17"/>
  <c r="BL14" i="17"/>
  <c r="BL15" i="17"/>
  <c r="BL16" i="17"/>
  <c r="BL17" i="17"/>
  <c r="BL18" i="17"/>
  <c r="BL19" i="17"/>
  <c r="BL20" i="17"/>
  <c r="BJ7" i="17"/>
  <c r="BJ8" i="17"/>
  <c r="BJ9" i="17"/>
  <c r="BJ10" i="17"/>
  <c r="BJ11" i="17"/>
  <c r="BJ12" i="17"/>
  <c r="BJ13" i="17"/>
  <c r="BJ14" i="17"/>
  <c r="BJ15" i="17"/>
  <c r="BJ16" i="17"/>
  <c r="BJ17" i="17"/>
  <c r="BJ18" i="17"/>
  <c r="BJ19" i="17"/>
  <c r="BJ20" i="17"/>
  <c r="BH7" i="17"/>
  <c r="BH8" i="17"/>
  <c r="BH9" i="17"/>
  <c r="BH10" i="17"/>
  <c r="BH11" i="17"/>
  <c r="BH12" i="17"/>
  <c r="BH13" i="17"/>
  <c r="BH14" i="17"/>
  <c r="BH15" i="17"/>
  <c r="BH16" i="17"/>
  <c r="BH17" i="17"/>
  <c r="BH18" i="17"/>
  <c r="BH19" i="17"/>
  <c r="BD7" i="17"/>
  <c r="BD8" i="17"/>
  <c r="BD9" i="17"/>
  <c r="BD10" i="17"/>
  <c r="BD11" i="17"/>
  <c r="BD12" i="17"/>
  <c r="BD13" i="17"/>
  <c r="BD14" i="17"/>
  <c r="BD15" i="17"/>
  <c r="BD16" i="17"/>
  <c r="BD17" i="17"/>
  <c r="BD18" i="17"/>
  <c r="BD19" i="17"/>
  <c r="BB7" i="17"/>
  <c r="BB8" i="17"/>
  <c r="BB9" i="17"/>
  <c r="BB10" i="17"/>
  <c r="BB11" i="17"/>
  <c r="BB12" i="17"/>
  <c r="BB13" i="17"/>
  <c r="BB14" i="17"/>
  <c r="BB15" i="17"/>
  <c r="BB16" i="17"/>
  <c r="BB17" i="17"/>
  <c r="BB18" i="17"/>
  <c r="BB19" i="17"/>
  <c r="AZ7" i="17"/>
  <c r="AZ8" i="17"/>
  <c r="AZ9" i="17"/>
  <c r="AZ10" i="17"/>
  <c r="AZ11" i="17"/>
  <c r="AZ12" i="17"/>
  <c r="AZ13" i="17"/>
  <c r="AZ14" i="17"/>
  <c r="AZ15" i="17"/>
  <c r="AZ16" i="17"/>
  <c r="AZ17" i="17"/>
  <c r="AZ18" i="17"/>
  <c r="AZ19" i="17"/>
  <c r="AX7" i="17"/>
  <c r="AX8" i="17"/>
  <c r="AX9" i="17"/>
  <c r="AX10" i="17"/>
  <c r="AX11" i="17"/>
  <c r="AX12" i="17"/>
  <c r="AX13" i="17"/>
  <c r="AX14" i="17"/>
  <c r="AX15" i="17"/>
  <c r="AX16" i="17"/>
  <c r="AX17" i="17"/>
  <c r="AX18" i="17"/>
  <c r="AX19" i="17"/>
  <c r="AV7" i="17"/>
  <c r="AV8" i="17"/>
  <c r="AV9" i="17"/>
  <c r="AV10" i="17"/>
  <c r="AV11" i="17"/>
  <c r="AV12" i="17"/>
  <c r="AV13" i="17"/>
  <c r="AV14" i="17"/>
  <c r="AV15" i="17"/>
  <c r="AV16" i="17"/>
  <c r="AV17" i="17"/>
  <c r="AV18" i="17"/>
  <c r="AV19" i="17"/>
  <c r="AT7" i="17"/>
  <c r="AT8" i="17"/>
  <c r="AT9" i="17"/>
  <c r="AT10" i="17"/>
  <c r="AT11" i="17"/>
  <c r="AT12" i="17"/>
  <c r="AT13" i="17"/>
  <c r="AT14" i="17"/>
  <c r="AT15" i="17"/>
  <c r="AT16" i="17"/>
  <c r="AT17" i="17"/>
  <c r="AT18" i="17"/>
  <c r="AT19" i="17"/>
  <c r="AR19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P18" i="17"/>
  <c r="AP19" i="17"/>
  <c r="AP7" i="17"/>
  <c r="AP8" i="17"/>
  <c r="AP9" i="17"/>
  <c r="AP10" i="17"/>
  <c r="AP11" i="17"/>
  <c r="AP12" i="17"/>
  <c r="AP13" i="17"/>
  <c r="AP14" i="17"/>
  <c r="AP15" i="17"/>
  <c r="AP16" i="17"/>
  <c r="AP17" i="17"/>
  <c r="BL337" i="17" l="1"/>
  <c r="BL338" i="17"/>
  <c r="BJ337" i="17"/>
  <c r="BJ338" i="17"/>
  <c r="BH337" i="17"/>
  <c r="BH338" i="17"/>
  <c r="BF337" i="17"/>
  <c r="BF338" i="17"/>
  <c r="BD337" i="17"/>
  <c r="BD338" i="17"/>
  <c r="BB337" i="17"/>
  <c r="BB338" i="17"/>
  <c r="AZ337" i="17"/>
  <c r="AZ338" i="17"/>
  <c r="AX337" i="17"/>
  <c r="AX338" i="17"/>
  <c r="AV337" i="17"/>
  <c r="AV338" i="17"/>
  <c r="AT337" i="17"/>
  <c r="AT338" i="17"/>
  <c r="AR337" i="17"/>
  <c r="AR338" i="17"/>
  <c r="AP337" i="17"/>
  <c r="AP338" i="17"/>
  <c r="BL195" i="17" l="1"/>
  <c r="BL196" i="17"/>
  <c r="BL197" i="17"/>
  <c r="BL198" i="17"/>
  <c r="BL199" i="17"/>
  <c r="BL200" i="17"/>
  <c r="BL201" i="17"/>
  <c r="BL202" i="17"/>
  <c r="BJ195" i="17"/>
  <c r="BJ196" i="17"/>
  <c r="BJ197" i="17"/>
  <c r="BJ198" i="17"/>
  <c r="BJ199" i="17"/>
  <c r="BJ200" i="17"/>
  <c r="BJ201" i="17"/>
  <c r="BJ202" i="17"/>
  <c r="BH195" i="17"/>
  <c r="BH196" i="17"/>
  <c r="BH197" i="17"/>
  <c r="BH198" i="17"/>
  <c r="BH199" i="17"/>
  <c r="BH200" i="17"/>
  <c r="BH201" i="17"/>
  <c r="BH202" i="17"/>
  <c r="BF195" i="17"/>
  <c r="BF196" i="17"/>
  <c r="BF197" i="17"/>
  <c r="BF198" i="17"/>
  <c r="BF199" i="17"/>
  <c r="BF200" i="17"/>
  <c r="BF201" i="17"/>
  <c r="BF202" i="17"/>
  <c r="BD195" i="17"/>
  <c r="BD196" i="17"/>
  <c r="BD197" i="17"/>
  <c r="BD198" i="17"/>
  <c r="BD199" i="17"/>
  <c r="BD200" i="17"/>
  <c r="BD201" i="17"/>
  <c r="BD202" i="17"/>
  <c r="BB195" i="17"/>
  <c r="BB196" i="17"/>
  <c r="BB197" i="17"/>
  <c r="BB198" i="17"/>
  <c r="BB199" i="17"/>
  <c r="BB200" i="17"/>
  <c r="BB201" i="17"/>
  <c r="BB202" i="17"/>
  <c r="AZ195" i="17"/>
  <c r="AZ196" i="17"/>
  <c r="AZ197" i="17"/>
  <c r="AZ198" i="17"/>
  <c r="AZ199" i="17"/>
  <c r="AZ200" i="17"/>
  <c r="AZ201" i="17"/>
  <c r="AZ202" i="17"/>
  <c r="AX195" i="17"/>
  <c r="AX196" i="17"/>
  <c r="AX197" i="17"/>
  <c r="AX198" i="17"/>
  <c r="AX199" i="17"/>
  <c r="AX200" i="17"/>
  <c r="AX201" i="17"/>
  <c r="AX202" i="17"/>
  <c r="AV195" i="17"/>
  <c r="AV196" i="17"/>
  <c r="AV197" i="17"/>
  <c r="AV198" i="17"/>
  <c r="AV199" i="17"/>
  <c r="AV200" i="17"/>
  <c r="AV201" i="17"/>
  <c r="AV202" i="17"/>
  <c r="AT195" i="17"/>
  <c r="AT196" i="17"/>
  <c r="AT197" i="17"/>
  <c r="AT198" i="17"/>
  <c r="AT199" i="17"/>
  <c r="AT200" i="17"/>
  <c r="AT201" i="17"/>
  <c r="AT202" i="17"/>
  <c r="AR195" i="17"/>
  <c r="AR196" i="17"/>
  <c r="AR197" i="17"/>
  <c r="AR198" i="17"/>
  <c r="AR199" i="17"/>
  <c r="AR200" i="17"/>
  <c r="AR201" i="17"/>
  <c r="AR202" i="17"/>
  <c r="AP195" i="17"/>
  <c r="AP196" i="17"/>
  <c r="AP197" i="17"/>
  <c r="AP198" i="17"/>
  <c r="AP199" i="17"/>
  <c r="AP200" i="17"/>
  <c r="AP201" i="17"/>
  <c r="AP202" i="17"/>
  <c r="BL194" i="17"/>
  <c r="BJ194" i="17"/>
  <c r="BH194" i="17"/>
  <c r="BF194" i="17"/>
  <c r="BD194" i="17"/>
  <c r="BB194" i="17"/>
  <c r="AZ194" i="17"/>
  <c r="AX194" i="17"/>
  <c r="AV194" i="17"/>
  <c r="AT194" i="17"/>
  <c r="AR194" i="17"/>
  <c r="AP194" i="17"/>
  <c r="BL193" i="17"/>
  <c r="BJ193" i="17"/>
  <c r="BH193" i="17"/>
  <c r="BF193" i="17"/>
  <c r="BD193" i="17"/>
  <c r="BB193" i="17"/>
  <c r="AZ193" i="17"/>
  <c r="AX193" i="17"/>
  <c r="AV193" i="17"/>
  <c r="AT193" i="17"/>
  <c r="AR193" i="17"/>
  <c r="AP193" i="17"/>
  <c r="BL192" i="17"/>
  <c r="BJ192" i="17"/>
  <c r="BH192" i="17"/>
  <c r="BF192" i="17"/>
  <c r="BD192" i="17"/>
  <c r="BB192" i="17"/>
  <c r="AZ192" i="17"/>
  <c r="AX192" i="17"/>
  <c r="AV192" i="17"/>
  <c r="AT192" i="17"/>
  <c r="AR192" i="17"/>
  <c r="AP192" i="17"/>
  <c r="BL191" i="17"/>
  <c r="BJ191" i="17"/>
  <c r="BH191" i="17"/>
  <c r="BF191" i="17"/>
  <c r="BD191" i="17"/>
  <c r="BB191" i="17"/>
  <c r="AZ191" i="17"/>
  <c r="AX191" i="17"/>
  <c r="AV191" i="17"/>
  <c r="AT191" i="17"/>
  <c r="AR191" i="17"/>
  <c r="AP191" i="17"/>
  <c r="BL190" i="17"/>
  <c r="BJ190" i="17"/>
  <c r="BH190" i="17"/>
  <c r="BF190" i="17"/>
  <c r="BD190" i="17"/>
  <c r="BB190" i="17"/>
  <c r="AZ190" i="17"/>
  <c r="AX190" i="17"/>
  <c r="AV190" i="17"/>
  <c r="AT190" i="17"/>
  <c r="AR190" i="17"/>
  <c r="AP190" i="17"/>
  <c r="BL189" i="17"/>
  <c r="BJ189" i="17"/>
  <c r="BH189" i="17"/>
  <c r="BF189" i="17"/>
  <c r="BD189" i="17"/>
  <c r="BB189" i="17"/>
  <c r="AZ189" i="17"/>
  <c r="AX189" i="17"/>
  <c r="AV189" i="17"/>
  <c r="AT189" i="17"/>
  <c r="AR189" i="17"/>
  <c r="AP189" i="17"/>
  <c r="BL188" i="17"/>
  <c r="BJ188" i="17"/>
  <c r="BH188" i="17"/>
  <c r="BF188" i="17"/>
  <c r="BD188" i="17"/>
  <c r="BB188" i="17"/>
  <c r="AZ188" i="17"/>
  <c r="AX188" i="17"/>
  <c r="AV188" i="17"/>
  <c r="AT188" i="17"/>
  <c r="AR188" i="17"/>
  <c r="AP188" i="17"/>
  <c r="BL185" i="15" l="1"/>
  <c r="BL186" i="15"/>
  <c r="BL187" i="15"/>
  <c r="BL188" i="15"/>
  <c r="BJ185" i="15"/>
  <c r="BJ186" i="15"/>
  <c r="BJ187" i="15"/>
  <c r="BJ188" i="15"/>
  <c r="BH185" i="15"/>
  <c r="BH186" i="15"/>
  <c r="BH187" i="15"/>
  <c r="BH188" i="15"/>
  <c r="BF185" i="15"/>
  <c r="BF186" i="15"/>
  <c r="BF187" i="15"/>
  <c r="BF188" i="15"/>
  <c r="BD185" i="15"/>
  <c r="BD186" i="15"/>
  <c r="BD187" i="15"/>
  <c r="BD188" i="15"/>
  <c r="BB185" i="15"/>
  <c r="BB186" i="15"/>
  <c r="BB187" i="15"/>
  <c r="BB188" i="15"/>
  <c r="AZ185" i="15"/>
  <c r="AZ186" i="15"/>
  <c r="AZ187" i="15"/>
  <c r="AZ188" i="15"/>
  <c r="AX185" i="15"/>
  <c r="AX186" i="15"/>
  <c r="AX187" i="15"/>
  <c r="AX188" i="15"/>
  <c r="AV185" i="15"/>
  <c r="AV186" i="15"/>
  <c r="AV187" i="15"/>
  <c r="AV188" i="15"/>
  <c r="AT185" i="15"/>
  <c r="AT186" i="15"/>
  <c r="AT187" i="15"/>
  <c r="AT188" i="15"/>
  <c r="AR185" i="15"/>
  <c r="AR186" i="15"/>
  <c r="AR187" i="15"/>
  <c r="AR188" i="15"/>
  <c r="AP185" i="15"/>
  <c r="AP186" i="15"/>
  <c r="AP187" i="15"/>
  <c r="AP188" i="15"/>
  <c r="AP72" i="17" l="1"/>
  <c r="G118" i="19" l="1"/>
  <c r="G84" i="19"/>
  <c r="G49" i="19"/>
  <c r="G14" i="19"/>
  <c r="F27" i="18"/>
  <c r="F26" i="18"/>
  <c r="F20" i="18"/>
  <c r="F19" i="18"/>
  <c r="F13" i="18"/>
  <c r="F12" i="18"/>
  <c r="F6" i="18"/>
  <c r="F5" i="18"/>
  <c r="BL336" i="17"/>
  <c r="BJ336" i="17"/>
  <c r="BH336" i="17"/>
  <c r="BF336" i="17"/>
  <c r="BD336" i="17"/>
  <c r="BB336" i="17"/>
  <c r="AZ336" i="17"/>
  <c r="AX336" i="17"/>
  <c r="AV336" i="17"/>
  <c r="AT336" i="17"/>
  <c r="AR336" i="17"/>
  <c r="AP336" i="17"/>
  <c r="BL335" i="17"/>
  <c r="BJ335" i="17"/>
  <c r="BH335" i="17"/>
  <c r="BF335" i="17"/>
  <c r="BD335" i="17"/>
  <c r="BB335" i="17"/>
  <c r="AZ335" i="17"/>
  <c r="AX335" i="17"/>
  <c r="AV335" i="17"/>
  <c r="AT335" i="17"/>
  <c r="AR335" i="17"/>
  <c r="AP335" i="17"/>
  <c r="BL334" i="17"/>
  <c r="BJ334" i="17"/>
  <c r="BH334" i="17"/>
  <c r="BF334" i="17"/>
  <c r="BD334" i="17"/>
  <c r="BB334" i="17"/>
  <c r="AZ334" i="17"/>
  <c r="AX334" i="17"/>
  <c r="AV334" i="17"/>
  <c r="AT334" i="17"/>
  <c r="AR334" i="17"/>
  <c r="AP334" i="17"/>
  <c r="BL333" i="17"/>
  <c r="BJ333" i="17"/>
  <c r="BH333" i="17"/>
  <c r="BF333" i="17"/>
  <c r="BD333" i="17"/>
  <c r="BB333" i="17"/>
  <c r="AZ333" i="17"/>
  <c r="AX333" i="17"/>
  <c r="AV333" i="17"/>
  <c r="AT333" i="17"/>
  <c r="AR333" i="17"/>
  <c r="AP333" i="17"/>
  <c r="BL332" i="17"/>
  <c r="BJ332" i="17"/>
  <c r="BH332" i="17"/>
  <c r="BF332" i="17"/>
  <c r="BD332" i="17"/>
  <c r="BB332" i="17"/>
  <c r="AZ332" i="17"/>
  <c r="AX332" i="17"/>
  <c r="AV332" i="17"/>
  <c r="AT332" i="17"/>
  <c r="AR332" i="17"/>
  <c r="AP332" i="17"/>
  <c r="BL331" i="17"/>
  <c r="BJ331" i="17"/>
  <c r="BH331" i="17"/>
  <c r="BF331" i="17"/>
  <c r="BD331" i="17"/>
  <c r="BB331" i="17"/>
  <c r="AZ331" i="17"/>
  <c r="AX331" i="17"/>
  <c r="AT331" i="17"/>
  <c r="AR331" i="17"/>
  <c r="AP331" i="17"/>
  <c r="BJ330" i="17"/>
  <c r="AZ330" i="17"/>
  <c r="AX330" i="17"/>
  <c r="BL282" i="17"/>
  <c r="BJ282" i="17"/>
  <c r="BH282" i="17"/>
  <c r="BF282" i="17"/>
  <c r="BD282" i="17"/>
  <c r="BB282" i="17"/>
  <c r="AZ282" i="17"/>
  <c r="AX282" i="17"/>
  <c r="AV282" i="17"/>
  <c r="AT282" i="17"/>
  <c r="AR282" i="17"/>
  <c r="AP282" i="17"/>
  <c r="BL281" i="17"/>
  <c r="BJ281" i="17"/>
  <c r="BH281" i="17"/>
  <c r="BF281" i="17"/>
  <c r="BD281" i="17"/>
  <c r="BB281" i="17"/>
  <c r="AZ281" i="17"/>
  <c r="AX281" i="17"/>
  <c r="AV281" i="17"/>
  <c r="AT281" i="17"/>
  <c r="AR281" i="17"/>
  <c r="AP281" i="17"/>
  <c r="BL280" i="17"/>
  <c r="BJ280" i="17"/>
  <c r="BH280" i="17"/>
  <c r="BF280" i="17"/>
  <c r="BD280" i="17"/>
  <c r="BB280" i="17"/>
  <c r="AZ280" i="17"/>
  <c r="AX280" i="17"/>
  <c r="AV280" i="17"/>
  <c r="AT280" i="17"/>
  <c r="AR280" i="17"/>
  <c r="AP280" i="17"/>
  <c r="BL279" i="17"/>
  <c r="BJ279" i="17"/>
  <c r="BH279" i="17"/>
  <c r="BF279" i="17"/>
  <c r="BD279" i="17"/>
  <c r="BB279" i="17"/>
  <c r="AZ279" i="17"/>
  <c r="AX279" i="17"/>
  <c r="AV279" i="17"/>
  <c r="AT279" i="17"/>
  <c r="AR279" i="17"/>
  <c r="AP279" i="17"/>
  <c r="BL278" i="17"/>
  <c r="BJ278" i="17"/>
  <c r="BH278" i="17"/>
  <c r="BF278" i="17"/>
  <c r="BD278" i="17"/>
  <c r="BB278" i="17"/>
  <c r="AZ278" i="17"/>
  <c r="AX278" i="17"/>
  <c r="AV278" i="17"/>
  <c r="AT278" i="17"/>
  <c r="AR278" i="17"/>
  <c r="AP278" i="17"/>
  <c r="BL277" i="17"/>
  <c r="BJ277" i="17"/>
  <c r="BH277" i="17"/>
  <c r="BF277" i="17"/>
  <c r="BD277" i="17"/>
  <c r="BB277" i="17"/>
  <c r="AZ277" i="17"/>
  <c r="AX277" i="17"/>
  <c r="AV277" i="17"/>
  <c r="AT277" i="17"/>
  <c r="AR277" i="17"/>
  <c r="AP277" i="17"/>
  <c r="BL276" i="17"/>
  <c r="BJ276" i="17"/>
  <c r="BH276" i="17"/>
  <c r="BF276" i="17"/>
  <c r="BD276" i="17"/>
  <c r="BB276" i="17"/>
  <c r="AZ276" i="17"/>
  <c r="AX276" i="17"/>
  <c r="AV276" i="17"/>
  <c r="AT276" i="17"/>
  <c r="AR276" i="17"/>
  <c r="AP276" i="17"/>
  <c r="BL275" i="17"/>
  <c r="BJ275" i="17"/>
  <c r="BH275" i="17"/>
  <c r="BF275" i="17"/>
  <c r="BD275" i="17"/>
  <c r="BB275" i="17"/>
  <c r="AZ275" i="17"/>
  <c r="AX275" i="17"/>
  <c r="AV275" i="17"/>
  <c r="AT275" i="17"/>
  <c r="AP275" i="17"/>
  <c r="BL274" i="17"/>
  <c r="BD274" i="17"/>
  <c r="BB274" i="17"/>
  <c r="AZ274" i="17"/>
  <c r="AV274" i="17"/>
  <c r="BL259" i="17"/>
  <c r="BH259" i="17"/>
  <c r="BF259" i="17"/>
  <c r="BB259" i="17"/>
  <c r="AZ259" i="17"/>
  <c r="BL258" i="17"/>
  <c r="BJ258" i="17"/>
  <c r="BH258" i="17"/>
  <c r="BF258" i="17"/>
  <c r="BD258" i="17"/>
  <c r="BB258" i="17"/>
  <c r="AZ258" i="17"/>
  <c r="AX258" i="17"/>
  <c r="AV258" i="17"/>
  <c r="AT258" i="17"/>
  <c r="AR258" i="17"/>
  <c r="AP258" i="17"/>
  <c r="BL257" i="17"/>
  <c r="F127" i="19" s="1"/>
  <c r="BJ257" i="17"/>
  <c r="BH257" i="17"/>
  <c r="BF257" i="17"/>
  <c r="BD257" i="17"/>
  <c r="BB257" i="17"/>
  <c r="AZ257" i="17"/>
  <c r="AX257" i="17"/>
  <c r="AV257" i="17"/>
  <c r="AT257" i="17"/>
  <c r="AR257" i="17"/>
  <c r="AP257" i="17"/>
  <c r="BL256" i="17"/>
  <c r="BJ256" i="17"/>
  <c r="BH256" i="17"/>
  <c r="BF256" i="17"/>
  <c r="BD256" i="17"/>
  <c r="BB256" i="17"/>
  <c r="AZ256" i="17"/>
  <c r="AX256" i="17"/>
  <c r="AV256" i="17"/>
  <c r="AT256" i="17"/>
  <c r="AR256" i="17"/>
  <c r="AP256" i="17"/>
  <c r="BL255" i="17"/>
  <c r="BJ255" i="17"/>
  <c r="BH255" i="17"/>
  <c r="BF255" i="17"/>
  <c r="BD255" i="17"/>
  <c r="BB255" i="17"/>
  <c r="AZ255" i="17"/>
  <c r="AX255" i="17"/>
  <c r="AV255" i="17"/>
  <c r="AT255" i="17"/>
  <c r="AR255" i="17"/>
  <c r="AP255" i="17"/>
  <c r="BJ254" i="17"/>
  <c r="BH254" i="17"/>
  <c r="BF254" i="17"/>
  <c r="BD254" i="17"/>
  <c r="BB254" i="17"/>
  <c r="AZ254" i="17"/>
  <c r="AX254" i="17"/>
  <c r="AV254" i="17"/>
  <c r="AT254" i="17"/>
  <c r="AR254" i="17"/>
  <c r="AP254" i="17"/>
  <c r="BJ253" i="17"/>
  <c r="BH253" i="17"/>
  <c r="BF253" i="17"/>
  <c r="BD253" i="17"/>
  <c r="BB253" i="17"/>
  <c r="AZ253" i="17"/>
  <c r="AX253" i="17"/>
  <c r="AV253" i="17"/>
  <c r="AT253" i="17"/>
  <c r="AR253" i="17"/>
  <c r="AP253" i="17"/>
  <c r="BJ252" i="17"/>
  <c r="BH252" i="17"/>
  <c r="BF252" i="17"/>
  <c r="BD252" i="17"/>
  <c r="BB252" i="17"/>
  <c r="AZ252" i="17"/>
  <c r="AX252" i="17"/>
  <c r="AV252" i="17"/>
  <c r="AT252" i="17"/>
  <c r="AR252" i="17"/>
  <c r="AP252" i="17"/>
  <c r="BJ251" i="17"/>
  <c r="BH251" i="17"/>
  <c r="BF251" i="17"/>
  <c r="BD251" i="17"/>
  <c r="BB251" i="17"/>
  <c r="AZ251" i="17"/>
  <c r="AX251" i="17"/>
  <c r="AV251" i="17"/>
  <c r="AT251" i="17"/>
  <c r="AR251" i="17"/>
  <c r="AP251" i="17"/>
  <c r="BL225" i="17"/>
  <c r="BJ225" i="17"/>
  <c r="BH225" i="17"/>
  <c r="BF225" i="17"/>
  <c r="BD225" i="17"/>
  <c r="BB225" i="17"/>
  <c r="AZ225" i="17"/>
  <c r="AX225" i="17"/>
  <c r="AV225" i="17"/>
  <c r="AT225" i="17"/>
  <c r="AR225" i="17"/>
  <c r="AP225" i="17"/>
  <c r="BL224" i="17"/>
  <c r="BJ224" i="17"/>
  <c r="BH224" i="17"/>
  <c r="BF224" i="17"/>
  <c r="BD224" i="17"/>
  <c r="BB224" i="17"/>
  <c r="AZ224" i="17"/>
  <c r="F57" i="19" s="1"/>
  <c r="AX224" i="17"/>
  <c r="AV224" i="17"/>
  <c r="AT224" i="17"/>
  <c r="AR224" i="17"/>
  <c r="AP224" i="17"/>
  <c r="BL223" i="17"/>
  <c r="F125" i="19" s="1"/>
  <c r="BJ223" i="17"/>
  <c r="E125" i="19" s="1"/>
  <c r="BH223" i="17"/>
  <c r="D125" i="19" s="1"/>
  <c r="BF223" i="17"/>
  <c r="BD223" i="17"/>
  <c r="BB223" i="17"/>
  <c r="D91" i="19" s="1"/>
  <c r="AZ223" i="17"/>
  <c r="F56" i="19" s="1"/>
  <c r="AX223" i="17"/>
  <c r="E56" i="19" s="1"/>
  <c r="AV223" i="17"/>
  <c r="AT223" i="17"/>
  <c r="AR223" i="17"/>
  <c r="AP223" i="17"/>
  <c r="BL221" i="17"/>
  <c r="BJ221" i="17"/>
  <c r="BH221" i="17"/>
  <c r="BF221" i="17"/>
  <c r="BB221" i="17"/>
  <c r="AZ221" i="17"/>
  <c r="AX221" i="17"/>
  <c r="AV221" i="17"/>
  <c r="AT221" i="17"/>
  <c r="AR221" i="17"/>
  <c r="BL220" i="17"/>
  <c r="AV220" i="17"/>
  <c r="BL213" i="17"/>
  <c r="BJ213" i="17"/>
  <c r="BH213" i="17"/>
  <c r="BF213" i="17"/>
  <c r="BB213" i="17"/>
  <c r="AZ213" i="17"/>
  <c r="AX213" i="17"/>
  <c r="AV213" i="17"/>
  <c r="AT213" i="17"/>
  <c r="AR213" i="17"/>
  <c r="AP213" i="17"/>
  <c r="BL212" i="17"/>
  <c r="BJ212" i="17"/>
  <c r="BD212" i="17"/>
  <c r="AP212" i="17"/>
  <c r="BB210" i="17"/>
  <c r="AR210" i="17"/>
  <c r="BL206" i="17"/>
  <c r="BJ206" i="17"/>
  <c r="BH206" i="17"/>
  <c r="BF206" i="17"/>
  <c r="BD206" i="17"/>
  <c r="BB206" i="17"/>
  <c r="AZ206" i="17"/>
  <c r="AX206" i="17"/>
  <c r="AV206" i="17"/>
  <c r="AT206" i="17"/>
  <c r="AR206" i="17"/>
  <c r="AP206" i="17"/>
  <c r="BL205" i="17"/>
  <c r="BJ205" i="17"/>
  <c r="BH205" i="17"/>
  <c r="BF205" i="17"/>
  <c r="BD205" i="17"/>
  <c r="BB205" i="17"/>
  <c r="AZ205" i="17"/>
  <c r="AX205" i="17"/>
  <c r="AV205" i="17"/>
  <c r="AT205" i="17"/>
  <c r="AR205" i="17"/>
  <c r="AP205" i="17"/>
  <c r="BL204" i="17"/>
  <c r="BJ204" i="17"/>
  <c r="BH204" i="17"/>
  <c r="BF204" i="17"/>
  <c r="BD204" i="17"/>
  <c r="BB204" i="17"/>
  <c r="AZ204" i="17"/>
  <c r="AX204" i="17"/>
  <c r="AV204" i="17"/>
  <c r="AT204" i="17"/>
  <c r="AR204" i="17"/>
  <c r="AP204" i="17"/>
  <c r="BL203" i="17"/>
  <c r="BJ203" i="17"/>
  <c r="BH203" i="17"/>
  <c r="BF203" i="17"/>
  <c r="BD203" i="17"/>
  <c r="BB203" i="17"/>
  <c r="AZ203" i="17"/>
  <c r="AX203" i="17"/>
  <c r="AV203" i="17"/>
  <c r="AT203" i="17"/>
  <c r="AR203" i="17"/>
  <c r="AP203" i="17"/>
  <c r="BL187" i="17"/>
  <c r="BJ187" i="17"/>
  <c r="BH187" i="17"/>
  <c r="BF187" i="17"/>
  <c r="BD187" i="17"/>
  <c r="BB187" i="17"/>
  <c r="AZ187" i="17"/>
  <c r="AX187" i="17"/>
  <c r="AV187" i="17"/>
  <c r="AT187" i="17"/>
  <c r="AR187" i="17"/>
  <c r="AP187" i="17"/>
  <c r="BL186" i="17"/>
  <c r="BJ186" i="17"/>
  <c r="BH186" i="17"/>
  <c r="BF186" i="17"/>
  <c r="BD186" i="17"/>
  <c r="BB186" i="17"/>
  <c r="AZ186" i="17"/>
  <c r="AX186" i="17"/>
  <c r="AV186" i="17"/>
  <c r="AT186" i="17"/>
  <c r="AR186" i="17"/>
  <c r="AP186" i="17"/>
  <c r="BL185" i="17"/>
  <c r="BJ185" i="17"/>
  <c r="BH185" i="17"/>
  <c r="BF185" i="17"/>
  <c r="BD185" i="17"/>
  <c r="BB185" i="17"/>
  <c r="AZ185" i="17"/>
  <c r="AX185" i="17"/>
  <c r="AV185" i="17"/>
  <c r="AT185" i="17"/>
  <c r="AR185" i="17"/>
  <c r="AP185" i="17"/>
  <c r="BL184" i="17"/>
  <c r="BJ184" i="17"/>
  <c r="BH184" i="17"/>
  <c r="BF184" i="17"/>
  <c r="BD184" i="17"/>
  <c r="BB184" i="17"/>
  <c r="AZ184" i="17"/>
  <c r="AX184" i="17"/>
  <c r="AV184" i="17"/>
  <c r="AT184" i="17"/>
  <c r="AR184" i="17"/>
  <c r="AP184" i="17"/>
  <c r="BL183" i="17"/>
  <c r="BJ183" i="17"/>
  <c r="BH183" i="17"/>
  <c r="BF183" i="17"/>
  <c r="BD183" i="17"/>
  <c r="BB183" i="17"/>
  <c r="AZ183" i="17"/>
  <c r="AX183" i="17"/>
  <c r="AV183" i="17"/>
  <c r="AT183" i="17"/>
  <c r="AR183" i="17"/>
  <c r="AP183" i="17"/>
  <c r="BL182" i="17"/>
  <c r="BJ182" i="17"/>
  <c r="BH182" i="17"/>
  <c r="BF182" i="17"/>
  <c r="BD182" i="17"/>
  <c r="BB182" i="17"/>
  <c r="AZ182" i="17"/>
  <c r="AX182" i="17"/>
  <c r="AV182" i="17"/>
  <c r="AT182" i="17"/>
  <c r="AR182" i="17"/>
  <c r="AP182" i="17"/>
  <c r="BL181" i="17"/>
  <c r="BJ181" i="17"/>
  <c r="BH181" i="17"/>
  <c r="BF181" i="17"/>
  <c r="BD181" i="17"/>
  <c r="BB181" i="17"/>
  <c r="AZ181" i="17"/>
  <c r="AX181" i="17"/>
  <c r="AV181" i="17"/>
  <c r="AT181" i="17"/>
  <c r="AR181" i="17"/>
  <c r="AP181" i="17"/>
  <c r="BL180" i="17"/>
  <c r="BJ180" i="17"/>
  <c r="BH180" i="17"/>
  <c r="BF180" i="17"/>
  <c r="BD180" i="17"/>
  <c r="BB180" i="17"/>
  <c r="AZ180" i="17"/>
  <c r="AX180" i="17"/>
  <c r="AV180" i="17"/>
  <c r="AT180" i="17"/>
  <c r="AR180" i="17"/>
  <c r="AP180" i="17"/>
  <c r="BL179" i="17"/>
  <c r="BJ179" i="17"/>
  <c r="BH179" i="17"/>
  <c r="BF179" i="17"/>
  <c r="BD179" i="17"/>
  <c r="BB179" i="17"/>
  <c r="AZ179" i="17"/>
  <c r="AX179" i="17"/>
  <c r="AV179" i="17"/>
  <c r="AT179" i="17"/>
  <c r="AR179" i="17"/>
  <c r="AP179" i="17"/>
  <c r="BL178" i="17"/>
  <c r="BJ178" i="17"/>
  <c r="BH178" i="17"/>
  <c r="BF178" i="17"/>
  <c r="BD178" i="17"/>
  <c r="BB178" i="17"/>
  <c r="AZ178" i="17"/>
  <c r="AX178" i="17"/>
  <c r="AV178" i="17"/>
  <c r="AT178" i="17"/>
  <c r="AR178" i="17"/>
  <c r="AP178" i="17"/>
  <c r="BL177" i="17"/>
  <c r="BJ177" i="17"/>
  <c r="BH177" i="17"/>
  <c r="BF177" i="17"/>
  <c r="BD177" i="17"/>
  <c r="BB177" i="17"/>
  <c r="AZ177" i="17"/>
  <c r="AX177" i="17"/>
  <c r="AV177" i="17"/>
  <c r="AT177" i="17"/>
  <c r="AR177" i="17"/>
  <c r="AP177" i="17"/>
  <c r="BL176" i="17"/>
  <c r="BJ176" i="17"/>
  <c r="BH176" i="17"/>
  <c r="BF176" i="17"/>
  <c r="BD176" i="17"/>
  <c r="BB176" i="17"/>
  <c r="AZ176" i="17"/>
  <c r="AX176" i="17"/>
  <c r="AV176" i="17"/>
  <c r="AT176" i="17"/>
  <c r="AR176" i="17"/>
  <c r="AP176" i="17"/>
  <c r="BL175" i="17"/>
  <c r="BJ175" i="17"/>
  <c r="BH175" i="17"/>
  <c r="BF175" i="17"/>
  <c r="BD175" i="17"/>
  <c r="BB175" i="17"/>
  <c r="AZ175" i="17"/>
  <c r="AX175" i="17"/>
  <c r="AV175" i="17"/>
  <c r="AT175" i="17"/>
  <c r="AR175" i="17"/>
  <c r="AP175" i="17"/>
  <c r="BL174" i="17"/>
  <c r="BJ174" i="17"/>
  <c r="BH174" i="17"/>
  <c r="BF174" i="17"/>
  <c r="BD174" i="17"/>
  <c r="BB174" i="17"/>
  <c r="AZ174" i="17"/>
  <c r="AX174" i="17"/>
  <c r="AV174" i="17"/>
  <c r="AT174" i="17"/>
  <c r="AR174" i="17"/>
  <c r="AP174" i="17"/>
  <c r="BL173" i="17"/>
  <c r="BJ173" i="17"/>
  <c r="BH173" i="17"/>
  <c r="BF173" i="17"/>
  <c r="BD173" i="17"/>
  <c r="BB173" i="17"/>
  <c r="AZ173" i="17"/>
  <c r="AX173" i="17"/>
  <c r="AV173" i="17"/>
  <c r="AT173" i="17"/>
  <c r="AR173" i="17"/>
  <c r="AP173" i="17"/>
  <c r="BL172" i="17"/>
  <c r="BJ172" i="17"/>
  <c r="BH172" i="17"/>
  <c r="BF172" i="17"/>
  <c r="BD172" i="17"/>
  <c r="BB172" i="17"/>
  <c r="AZ172" i="17"/>
  <c r="AX172" i="17"/>
  <c r="AV172" i="17"/>
  <c r="AT172" i="17"/>
  <c r="AR172" i="17"/>
  <c r="AP172" i="17"/>
  <c r="BL171" i="17"/>
  <c r="BJ171" i="17"/>
  <c r="BH171" i="17"/>
  <c r="BF171" i="17"/>
  <c r="BD171" i="17"/>
  <c r="BB171" i="17"/>
  <c r="AZ171" i="17"/>
  <c r="AX171" i="17"/>
  <c r="AV171" i="17"/>
  <c r="AT171" i="17"/>
  <c r="AR171" i="17"/>
  <c r="AP171" i="17"/>
  <c r="BL170" i="17"/>
  <c r="BJ170" i="17"/>
  <c r="BF170" i="17"/>
  <c r="BD170" i="17"/>
  <c r="BB170" i="17"/>
  <c r="AZ170" i="17"/>
  <c r="AX170" i="17"/>
  <c r="AV170" i="17"/>
  <c r="AT170" i="17"/>
  <c r="AR170" i="17"/>
  <c r="AP170" i="17"/>
  <c r="BL103" i="17"/>
  <c r="BL78" i="17"/>
  <c r="BJ78" i="17"/>
  <c r="BH78" i="17"/>
  <c r="BD78" i="17"/>
  <c r="BB78" i="17"/>
  <c r="AZ78" i="17"/>
  <c r="AX78" i="17"/>
  <c r="AV78" i="17"/>
  <c r="AT78" i="17"/>
  <c r="AR78" i="17"/>
  <c r="AP78" i="17"/>
  <c r="BL77" i="17"/>
  <c r="BJ77" i="17"/>
  <c r="BH77" i="17"/>
  <c r="BD77" i="17"/>
  <c r="BB77" i="17"/>
  <c r="AZ77" i="17"/>
  <c r="AX77" i="17"/>
  <c r="AV77" i="17"/>
  <c r="AT77" i="17"/>
  <c r="AR77" i="17"/>
  <c r="AP77" i="17"/>
  <c r="BL76" i="17"/>
  <c r="BJ76" i="17"/>
  <c r="BH76" i="17"/>
  <c r="BD76" i="17"/>
  <c r="BB76" i="17"/>
  <c r="AZ76" i="17"/>
  <c r="AX76" i="17"/>
  <c r="AV76" i="17"/>
  <c r="AT76" i="17"/>
  <c r="AR76" i="17"/>
  <c r="AP76" i="17"/>
  <c r="BL74" i="17"/>
  <c r="BJ74" i="17"/>
  <c r="BH74" i="17"/>
  <c r="BD74" i="17"/>
  <c r="BB74" i="17"/>
  <c r="AZ74" i="17"/>
  <c r="AX74" i="17"/>
  <c r="AV74" i="17"/>
  <c r="AT74" i="17"/>
  <c r="AR74" i="17"/>
  <c r="AP74" i="17"/>
  <c r="BL73" i="17"/>
  <c r="BJ73" i="17"/>
  <c r="BH73" i="17"/>
  <c r="BD73" i="17"/>
  <c r="BB73" i="17"/>
  <c r="AZ73" i="17"/>
  <c r="AX73" i="17"/>
  <c r="AV73" i="17"/>
  <c r="AT73" i="17"/>
  <c r="AR73" i="17"/>
  <c r="AP73" i="17"/>
  <c r="BL72" i="17"/>
  <c r="BJ72" i="17"/>
  <c r="BH72" i="17"/>
  <c r="BD72" i="17"/>
  <c r="BB72" i="17"/>
  <c r="AZ72" i="17"/>
  <c r="AX72" i="17"/>
  <c r="AV72" i="17"/>
  <c r="AT72" i="17"/>
  <c r="AR72" i="17"/>
  <c r="BL71" i="17"/>
  <c r="BJ71" i="17"/>
  <c r="BH71" i="17"/>
  <c r="BD71" i="17"/>
  <c r="BB71" i="17"/>
  <c r="AZ71" i="17"/>
  <c r="AX71" i="17"/>
  <c r="AV71" i="17"/>
  <c r="AT71" i="17"/>
  <c r="AR71" i="17"/>
  <c r="AP71" i="17"/>
  <c r="BL70" i="17"/>
  <c r="BJ70" i="17"/>
  <c r="BH70" i="17"/>
  <c r="BD70" i="17"/>
  <c r="BB70" i="17"/>
  <c r="AZ70" i="17"/>
  <c r="AX70" i="17"/>
  <c r="AV70" i="17"/>
  <c r="AT70" i="17"/>
  <c r="AR70" i="17"/>
  <c r="AP70" i="17"/>
  <c r="BL69" i="17"/>
  <c r="BJ69" i="17"/>
  <c r="BH69" i="17"/>
  <c r="BD69" i="17"/>
  <c r="BB69" i="17"/>
  <c r="AZ69" i="17"/>
  <c r="AX69" i="17"/>
  <c r="AV69" i="17"/>
  <c r="AT69" i="17"/>
  <c r="AR69" i="17"/>
  <c r="AP69" i="17"/>
  <c r="BL68" i="17"/>
  <c r="BJ68" i="17"/>
  <c r="BH68" i="17"/>
  <c r="BD68" i="17"/>
  <c r="BB68" i="17"/>
  <c r="AZ68" i="17"/>
  <c r="AX68" i="17"/>
  <c r="AV68" i="17"/>
  <c r="AT68" i="17"/>
  <c r="AR68" i="17"/>
  <c r="AP68" i="17"/>
  <c r="BL67" i="17"/>
  <c r="BJ67" i="17"/>
  <c r="BH67" i="17"/>
  <c r="BD67" i="17"/>
  <c r="BB67" i="17"/>
  <c r="AZ67" i="17"/>
  <c r="AX67" i="17"/>
  <c r="AV67" i="17"/>
  <c r="AT67" i="17"/>
  <c r="F9" i="19" s="1"/>
  <c r="AR67" i="17"/>
  <c r="AP67" i="17"/>
  <c r="BL66" i="17"/>
  <c r="BJ66" i="17"/>
  <c r="BH66" i="17"/>
  <c r="AZ66" i="17"/>
  <c r="AX66" i="17"/>
  <c r="AV66" i="17"/>
  <c r="AR66" i="17"/>
  <c r="AP66" i="17"/>
  <c r="BL51" i="17"/>
  <c r="F117" i="19" s="1"/>
  <c r="BJ51" i="17"/>
  <c r="E117" i="19" s="1"/>
  <c r="BH51" i="17"/>
  <c r="F83" i="19"/>
  <c r="BD51" i="17"/>
  <c r="BB51" i="17"/>
  <c r="D83" i="19" s="1"/>
  <c r="AZ51" i="17"/>
  <c r="AX51" i="17"/>
  <c r="E48" i="19" s="1"/>
  <c r="AV51" i="17"/>
  <c r="D48" i="19" s="1"/>
  <c r="AT51" i="17"/>
  <c r="F13" i="19" s="1"/>
  <c r="AR51" i="17"/>
  <c r="AP51" i="17"/>
  <c r="D13" i="19" s="1"/>
  <c r="BL50" i="17"/>
  <c r="BJ50" i="17"/>
  <c r="BH50" i="17"/>
  <c r="D116" i="19" s="1"/>
  <c r="BD50" i="17"/>
  <c r="BB50" i="17"/>
  <c r="AZ50" i="17"/>
  <c r="F47" i="19" s="1"/>
  <c r="AX50" i="17"/>
  <c r="E47" i="19" s="1"/>
  <c r="AP50" i="17"/>
  <c r="BL49" i="17"/>
  <c r="BL41" i="17"/>
  <c r="BJ41" i="17"/>
  <c r="BH41" i="17"/>
  <c r="BD41" i="17"/>
  <c r="BB41" i="17"/>
  <c r="AZ41" i="17"/>
  <c r="AX41" i="17"/>
  <c r="AV41" i="17"/>
  <c r="AT41" i="17"/>
  <c r="AR41" i="17"/>
  <c r="AP41" i="17"/>
  <c r="BL40" i="17"/>
  <c r="BJ40" i="17"/>
  <c r="BH40" i="17"/>
  <c r="BD40" i="17"/>
  <c r="BB40" i="17"/>
  <c r="AZ40" i="17"/>
  <c r="AX40" i="17"/>
  <c r="AV40" i="17"/>
  <c r="AT40" i="17"/>
  <c r="AR40" i="17"/>
  <c r="AP40" i="17"/>
  <c r="BL39" i="17"/>
  <c r="BJ39" i="17"/>
  <c r="BH39" i="17"/>
  <c r="BD39" i="17"/>
  <c r="BB39" i="17"/>
  <c r="AZ39" i="17"/>
  <c r="AX39" i="17"/>
  <c r="AV39" i="17"/>
  <c r="AT39" i="17"/>
  <c r="AR39" i="17"/>
  <c r="AP39" i="17"/>
  <c r="BL38" i="17"/>
  <c r="BJ38" i="17"/>
  <c r="BH38" i="17"/>
  <c r="BD38" i="17"/>
  <c r="BB38" i="17"/>
  <c r="AZ38" i="17"/>
  <c r="AX38" i="17"/>
  <c r="AV38" i="17"/>
  <c r="AT38" i="17"/>
  <c r="AR38" i="17"/>
  <c r="AP38" i="17"/>
  <c r="BL37" i="17"/>
  <c r="BJ37" i="17"/>
  <c r="BH37" i="17"/>
  <c r="BD37" i="17"/>
  <c r="BB37" i="17"/>
  <c r="AZ37" i="17"/>
  <c r="AX37" i="17"/>
  <c r="AV37" i="17"/>
  <c r="AT37" i="17"/>
  <c r="AR37" i="17"/>
  <c r="AP37" i="17"/>
  <c r="BB36" i="17"/>
  <c r="AZ36" i="17"/>
  <c r="AR36" i="17"/>
  <c r="AP36" i="17"/>
  <c r="BJ32" i="17"/>
  <c r="BH32" i="17"/>
  <c r="BD32" i="17"/>
  <c r="BB32" i="17"/>
  <c r="AZ32" i="17"/>
  <c r="AX32" i="17"/>
  <c r="AV32" i="17"/>
  <c r="AT32" i="17"/>
  <c r="AP32" i="17"/>
  <c r="BL25" i="17"/>
  <c r="BJ25" i="17"/>
  <c r="BH25" i="17"/>
  <c r="BD25" i="17"/>
  <c r="BB25" i="17"/>
  <c r="AZ25" i="17"/>
  <c r="AX25" i="17"/>
  <c r="AV25" i="17"/>
  <c r="AT25" i="17"/>
  <c r="AR25" i="17"/>
  <c r="AP25" i="17"/>
  <c r="AX24" i="17"/>
  <c r="AV24" i="17"/>
  <c r="AT24" i="17"/>
  <c r="AR24" i="17"/>
  <c r="AP24" i="17"/>
  <c r="AX23" i="17"/>
  <c r="AV23" i="17"/>
  <c r="AT23" i="17"/>
  <c r="AR23" i="17"/>
  <c r="AP23" i="17"/>
  <c r="BL22" i="17"/>
  <c r="BJ22" i="17"/>
  <c r="BH22" i="17"/>
  <c r="BD22" i="17"/>
  <c r="BB22" i="17"/>
  <c r="AZ22" i="17"/>
  <c r="AX22" i="17"/>
  <c r="AV22" i="17"/>
  <c r="AT22" i="17"/>
  <c r="AR22" i="17"/>
  <c r="AP22" i="17"/>
  <c r="BL21" i="17"/>
  <c r="BJ21" i="17"/>
  <c r="BH21" i="17"/>
  <c r="BD21" i="17"/>
  <c r="BB21" i="17"/>
  <c r="AZ21" i="17"/>
  <c r="AX21" i="17"/>
  <c r="AV21" i="17"/>
  <c r="AT21" i="17"/>
  <c r="AR21" i="17"/>
  <c r="AP21" i="17"/>
  <c r="BH20" i="17"/>
  <c r="BL6" i="17"/>
  <c r="F110" i="19" s="1"/>
  <c r="BJ6" i="17"/>
  <c r="BH6" i="17"/>
  <c r="D110" i="19" s="1"/>
  <c r="BD6" i="17"/>
  <c r="BB6" i="17"/>
  <c r="AZ6" i="17"/>
  <c r="AX6" i="17"/>
  <c r="AV6" i="17"/>
  <c r="D41" i="19" s="1"/>
  <c r="AT6" i="17"/>
  <c r="AR6" i="17"/>
  <c r="AP6" i="17"/>
  <c r="BL5" i="17"/>
  <c r="BJ5" i="17"/>
  <c r="BH5" i="17"/>
  <c r="BD5" i="17"/>
  <c r="BB5" i="17"/>
  <c r="AZ5" i="17"/>
  <c r="AX5" i="17"/>
  <c r="AV5" i="17"/>
  <c r="AT5" i="17"/>
  <c r="AR5" i="17"/>
  <c r="AP5" i="17"/>
  <c r="BL4" i="17"/>
  <c r="BJ4" i="17"/>
  <c r="BH4" i="17"/>
  <c r="BD4" i="17"/>
  <c r="BB4" i="17"/>
  <c r="AZ4" i="17"/>
  <c r="AX4" i="17"/>
  <c r="AV4" i="17"/>
  <c r="AT4" i="17"/>
  <c r="AR4" i="17"/>
  <c r="AP4" i="17"/>
  <c r="BL3" i="17"/>
  <c r="BJ3" i="17"/>
  <c r="BH3" i="17"/>
  <c r="BF3" i="17"/>
  <c r="BD3" i="17"/>
  <c r="BB3" i="17"/>
  <c r="AZ3" i="17"/>
  <c r="AX3" i="17"/>
  <c r="AV3" i="17"/>
  <c r="AT3" i="17"/>
  <c r="AR3" i="17"/>
  <c r="AP3" i="17"/>
  <c r="F113" i="19" l="1"/>
  <c r="F54" i="19"/>
  <c r="D89" i="19"/>
  <c r="F58" i="19"/>
  <c r="D93" i="19"/>
  <c r="F8" i="19"/>
  <c r="F7" i="19"/>
  <c r="E80" i="19"/>
  <c r="D44" i="19"/>
  <c r="D78" i="19"/>
  <c r="D94" i="19"/>
  <c r="E59" i="19"/>
  <c r="E23" i="19"/>
  <c r="D123" i="19"/>
  <c r="F59" i="19"/>
  <c r="E45" i="19"/>
  <c r="E58" i="19"/>
  <c r="D128" i="19"/>
  <c r="D21" i="19"/>
  <c r="D8" i="19"/>
  <c r="D57" i="19"/>
  <c r="F93" i="19"/>
  <c r="E91" i="19"/>
  <c r="E93" i="19"/>
  <c r="D47" i="19"/>
  <c r="G47" i="19" s="1"/>
  <c r="E89" i="19"/>
  <c r="F91" i="19"/>
  <c r="F94" i="19"/>
  <c r="F128" i="19"/>
  <c r="E21" i="19"/>
  <c r="D56" i="19"/>
  <c r="G56" i="19" s="1"/>
  <c r="E54" i="19"/>
  <c r="E116" i="19"/>
  <c r="F79" i="19"/>
  <c r="E114" i="19"/>
  <c r="F45" i="19"/>
  <c r="E79" i="19"/>
  <c r="F116" i="19"/>
  <c r="E8" i="19"/>
  <c r="D79" i="19"/>
  <c r="F78" i="19"/>
  <c r="F43" i="19"/>
  <c r="D80" i="19"/>
  <c r="D112" i="19"/>
  <c r="D9" i="19"/>
  <c r="F10" i="19"/>
  <c r="F123" i="19"/>
  <c r="E82" i="19"/>
  <c r="F44" i="19"/>
  <c r="D82" i="19"/>
  <c r="F111" i="19"/>
  <c r="D45" i="19"/>
  <c r="E113" i="19"/>
  <c r="F112" i="19"/>
  <c r="F89" i="19"/>
  <c r="F90" i="19"/>
  <c r="F92" i="19"/>
  <c r="E78" i="19"/>
  <c r="F82" i="19"/>
  <c r="E128" i="19"/>
  <c r="D113" i="19"/>
  <c r="D20" i="19"/>
  <c r="D22" i="19"/>
  <c r="F19" i="19"/>
  <c r="F21" i="19"/>
  <c r="F24" i="19"/>
  <c r="F23" i="19"/>
  <c r="E12" i="19"/>
  <c r="E10" i="19"/>
  <c r="D54" i="19"/>
  <c r="D58" i="19"/>
  <c r="E44" i="19"/>
  <c r="E112" i="19"/>
  <c r="E43" i="19"/>
  <c r="D77" i="19"/>
  <c r="D111" i="19"/>
  <c r="E19" i="19"/>
  <c r="F114" i="19"/>
  <c r="E9" i="19"/>
  <c r="D92" i="19"/>
  <c r="E42" i="19"/>
  <c r="F77" i="19"/>
  <c r="D126" i="19"/>
  <c r="F80" i="19"/>
  <c r="D114" i="19"/>
  <c r="E24" i="19"/>
  <c r="E7" i="19"/>
  <c r="D42" i="19"/>
  <c r="D43" i="19"/>
  <c r="E41" i="19"/>
  <c r="E77" i="19"/>
  <c r="E83" i="19"/>
  <c r="G83" i="19" s="1"/>
  <c r="F12" i="19"/>
  <c r="E15" i="19"/>
  <c r="E90" i="19"/>
  <c r="F48" i="19"/>
  <c r="G48" i="19" s="1"/>
  <c r="E40" i="19"/>
  <c r="D11" i="19"/>
  <c r="D18" i="19"/>
  <c r="D90" i="19"/>
  <c r="D23" i="19"/>
  <c r="D76" i="19"/>
  <c r="F85" i="19"/>
  <c r="E110" i="19"/>
  <c r="G110" i="19" s="1"/>
  <c r="D19" i="19"/>
  <c r="D59" i="19"/>
  <c r="D119" i="19"/>
  <c r="E111" i="19"/>
  <c r="D7" i="19"/>
  <c r="E6" i="19"/>
  <c r="F41" i="19"/>
  <c r="F42" i="19"/>
  <c r="E92" i="19"/>
  <c r="E75" i="19"/>
  <c r="E76" i="19"/>
  <c r="E18" i="19"/>
  <c r="D12" i="19"/>
  <c r="D10" i="19"/>
  <c r="F22" i="19"/>
  <c r="E94" i="19"/>
  <c r="BD1" i="17"/>
  <c r="D18" i="18" s="1"/>
  <c r="D21" i="18" s="1"/>
  <c r="D115" i="19"/>
  <c r="BH1" i="17"/>
  <c r="C25" i="18" s="1"/>
  <c r="C28" i="18" s="1"/>
  <c r="AX1" i="17"/>
  <c r="D11" i="18" s="1"/>
  <c r="D14" i="18" s="1"/>
  <c r="AT1" i="17"/>
  <c r="E4" i="18" s="1"/>
  <c r="E7" i="18" s="1"/>
  <c r="E115" i="19"/>
  <c r="BJ1" i="17"/>
  <c r="D25" i="18" s="1"/>
  <c r="D28" i="18" s="1"/>
  <c r="BL1" i="17"/>
  <c r="E25" i="18" s="1"/>
  <c r="E28" i="18" s="1"/>
  <c r="F119" i="19"/>
  <c r="F122" i="19"/>
  <c r="F126" i="19"/>
  <c r="G125" i="19"/>
  <c r="E119" i="19"/>
  <c r="E122" i="19"/>
  <c r="E126" i="19"/>
  <c r="D122" i="19"/>
  <c r="F75" i="19"/>
  <c r="F88" i="19"/>
  <c r="E85" i="19"/>
  <c r="E88" i="19"/>
  <c r="D87" i="19"/>
  <c r="D85" i="19"/>
  <c r="D88" i="19"/>
  <c r="F50" i="19"/>
  <c r="F53" i="19"/>
  <c r="E50" i="19"/>
  <c r="E53" i="19"/>
  <c r="F15" i="19"/>
  <c r="F18" i="19"/>
  <c r="F5" i="19"/>
  <c r="E22" i="19"/>
  <c r="E5" i="19"/>
  <c r="D17" i="19"/>
  <c r="D121" i="19"/>
  <c r="E87" i="19"/>
  <c r="E81" i="19"/>
  <c r="D81" i="19"/>
  <c r="F52" i="19"/>
  <c r="E52" i="19"/>
  <c r="D52" i="19"/>
  <c r="F11" i="19"/>
  <c r="F17" i="19"/>
  <c r="E13" i="19"/>
  <c r="G13" i="19" s="1"/>
  <c r="D117" i="19"/>
  <c r="G117" i="19" s="1"/>
  <c r="F76" i="19"/>
  <c r="F6" i="19"/>
  <c r="D6" i="19"/>
  <c r="D53" i="19"/>
  <c r="BF1" i="17"/>
  <c r="E18" i="18" s="1"/>
  <c r="E21" i="18" s="1"/>
  <c r="F87" i="19"/>
  <c r="F81" i="19"/>
  <c r="E121" i="19"/>
  <c r="F121" i="19"/>
  <c r="F115" i="19"/>
  <c r="E11" i="19"/>
  <c r="E17" i="19"/>
  <c r="D46" i="19"/>
  <c r="E46" i="19"/>
  <c r="F46" i="19"/>
  <c r="E123" i="19"/>
  <c r="E57" i="19"/>
  <c r="E20" i="19"/>
  <c r="F20" i="19"/>
  <c r="D55" i="19"/>
  <c r="E55" i="19"/>
  <c r="F55" i="19"/>
  <c r="D124" i="19"/>
  <c r="E124" i="19"/>
  <c r="F124" i="19"/>
  <c r="AZ1" i="17"/>
  <c r="E11" i="18" s="1"/>
  <c r="E14" i="18" s="1"/>
  <c r="BB1" i="17"/>
  <c r="C18" i="18" s="1"/>
  <c r="AV1" i="17"/>
  <c r="C11" i="18" s="1"/>
  <c r="C14" i="18" s="1"/>
  <c r="F86" i="19"/>
  <c r="D51" i="19"/>
  <c r="F51" i="19"/>
  <c r="D86" i="19"/>
  <c r="E86" i="19"/>
  <c r="D120" i="19"/>
  <c r="F120" i="19"/>
  <c r="E16" i="19"/>
  <c r="F16" i="19"/>
  <c r="E109" i="19"/>
  <c r="D40" i="19"/>
  <c r="D75" i="19"/>
  <c r="F40" i="19"/>
  <c r="F109" i="19"/>
  <c r="D109" i="19"/>
  <c r="E51" i="19"/>
  <c r="E120" i="19"/>
  <c r="D15" i="19"/>
  <c r="D50" i="19"/>
  <c r="AR1" i="17"/>
  <c r="D4" i="18" s="1"/>
  <c r="D7" i="18" s="1"/>
  <c r="D24" i="19"/>
  <c r="D16" i="19"/>
  <c r="D5" i="19"/>
  <c r="AP1" i="17"/>
  <c r="C4" i="18" s="1"/>
  <c r="C7" i="18" s="1"/>
  <c r="BL146" i="15"/>
  <c r="BJ146" i="15"/>
  <c r="BH146" i="15"/>
  <c r="BF146" i="15"/>
  <c r="BD146" i="15"/>
  <c r="BB146" i="15"/>
  <c r="AZ146" i="15"/>
  <c r="AX146" i="15"/>
  <c r="AV146" i="15"/>
  <c r="AT146" i="15"/>
  <c r="AR146" i="15"/>
  <c r="AP146" i="15"/>
  <c r="BL145" i="15"/>
  <c r="BJ145" i="15"/>
  <c r="BH145" i="15"/>
  <c r="BF145" i="15"/>
  <c r="BD145" i="15"/>
  <c r="BB145" i="15"/>
  <c r="AZ145" i="15"/>
  <c r="AX145" i="15"/>
  <c r="AV145" i="15"/>
  <c r="AT145" i="15"/>
  <c r="AR145" i="15"/>
  <c r="AP145" i="15"/>
  <c r="BL143" i="15"/>
  <c r="BJ143" i="15"/>
  <c r="BH143" i="15"/>
  <c r="BF143" i="15"/>
  <c r="BD143" i="15"/>
  <c r="BB143" i="15"/>
  <c r="AZ143" i="15"/>
  <c r="AX143" i="15"/>
  <c r="AV143" i="15"/>
  <c r="AT143" i="15"/>
  <c r="AR143" i="15"/>
  <c r="AP143" i="15"/>
  <c r="BL142" i="15"/>
  <c r="BJ142" i="15"/>
  <c r="BH142" i="15"/>
  <c r="BF142" i="15"/>
  <c r="BD142" i="15"/>
  <c r="BB142" i="15"/>
  <c r="AZ142" i="15"/>
  <c r="AX142" i="15"/>
  <c r="AV142" i="15"/>
  <c r="AT142" i="15"/>
  <c r="AR142" i="15"/>
  <c r="AP142" i="15"/>
  <c r="BL140" i="15"/>
  <c r="BJ140" i="15"/>
  <c r="BH140" i="15"/>
  <c r="BF140" i="15"/>
  <c r="BD140" i="15"/>
  <c r="BB140" i="15"/>
  <c r="AZ140" i="15"/>
  <c r="AX140" i="15"/>
  <c r="AV140" i="15"/>
  <c r="AT140" i="15"/>
  <c r="AR140" i="15"/>
  <c r="AP140" i="15"/>
  <c r="BL139" i="15"/>
  <c r="BJ139" i="15"/>
  <c r="BH139" i="15"/>
  <c r="BF139" i="15"/>
  <c r="BD139" i="15"/>
  <c r="BB139" i="15"/>
  <c r="AZ139" i="15"/>
  <c r="AX139" i="15"/>
  <c r="AV139" i="15"/>
  <c r="AT139" i="15"/>
  <c r="AR139" i="15"/>
  <c r="AP139" i="15"/>
  <c r="BL144" i="15"/>
  <c r="BJ144" i="15"/>
  <c r="BH144" i="15"/>
  <c r="BF144" i="15"/>
  <c r="BD144" i="15"/>
  <c r="BB144" i="15"/>
  <c r="AZ144" i="15"/>
  <c r="AX144" i="15"/>
  <c r="AV144" i="15"/>
  <c r="AT144" i="15"/>
  <c r="AR144" i="15"/>
  <c r="AP144" i="15"/>
  <c r="BL141" i="15"/>
  <c r="BJ141" i="15"/>
  <c r="BH141" i="15"/>
  <c r="BF141" i="15"/>
  <c r="BD141" i="15"/>
  <c r="BB141" i="15"/>
  <c r="AZ141" i="15"/>
  <c r="AX141" i="15"/>
  <c r="AV141" i="15"/>
  <c r="AT141" i="15"/>
  <c r="AR141" i="15"/>
  <c r="AP141" i="15"/>
  <c r="G127" i="19" l="1"/>
  <c r="G59" i="19"/>
  <c r="G58" i="19"/>
  <c r="G93" i="19"/>
  <c r="G57" i="19"/>
  <c r="G8" i="19"/>
  <c r="G91" i="19"/>
  <c r="G89" i="19"/>
  <c r="G116" i="19"/>
  <c r="G128" i="19"/>
  <c r="G94" i="19"/>
  <c r="G21" i="19"/>
  <c r="G45" i="19"/>
  <c r="G79" i="19"/>
  <c r="G54" i="19"/>
  <c r="G82" i="19"/>
  <c r="G23" i="19"/>
  <c r="G113" i="19"/>
  <c r="G112" i="19"/>
  <c r="G80" i="19"/>
  <c r="G78" i="19"/>
  <c r="G123" i="19"/>
  <c r="G9" i="19"/>
  <c r="G43" i="19"/>
  <c r="G44" i="19"/>
  <c r="G92" i="19"/>
  <c r="G10" i="19"/>
  <c r="G114" i="19"/>
  <c r="G111" i="19"/>
  <c r="G77" i="19"/>
  <c r="G42" i="19"/>
  <c r="G19" i="19"/>
  <c r="G24" i="19"/>
  <c r="G41" i="19"/>
  <c r="G90" i="19"/>
  <c r="G7" i="19"/>
  <c r="G12" i="19"/>
  <c r="G22" i="19"/>
  <c r="G76" i="19"/>
  <c r="G75" i="19"/>
  <c r="G85" i="19"/>
  <c r="G18" i="19"/>
  <c r="G119" i="19"/>
  <c r="G126" i="19"/>
  <c r="G88" i="19"/>
  <c r="G53" i="19"/>
  <c r="G50" i="19"/>
  <c r="G15" i="19"/>
  <c r="G115" i="19"/>
  <c r="F25" i="18"/>
  <c r="F28" i="18" s="1"/>
  <c r="G81" i="19"/>
  <c r="E101" i="19"/>
  <c r="G52" i="19"/>
  <c r="G17" i="19"/>
  <c r="G122" i="19"/>
  <c r="G87" i="19"/>
  <c r="G55" i="19"/>
  <c r="G20" i="19"/>
  <c r="G11" i="19"/>
  <c r="E66" i="19"/>
  <c r="F18" i="18"/>
  <c r="F21" i="18" s="1"/>
  <c r="F31" i="19"/>
  <c r="G6" i="19"/>
  <c r="G121" i="19"/>
  <c r="E31" i="19"/>
  <c r="G46" i="19"/>
  <c r="G124" i="19"/>
  <c r="F135" i="19"/>
  <c r="C21" i="18"/>
  <c r="D101" i="19"/>
  <c r="F11" i="18"/>
  <c r="F14" i="18" s="1"/>
  <c r="G16" i="19"/>
  <c r="F66" i="19"/>
  <c r="G86" i="19"/>
  <c r="F101" i="19"/>
  <c r="G120" i="19"/>
  <c r="G51" i="19"/>
  <c r="D135" i="19"/>
  <c r="G40" i="19"/>
  <c r="G109" i="19"/>
  <c r="E135" i="19"/>
  <c r="D31" i="19"/>
  <c r="D66" i="19"/>
  <c r="F4" i="18"/>
  <c r="F7" i="18" s="1"/>
  <c r="G5" i="19"/>
  <c r="G118" i="11"/>
  <c r="G84" i="11"/>
  <c r="G14" i="11"/>
  <c r="G95" i="19" l="1"/>
  <c r="G31" i="19"/>
  <c r="G35" i="19" s="1"/>
  <c r="G129" i="19"/>
  <c r="G101" i="19"/>
  <c r="G105" i="19" s="1"/>
  <c r="G66" i="19"/>
  <c r="G70" i="19" s="1"/>
  <c r="G60" i="19"/>
  <c r="G25" i="19"/>
  <c r="G135" i="19"/>
  <c r="G139" i="19" s="1"/>
  <c r="BL178" i="15"/>
  <c r="BL179" i="15"/>
  <c r="BL180" i="15"/>
  <c r="BL181" i="15"/>
  <c r="BL182" i="15"/>
  <c r="BL183" i="15"/>
  <c r="BL184" i="15"/>
  <c r="BJ178" i="15"/>
  <c r="BJ179" i="15"/>
  <c r="BJ180" i="15"/>
  <c r="BJ181" i="15"/>
  <c r="BJ182" i="15"/>
  <c r="BJ183" i="15"/>
  <c r="BJ184" i="15"/>
  <c r="BH178" i="15"/>
  <c r="BH179" i="15"/>
  <c r="BH180" i="15"/>
  <c r="BH181" i="15"/>
  <c r="BH182" i="15"/>
  <c r="BH183" i="15"/>
  <c r="BH184" i="15"/>
  <c r="BF178" i="15"/>
  <c r="BF179" i="15"/>
  <c r="BF180" i="15"/>
  <c r="BF181" i="15"/>
  <c r="BF182" i="15"/>
  <c r="BF183" i="15"/>
  <c r="BF184" i="15"/>
  <c r="BD178" i="15"/>
  <c r="BD179" i="15"/>
  <c r="BD180" i="15"/>
  <c r="BD181" i="15"/>
  <c r="BD182" i="15"/>
  <c r="BD183" i="15"/>
  <c r="BD184" i="15"/>
  <c r="BB178" i="15"/>
  <c r="BB179" i="15"/>
  <c r="BB180" i="15"/>
  <c r="BB181" i="15"/>
  <c r="BB182" i="15"/>
  <c r="BB183" i="15"/>
  <c r="BB184" i="15"/>
  <c r="AZ178" i="15"/>
  <c r="AZ179" i="15"/>
  <c r="AZ180" i="15"/>
  <c r="AZ181" i="15"/>
  <c r="AZ182" i="15"/>
  <c r="AZ183" i="15"/>
  <c r="AZ184" i="15"/>
  <c r="AX178" i="15"/>
  <c r="AX179" i="15"/>
  <c r="AX180" i="15"/>
  <c r="AX181" i="15"/>
  <c r="AX182" i="15"/>
  <c r="AX183" i="15"/>
  <c r="AX184" i="15"/>
  <c r="AV178" i="15"/>
  <c r="AV179" i="15"/>
  <c r="AV180" i="15"/>
  <c r="AV181" i="15"/>
  <c r="AV182" i="15"/>
  <c r="AV183" i="15"/>
  <c r="AV184" i="15"/>
  <c r="AT178" i="15"/>
  <c r="AT179" i="15"/>
  <c r="AT180" i="15"/>
  <c r="AT181" i="15"/>
  <c r="AT182" i="15"/>
  <c r="AT183" i="15"/>
  <c r="AT184" i="15"/>
  <c r="AR178" i="15"/>
  <c r="AR179" i="15"/>
  <c r="AR180" i="15"/>
  <c r="AR181" i="15"/>
  <c r="AR182" i="15"/>
  <c r="AR183" i="15"/>
  <c r="AR184" i="15"/>
  <c r="AP184" i="15"/>
  <c r="AP183" i="15"/>
  <c r="AP182" i="15"/>
  <c r="AP181" i="15"/>
  <c r="AP180" i="15"/>
  <c r="AP179" i="15"/>
  <c r="AP178" i="15"/>
  <c r="BL70" i="15" l="1"/>
  <c r="BJ70" i="15"/>
  <c r="BH70" i="15"/>
  <c r="BF70" i="15"/>
  <c r="BD70" i="15"/>
  <c r="BB70" i="15"/>
  <c r="AZ70" i="15"/>
  <c r="AX70" i="15"/>
  <c r="AV70" i="15"/>
  <c r="AT70" i="15"/>
  <c r="AR70" i="15"/>
  <c r="AP70" i="15"/>
  <c r="BL69" i="15"/>
  <c r="BJ69" i="15"/>
  <c r="BH69" i="15"/>
  <c r="BF69" i="15"/>
  <c r="BD69" i="15"/>
  <c r="BB69" i="15"/>
  <c r="AZ69" i="15"/>
  <c r="AX69" i="15"/>
  <c r="AV69" i="15"/>
  <c r="AT69" i="15"/>
  <c r="AR69" i="15"/>
  <c r="AP69" i="15"/>
  <c r="BL68" i="15"/>
  <c r="BJ68" i="15"/>
  <c r="BH68" i="15"/>
  <c r="BF68" i="15"/>
  <c r="BD68" i="15"/>
  <c r="BB68" i="15"/>
  <c r="AZ68" i="15"/>
  <c r="AX68" i="15"/>
  <c r="AV68" i="15"/>
  <c r="AT68" i="15"/>
  <c r="AR68" i="15"/>
  <c r="AP68" i="15"/>
  <c r="BL67" i="15"/>
  <c r="BJ67" i="15"/>
  <c r="BH67" i="15"/>
  <c r="BF67" i="15"/>
  <c r="BD67" i="15"/>
  <c r="BB67" i="15"/>
  <c r="AZ67" i="15"/>
  <c r="AX67" i="15"/>
  <c r="AV67" i="15"/>
  <c r="AT67" i="15"/>
  <c r="AR67" i="15"/>
  <c r="AP67" i="15"/>
  <c r="BL66" i="15"/>
  <c r="BJ66" i="15"/>
  <c r="BH66" i="15"/>
  <c r="BF66" i="15"/>
  <c r="BD66" i="15"/>
  <c r="BB66" i="15"/>
  <c r="AZ66" i="15"/>
  <c r="AX66" i="15"/>
  <c r="AV66" i="15"/>
  <c r="AT66" i="15"/>
  <c r="AR66" i="15"/>
  <c r="AP66" i="15"/>
  <c r="BL65" i="15"/>
  <c r="BJ65" i="15"/>
  <c r="BH65" i="15"/>
  <c r="BF65" i="15"/>
  <c r="BD65" i="15"/>
  <c r="BB65" i="15"/>
  <c r="AZ65" i="15"/>
  <c r="AX65" i="15"/>
  <c r="AV65" i="15"/>
  <c r="AT65" i="15"/>
  <c r="AR65" i="15"/>
  <c r="AP65" i="15"/>
  <c r="BL64" i="15"/>
  <c r="BJ64" i="15"/>
  <c r="BH64" i="15"/>
  <c r="BF64" i="15"/>
  <c r="BD64" i="15"/>
  <c r="BB64" i="15"/>
  <c r="AZ64" i="15"/>
  <c r="AX64" i="15"/>
  <c r="AV64" i="15"/>
  <c r="AT64" i="15"/>
  <c r="AR64" i="15"/>
  <c r="AP64" i="15"/>
  <c r="BL63" i="15"/>
  <c r="BJ63" i="15"/>
  <c r="BH63" i="15"/>
  <c r="BF63" i="15"/>
  <c r="BD63" i="15"/>
  <c r="BB63" i="15"/>
  <c r="AZ63" i="15"/>
  <c r="AX63" i="15"/>
  <c r="AV63" i="15"/>
  <c r="AT63" i="15"/>
  <c r="AR63" i="15"/>
  <c r="AP63" i="15"/>
  <c r="BL62" i="15"/>
  <c r="BJ62" i="15"/>
  <c r="BH62" i="15"/>
  <c r="BF62" i="15"/>
  <c r="BD62" i="15"/>
  <c r="BB62" i="15"/>
  <c r="AZ62" i="15"/>
  <c r="AX62" i="15"/>
  <c r="AV62" i="15"/>
  <c r="AT62" i="15"/>
  <c r="AR62" i="15"/>
  <c r="AP62" i="15"/>
  <c r="BL4" i="15"/>
  <c r="BL5" i="15"/>
  <c r="BL6" i="15"/>
  <c r="BL7" i="15"/>
  <c r="BL8" i="15"/>
  <c r="BL9" i="15"/>
  <c r="BL10" i="15"/>
  <c r="BL11" i="15"/>
  <c r="BL12" i="15"/>
  <c r="BL13" i="15"/>
  <c r="BL14" i="15"/>
  <c r="BL15" i="15"/>
  <c r="BL16" i="15"/>
  <c r="BL17" i="15"/>
  <c r="BL18" i="15"/>
  <c r="BL19" i="15"/>
  <c r="BL20" i="15"/>
  <c r="BL21" i="15"/>
  <c r="BL22" i="15"/>
  <c r="BL23" i="15"/>
  <c r="BL24" i="15"/>
  <c r="BL25" i="15"/>
  <c r="BL26" i="15"/>
  <c r="BL27" i="15"/>
  <c r="BL28" i="15"/>
  <c r="BL29" i="15"/>
  <c r="BL30" i="15"/>
  <c r="BL31" i="15"/>
  <c r="BL32" i="15"/>
  <c r="BL33" i="15"/>
  <c r="BL34" i="15"/>
  <c r="BL35" i="15"/>
  <c r="BL36" i="15"/>
  <c r="BL37" i="15"/>
  <c r="BL38" i="15"/>
  <c r="BL39" i="15"/>
  <c r="BL40" i="15"/>
  <c r="BL41" i="15"/>
  <c r="BL42" i="15"/>
  <c r="BL43" i="15"/>
  <c r="BL44" i="15"/>
  <c r="BL45" i="15"/>
  <c r="BL46" i="15"/>
  <c r="BL47" i="15"/>
  <c r="BL48" i="15"/>
  <c r="BL49" i="15"/>
  <c r="BL50" i="15"/>
  <c r="BL51" i="15"/>
  <c r="BL52" i="15"/>
  <c r="BL53" i="15"/>
  <c r="BL54" i="15"/>
  <c r="BL55" i="15"/>
  <c r="BL56" i="15"/>
  <c r="BL57" i="15"/>
  <c r="BL58" i="15"/>
  <c r="BL59" i="15"/>
  <c r="BL60" i="15"/>
  <c r="BL61" i="15"/>
  <c r="BL73" i="15"/>
  <c r="BL74" i="15"/>
  <c r="BL75" i="15"/>
  <c r="BL76" i="15"/>
  <c r="BL77" i="15"/>
  <c r="BL78" i="15"/>
  <c r="BL79" i="15"/>
  <c r="BL80" i="15"/>
  <c r="BL81" i="15"/>
  <c r="BL82" i="15"/>
  <c r="BL83" i="15"/>
  <c r="BL84" i="15"/>
  <c r="BL85" i="15"/>
  <c r="BL86" i="15"/>
  <c r="BL87" i="15"/>
  <c r="BL88" i="15"/>
  <c r="BL89" i="15"/>
  <c r="BL90" i="15"/>
  <c r="BL91" i="15"/>
  <c r="BL92" i="15"/>
  <c r="BL93" i="15"/>
  <c r="BL94" i="15"/>
  <c r="BL95" i="15"/>
  <c r="BL96" i="15"/>
  <c r="BL97" i="15"/>
  <c r="BL98" i="15"/>
  <c r="BL99" i="15"/>
  <c r="BL100" i="15"/>
  <c r="BL101" i="15"/>
  <c r="BL102" i="15"/>
  <c r="BL103" i="15"/>
  <c r="BL104" i="15"/>
  <c r="BL105" i="15"/>
  <c r="BL106" i="15"/>
  <c r="BL107" i="15"/>
  <c r="BL108" i="15"/>
  <c r="BL109" i="15"/>
  <c r="BL110" i="15"/>
  <c r="BL111" i="15"/>
  <c r="BL112" i="15"/>
  <c r="BL113" i="15"/>
  <c r="BL114" i="15"/>
  <c r="BL115" i="15"/>
  <c r="BL116" i="15"/>
  <c r="BL117" i="15"/>
  <c r="BL118" i="15"/>
  <c r="BL119" i="15"/>
  <c r="BL120" i="15"/>
  <c r="BL121" i="15"/>
  <c r="BL122" i="15"/>
  <c r="BL123" i="15"/>
  <c r="BL124" i="15"/>
  <c r="BL125" i="15"/>
  <c r="BL126" i="15"/>
  <c r="BL127" i="15"/>
  <c r="BL128" i="15"/>
  <c r="BL129" i="15"/>
  <c r="BL130" i="15"/>
  <c r="BL131" i="15"/>
  <c r="BL132" i="15"/>
  <c r="BL133" i="15"/>
  <c r="BL134" i="15"/>
  <c r="BL135" i="15"/>
  <c r="BL136" i="15"/>
  <c r="BL137" i="15"/>
  <c r="BL138" i="15"/>
  <c r="BL147" i="15"/>
  <c r="BL148" i="15"/>
  <c r="BL149" i="15"/>
  <c r="BL150" i="15"/>
  <c r="BL151" i="15"/>
  <c r="BL152" i="15"/>
  <c r="BL153" i="15"/>
  <c r="BL154" i="15"/>
  <c r="BL155" i="15"/>
  <c r="BL156" i="15"/>
  <c r="BL157" i="15"/>
  <c r="BL158" i="15"/>
  <c r="BL159" i="15"/>
  <c r="BL160" i="15"/>
  <c r="BL161" i="15"/>
  <c r="BL162" i="15"/>
  <c r="BL163" i="15"/>
  <c r="BL164" i="15"/>
  <c r="BL165" i="15"/>
  <c r="BL166" i="15"/>
  <c r="BL167" i="15"/>
  <c r="BL168" i="15"/>
  <c r="BL169" i="15"/>
  <c r="BL170" i="15"/>
  <c r="BL171" i="15"/>
  <c r="BL172" i="15"/>
  <c r="BL173" i="15"/>
  <c r="BL174" i="15"/>
  <c r="BL175" i="15"/>
  <c r="BL176" i="15"/>
  <c r="BL177" i="15"/>
  <c r="BJ4" i="15"/>
  <c r="BJ5" i="15"/>
  <c r="BJ6" i="15"/>
  <c r="BJ7" i="15"/>
  <c r="BJ8" i="15"/>
  <c r="BJ9" i="15"/>
  <c r="BJ10" i="15"/>
  <c r="BJ11" i="15"/>
  <c r="BJ12" i="15"/>
  <c r="BJ13" i="15"/>
  <c r="BJ14" i="15"/>
  <c r="BJ15" i="15"/>
  <c r="BJ16" i="15"/>
  <c r="BJ17" i="15"/>
  <c r="BJ18" i="15"/>
  <c r="BJ19" i="15"/>
  <c r="BJ20" i="15"/>
  <c r="BJ21" i="15"/>
  <c r="BJ22" i="15"/>
  <c r="BJ23" i="15"/>
  <c r="BJ24" i="15"/>
  <c r="BJ25" i="15"/>
  <c r="BJ26" i="15"/>
  <c r="BJ27" i="15"/>
  <c r="BJ28" i="15"/>
  <c r="BJ29" i="15"/>
  <c r="BJ30" i="15"/>
  <c r="BJ31" i="15"/>
  <c r="BJ32" i="15"/>
  <c r="BJ33" i="15"/>
  <c r="BJ34" i="15"/>
  <c r="BJ35" i="15"/>
  <c r="BJ36" i="15"/>
  <c r="BJ37" i="15"/>
  <c r="BJ38" i="15"/>
  <c r="BJ39" i="15"/>
  <c r="BJ40" i="15"/>
  <c r="BJ41" i="15"/>
  <c r="BJ42" i="15"/>
  <c r="BJ43" i="15"/>
  <c r="BJ44" i="15"/>
  <c r="BJ45" i="15"/>
  <c r="BJ46" i="15"/>
  <c r="BJ47" i="15"/>
  <c r="BJ48" i="15"/>
  <c r="BJ49" i="15"/>
  <c r="BJ50" i="15"/>
  <c r="BJ51" i="15"/>
  <c r="BJ52" i="15"/>
  <c r="BJ53" i="15"/>
  <c r="BJ54" i="15"/>
  <c r="BJ55" i="15"/>
  <c r="BJ56" i="15"/>
  <c r="BJ57" i="15"/>
  <c r="BJ58" i="15"/>
  <c r="BJ59" i="15"/>
  <c r="BJ60" i="15"/>
  <c r="BJ61" i="15"/>
  <c r="BJ73" i="15"/>
  <c r="BJ74" i="15"/>
  <c r="BJ75" i="15"/>
  <c r="BJ76" i="15"/>
  <c r="BJ77" i="15"/>
  <c r="BJ78" i="15"/>
  <c r="BJ79" i="15"/>
  <c r="BJ80" i="15"/>
  <c r="BJ81" i="15"/>
  <c r="BJ82" i="15"/>
  <c r="BJ83" i="15"/>
  <c r="BJ84" i="15"/>
  <c r="BJ85" i="15"/>
  <c r="BJ86" i="15"/>
  <c r="BJ87" i="15"/>
  <c r="BJ88" i="15"/>
  <c r="BJ89" i="15"/>
  <c r="BJ90" i="15"/>
  <c r="BJ91" i="15"/>
  <c r="BJ92" i="15"/>
  <c r="BJ93" i="15"/>
  <c r="BJ94" i="15"/>
  <c r="BJ95" i="15"/>
  <c r="BJ96" i="15"/>
  <c r="BJ97" i="15"/>
  <c r="BJ98" i="15"/>
  <c r="BJ99" i="15"/>
  <c r="BJ100" i="15"/>
  <c r="BJ101" i="15"/>
  <c r="BJ102" i="15"/>
  <c r="BJ103" i="15"/>
  <c r="BJ104" i="15"/>
  <c r="BJ105" i="15"/>
  <c r="BJ106" i="15"/>
  <c r="BJ107" i="15"/>
  <c r="BJ108" i="15"/>
  <c r="BJ109" i="15"/>
  <c r="BJ110" i="15"/>
  <c r="BJ111" i="15"/>
  <c r="BJ112" i="15"/>
  <c r="BJ113" i="15"/>
  <c r="BJ114" i="15"/>
  <c r="BJ115" i="15"/>
  <c r="BJ116" i="15"/>
  <c r="BJ117" i="15"/>
  <c r="BJ118" i="15"/>
  <c r="BJ119" i="15"/>
  <c r="BJ120" i="15"/>
  <c r="BJ121" i="15"/>
  <c r="BJ122" i="15"/>
  <c r="BJ123" i="15"/>
  <c r="BJ124" i="15"/>
  <c r="BJ125" i="15"/>
  <c r="BJ126" i="15"/>
  <c r="BJ127" i="15"/>
  <c r="BJ128" i="15"/>
  <c r="BJ129" i="15"/>
  <c r="BJ130" i="15"/>
  <c r="BJ131" i="15"/>
  <c r="BJ132" i="15"/>
  <c r="BJ133" i="15"/>
  <c r="BJ134" i="15"/>
  <c r="BJ135" i="15"/>
  <c r="BJ136" i="15"/>
  <c r="BJ137" i="15"/>
  <c r="BJ138" i="15"/>
  <c r="BJ147" i="15"/>
  <c r="BJ148" i="15"/>
  <c r="BJ149" i="15"/>
  <c r="BJ150" i="15"/>
  <c r="BJ151" i="15"/>
  <c r="BJ152" i="15"/>
  <c r="BJ153" i="15"/>
  <c r="BJ154" i="15"/>
  <c r="BJ155" i="15"/>
  <c r="BJ156" i="15"/>
  <c r="BJ157" i="15"/>
  <c r="BJ158" i="15"/>
  <c r="BJ159" i="15"/>
  <c r="BJ160" i="15"/>
  <c r="BJ161" i="15"/>
  <c r="BJ162" i="15"/>
  <c r="BJ163" i="15"/>
  <c r="BJ164" i="15"/>
  <c r="BJ165" i="15"/>
  <c r="BJ166" i="15"/>
  <c r="BJ167" i="15"/>
  <c r="BJ168" i="15"/>
  <c r="BJ169" i="15"/>
  <c r="BJ170" i="15"/>
  <c r="BJ171" i="15"/>
  <c r="BJ172" i="15"/>
  <c r="BJ173" i="15"/>
  <c r="BJ174" i="15"/>
  <c r="BJ175" i="15"/>
  <c r="BJ176" i="15"/>
  <c r="BJ177" i="15"/>
  <c r="BH4" i="15"/>
  <c r="BH5" i="15"/>
  <c r="BH6" i="15"/>
  <c r="BH7" i="15"/>
  <c r="BH8" i="15"/>
  <c r="BH9" i="15"/>
  <c r="BH10" i="15"/>
  <c r="BH11" i="15"/>
  <c r="BH12" i="15"/>
  <c r="BH13" i="15"/>
  <c r="BH14" i="15"/>
  <c r="BH15" i="15"/>
  <c r="BH16" i="15"/>
  <c r="BH17" i="15"/>
  <c r="BH18" i="15"/>
  <c r="BH19" i="15"/>
  <c r="BH20" i="15"/>
  <c r="BH21" i="15"/>
  <c r="BH22" i="15"/>
  <c r="BH23" i="15"/>
  <c r="BH24" i="15"/>
  <c r="BH25" i="15"/>
  <c r="BH26" i="15"/>
  <c r="BH27" i="15"/>
  <c r="BH28" i="15"/>
  <c r="BH29" i="15"/>
  <c r="BH30" i="15"/>
  <c r="BH31" i="15"/>
  <c r="BH32" i="15"/>
  <c r="BH33" i="15"/>
  <c r="BH34" i="15"/>
  <c r="BH35" i="15"/>
  <c r="BH36" i="15"/>
  <c r="BH37" i="15"/>
  <c r="BH38" i="15"/>
  <c r="BH39" i="15"/>
  <c r="BH40" i="15"/>
  <c r="BH41" i="15"/>
  <c r="BH42" i="15"/>
  <c r="BH43" i="15"/>
  <c r="BH44" i="15"/>
  <c r="BH45" i="15"/>
  <c r="BH46" i="15"/>
  <c r="BH47" i="15"/>
  <c r="BH48" i="15"/>
  <c r="BH49" i="15"/>
  <c r="BH50" i="15"/>
  <c r="BH51" i="15"/>
  <c r="BH52" i="15"/>
  <c r="BH53" i="15"/>
  <c r="BH54" i="15"/>
  <c r="BH55" i="15"/>
  <c r="BH56" i="15"/>
  <c r="BH57" i="15"/>
  <c r="BH58" i="15"/>
  <c r="BH59" i="15"/>
  <c r="BH60" i="15"/>
  <c r="BH61" i="15"/>
  <c r="BH73" i="15"/>
  <c r="BH74" i="15"/>
  <c r="BH75" i="15"/>
  <c r="BH76" i="15"/>
  <c r="BH77" i="15"/>
  <c r="BH78" i="15"/>
  <c r="BH79" i="15"/>
  <c r="BH80" i="15"/>
  <c r="BH81" i="15"/>
  <c r="BH82" i="15"/>
  <c r="BH83" i="15"/>
  <c r="BH84" i="15"/>
  <c r="BH85" i="15"/>
  <c r="BH86" i="15"/>
  <c r="BH87" i="15"/>
  <c r="BH88" i="15"/>
  <c r="BH89" i="15"/>
  <c r="BH90" i="15"/>
  <c r="BH91" i="15"/>
  <c r="BH92" i="15"/>
  <c r="BH93" i="15"/>
  <c r="BH94" i="15"/>
  <c r="BH95" i="15"/>
  <c r="BH96" i="15"/>
  <c r="BH97" i="15"/>
  <c r="BH98" i="15"/>
  <c r="BH99" i="15"/>
  <c r="BH100" i="15"/>
  <c r="BH101" i="15"/>
  <c r="BH102" i="15"/>
  <c r="BH103" i="15"/>
  <c r="BH104" i="15"/>
  <c r="BH105" i="15"/>
  <c r="BH106" i="15"/>
  <c r="BH107" i="15"/>
  <c r="BH108" i="15"/>
  <c r="BH109" i="15"/>
  <c r="BH110" i="15"/>
  <c r="BH111" i="15"/>
  <c r="BH112" i="15"/>
  <c r="BH113" i="15"/>
  <c r="BH114" i="15"/>
  <c r="BH115" i="15"/>
  <c r="BH116" i="15"/>
  <c r="BH117" i="15"/>
  <c r="BH118" i="15"/>
  <c r="BH119" i="15"/>
  <c r="BH120" i="15"/>
  <c r="BH121" i="15"/>
  <c r="BH122" i="15"/>
  <c r="BH123" i="15"/>
  <c r="BH124" i="15"/>
  <c r="BH125" i="15"/>
  <c r="BH126" i="15"/>
  <c r="BH127" i="15"/>
  <c r="BH128" i="15"/>
  <c r="BH129" i="15"/>
  <c r="BH130" i="15"/>
  <c r="BH131" i="15"/>
  <c r="BH132" i="15"/>
  <c r="BH133" i="15"/>
  <c r="BH134" i="15"/>
  <c r="BH135" i="15"/>
  <c r="BH136" i="15"/>
  <c r="BH137" i="15"/>
  <c r="BH138" i="15"/>
  <c r="BH147" i="15"/>
  <c r="BH148" i="15"/>
  <c r="BH149" i="15"/>
  <c r="BH150" i="15"/>
  <c r="BH151" i="15"/>
  <c r="BH152" i="15"/>
  <c r="BH153" i="15"/>
  <c r="BH154" i="15"/>
  <c r="BH155" i="15"/>
  <c r="BH156" i="15"/>
  <c r="BH157" i="15"/>
  <c r="BH158" i="15"/>
  <c r="BH159" i="15"/>
  <c r="BH160" i="15"/>
  <c r="BH161" i="15"/>
  <c r="BH162" i="15"/>
  <c r="BH163" i="15"/>
  <c r="BH164" i="15"/>
  <c r="BH165" i="15"/>
  <c r="BH166" i="15"/>
  <c r="BH167" i="15"/>
  <c r="BH168" i="15"/>
  <c r="BH169" i="15"/>
  <c r="BH170" i="15"/>
  <c r="BH171" i="15"/>
  <c r="BH172" i="15"/>
  <c r="BH173" i="15"/>
  <c r="BH174" i="15"/>
  <c r="BH175" i="15"/>
  <c r="BH176" i="15"/>
  <c r="BH177" i="15"/>
  <c r="BF4" i="15"/>
  <c r="BF5" i="15"/>
  <c r="BF6" i="15"/>
  <c r="BF7" i="15"/>
  <c r="BF8" i="15"/>
  <c r="BF9" i="15"/>
  <c r="BF10" i="15"/>
  <c r="BF11" i="15"/>
  <c r="BF12" i="15"/>
  <c r="BF13" i="15"/>
  <c r="BF14" i="15"/>
  <c r="BF15" i="15"/>
  <c r="BF16" i="15"/>
  <c r="BF17" i="15"/>
  <c r="BF18" i="15"/>
  <c r="BF19" i="15"/>
  <c r="BF20" i="15"/>
  <c r="BF21" i="15"/>
  <c r="BF22" i="15"/>
  <c r="BF23" i="15"/>
  <c r="BF24" i="15"/>
  <c r="BF25" i="15"/>
  <c r="BF26" i="15"/>
  <c r="BF27" i="15"/>
  <c r="BF28" i="15"/>
  <c r="BF29" i="15"/>
  <c r="BF30" i="15"/>
  <c r="BF31" i="15"/>
  <c r="BF32" i="15"/>
  <c r="BF33" i="15"/>
  <c r="BF34" i="15"/>
  <c r="BF35" i="15"/>
  <c r="BF36" i="15"/>
  <c r="BF37" i="15"/>
  <c r="BF38" i="15"/>
  <c r="BF39" i="15"/>
  <c r="BF40" i="15"/>
  <c r="BF41" i="15"/>
  <c r="BF42" i="15"/>
  <c r="BF43" i="15"/>
  <c r="BF44" i="15"/>
  <c r="BF45" i="15"/>
  <c r="BF46" i="15"/>
  <c r="BF47" i="15"/>
  <c r="BF48" i="15"/>
  <c r="BF49" i="15"/>
  <c r="BF50" i="15"/>
  <c r="BF51" i="15"/>
  <c r="BF52" i="15"/>
  <c r="BF53" i="15"/>
  <c r="BF54" i="15"/>
  <c r="BF55" i="15"/>
  <c r="BF56" i="15"/>
  <c r="BF57" i="15"/>
  <c r="BF58" i="15"/>
  <c r="BF59" i="15"/>
  <c r="BF60" i="15"/>
  <c r="BF61" i="15"/>
  <c r="BF73" i="15"/>
  <c r="BF74" i="15"/>
  <c r="BF75" i="15"/>
  <c r="BF76" i="15"/>
  <c r="BF77" i="15"/>
  <c r="BF78" i="15"/>
  <c r="BF79" i="15"/>
  <c r="BF80" i="15"/>
  <c r="BF81" i="15"/>
  <c r="BF82" i="15"/>
  <c r="BF83" i="15"/>
  <c r="BF84" i="15"/>
  <c r="BF85" i="15"/>
  <c r="BF86" i="15"/>
  <c r="BF87" i="15"/>
  <c r="BF88" i="15"/>
  <c r="BF89" i="15"/>
  <c r="BF90" i="15"/>
  <c r="BF91" i="15"/>
  <c r="BF92" i="15"/>
  <c r="BF93" i="15"/>
  <c r="BF94" i="15"/>
  <c r="BF95" i="15"/>
  <c r="BF96" i="15"/>
  <c r="BF97" i="15"/>
  <c r="BF98" i="15"/>
  <c r="BF99" i="15"/>
  <c r="BF100" i="15"/>
  <c r="BF101" i="15"/>
  <c r="BF102" i="15"/>
  <c r="BF103" i="15"/>
  <c r="BF104" i="15"/>
  <c r="BF105" i="15"/>
  <c r="BF106" i="15"/>
  <c r="BF107" i="15"/>
  <c r="BF108" i="15"/>
  <c r="BF109" i="15"/>
  <c r="BF110" i="15"/>
  <c r="BF111" i="15"/>
  <c r="BF112" i="15"/>
  <c r="BF113" i="15"/>
  <c r="BF114" i="15"/>
  <c r="BF115" i="15"/>
  <c r="BF116" i="15"/>
  <c r="BF117" i="15"/>
  <c r="BF118" i="15"/>
  <c r="BF119" i="15"/>
  <c r="BF120" i="15"/>
  <c r="BF121" i="15"/>
  <c r="BF122" i="15"/>
  <c r="BF123" i="15"/>
  <c r="BF124" i="15"/>
  <c r="BF125" i="15"/>
  <c r="BF126" i="15"/>
  <c r="BF127" i="15"/>
  <c r="BF128" i="15"/>
  <c r="BF129" i="15"/>
  <c r="BF130" i="15"/>
  <c r="BF131" i="15"/>
  <c r="BF132" i="15"/>
  <c r="BF133" i="15"/>
  <c r="BF134" i="15"/>
  <c r="BF135" i="15"/>
  <c r="BF136" i="15"/>
  <c r="BF137" i="15"/>
  <c r="BF138" i="15"/>
  <c r="BF147" i="15"/>
  <c r="BF148" i="15"/>
  <c r="BF149" i="15"/>
  <c r="BF150" i="15"/>
  <c r="BF151" i="15"/>
  <c r="BF152" i="15"/>
  <c r="BF153" i="15"/>
  <c r="BF154" i="15"/>
  <c r="BF155" i="15"/>
  <c r="BF156" i="15"/>
  <c r="BF157" i="15"/>
  <c r="BF158" i="15"/>
  <c r="BF159" i="15"/>
  <c r="BF160" i="15"/>
  <c r="BF161" i="15"/>
  <c r="BF162" i="15"/>
  <c r="BF163" i="15"/>
  <c r="BF164" i="15"/>
  <c r="BF165" i="15"/>
  <c r="BF166" i="15"/>
  <c r="BF167" i="15"/>
  <c r="BF168" i="15"/>
  <c r="BF169" i="15"/>
  <c r="BF170" i="15"/>
  <c r="BF171" i="15"/>
  <c r="BF172" i="15"/>
  <c r="BF173" i="15"/>
  <c r="BF174" i="15"/>
  <c r="BF175" i="15"/>
  <c r="BF176" i="15"/>
  <c r="BF177" i="15"/>
  <c r="BD4" i="15"/>
  <c r="BD5" i="15"/>
  <c r="BD6" i="15"/>
  <c r="BD7" i="15"/>
  <c r="BD8" i="15"/>
  <c r="BD9" i="15"/>
  <c r="BD10" i="15"/>
  <c r="BD11" i="15"/>
  <c r="BD12" i="15"/>
  <c r="BD13" i="15"/>
  <c r="BD14" i="15"/>
  <c r="BD15" i="15"/>
  <c r="BD16" i="15"/>
  <c r="BD17" i="15"/>
  <c r="BD18" i="15"/>
  <c r="BD19" i="15"/>
  <c r="BD20" i="15"/>
  <c r="BD21" i="15"/>
  <c r="BD22" i="15"/>
  <c r="BD23" i="15"/>
  <c r="BD24" i="15"/>
  <c r="BD25" i="15"/>
  <c r="BD26" i="15"/>
  <c r="BD27" i="15"/>
  <c r="BD28" i="15"/>
  <c r="BD29" i="15"/>
  <c r="BD30" i="15"/>
  <c r="BD31" i="15"/>
  <c r="BD32" i="15"/>
  <c r="BD33" i="15"/>
  <c r="BD34" i="15"/>
  <c r="BD35" i="15"/>
  <c r="BD36" i="15"/>
  <c r="BD37" i="15"/>
  <c r="BD38" i="15"/>
  <c r="BD39" i="15"/>
  <c r="BD40" i="15"/>
  <c r="BD41" i="15"/>
  <c r="BD42" i="15"/>
  <c r="BD43" i="15"/>
  <c r="BD44" i="15"/>
  <c r="BD45" i="15"/>
  <c r="BD46" i="15"/>
  <c r="BD47" i="15"/>
  <c r="BD48" i="15"/>
  <c r="BD49" i="15"/>
  <c r="BD50" i="15"/>
  <c r="BD51" i="15"/>
  <c r="BD52" i="15"/>
  <c r="BD53" i="15"/>
  <c r="BD54" i="15"/>
  <c r="BD55" i="15"/>
  <c r="BD56" i="15"/>
  <c r="BD57" i="15"/>
  <c r="BD58" i="15"/>
  <c r="BD59" i="15"/>
  <c r="BD60" i="15"/>
  <c r="BD61" i="15"/>
  <c r="BD73" i="15"/>
  <c r="BD74" i="15"/>
  <c r="BD75" i="15"/>
  <c r="BD76" i="15"/>
  <c r="BD77" i="15"/>
  <c r="BD78" i="15"/>
  <c r="BD79" i="15"/>
  <c r="BD80" i="15"/>
  <c r="BD81" i="15"/>
  <c r="BD82" i="15"/>
  <c r="BD83" i="15"/>
  <c r="BD84" i="15"/>
  <c r="BD85" i="15"/>
  <c r="BD86" i="15"/>
  <c r="BD87" i="15"/>
  <c r="BD88" i="15"/>
  <c r="BD89" i="15"/>
  <c r="BD90" i="15"/>
  <c r="BD91" i="15"/>
  <c r="BD92" i="15"/>
  <c r="BD93" i="15"/>
  <c r="BD94" i="15"/>
  <c r="BD95" i="15"/>
  <c r="BD96" i="15"/>
  <c r="BD97" i="15"/>
  <c r="BD98" i="15"/>
  <c r="BD99" i="15"/>
  <c r="BD100" i="15"/>
  <c r="BD101" i="15"/>
  <c r="BD102" i="15"/>
  <c r="BD103" i="15"/>
  <c r="BD104" i="15"/>
  <c r="BD105" i="15"/>
  <c r="BD106" i="15"/>
  <c r="BD107" i="15"/>
  <c r="BD108" i="15"/>
  <c r="BD109" i="15"/>
  <c r="BD110" i="15"/>
  <c r="BD111" i="15"/>
  <c r="BD112" i="15"/>
  <c r="BD113" i="15"/>
  <c r="BD114" i="15"/>
  <c r="BD115" i="15"/>
  <c r="BD116" i="15"/>
  <c r="BD117" i="15"/>
  <c r="BD118" i="15"/>
  <c r="BD119" i="15"/>
  <c r="BD120" i="15"/>
  <c r="BD121" i="15"/>
  <c r="BD122" i="15"/>
  <c r="BD123" i="15"/>
  <c r="BD124" i="15"/>
  <c r="BD125" i="15"/>
  <c r="BD126" i="15"/>
  <c r="BD127" i="15"/>
  <c r="BD128" i="15"/>
  <c r="BD129" i="15"/>
  <c r="BD130" i="15"/>
  <c r="BD131" i="15"/>
  <c r="BD132" i="15"/>
  <c r="BD133" i="15"/>
  <c r="BD134" i="15"/>
  <c r="BD135" i="15"/>
  <c r="BD136" i="15"/>
  <c r="BD137" i="15"/>
  <c r="BD138" i="15"/>
  <c r="BD147" i="15"/>
  <c r="BD148" i="15"/>
  <c r="BD149" i="15"/>
  <c r="BD150" i="15"/>
  <c r="BD151" i="15"/>
  <c r="BD152" i="15"/>
  <c r="BD153" i="15"/>
  <c r="BD154" i="15"/>
  <c r="BD155" i="15"/>
  <c r="BD156" i="15"/>
  <c r="BD157" i="15"/>
  <c r="BD158" i="15"/>
  <c r="BD159" i="15"/>
  <c r="BD160" i="15"/>
  <c r="BD161" i="15"/>
  <c r="BD162" i="15"/>
  <c r="BD163" i="15"/>
  <c r="BD164" i="15"/>
  <c r="BD165" i="15"/>
  <c r="BD166" i="15"/>
  <c r="BD167" i="15"/>
  <c r="BD168" i="15"/>
  <c r="BD169" i="15"/>
  <c r="BD170" i="15"/>
  <c r="BD171" i="15"/>
  <c r="BD172" i="15"/>
  <c r="BD173" i="15"/>
  <c r="BD174" i="15"/>
  <c r="BD175" i="15"/>
  <c r="BD176" i="15"/>
  <c r="BD177" i="15"/>
  <c r="BB4" i="15"/>
  <c r="BB5" i="15"/>
  <c r="BB6" i="15"/>
  <c r="BB7" i="15"/>
  <c r="BB8" i="15"/>
  <c r="BB9" i="15"/>
  <c r="BB10" i="15"/>
  <c r="BB11" i="15"/>
  <c r="BB12" i="15"/>
  <c r="BB13" i="15"/>
  <c r="BB14" i="15"/>
  <c r="BB15" i="15"/>
  <c r="BB16" i="15"/>
  <c r="BB17" i="15"/>
  <c r="BB18" i="15"/>
  <c r="BB19" i="15"/>
  <c r="BB20" i="15"/>
  <c r="BB21" i="15"/>
  <c r="BB22" i="15"/>
  <c r="BB23" i="15"/>
  <c r="BB24" i="15"/>
  <c r="BB25" i="15"/>
  <c r="BB26" i="15"/>
  <c r="BB27" i="15"/>
  <c r="BB28" i="15"/>
  <c r="BB29" i="15"/>
  <c r="BB30" i="15"/>
  <c r="BB31" i="15"/>
  <c r="BB32" i="15"/>
  <c r="BB33" i="15"/>
  <c r="BB34" i="15"/>
  <c r="BB35" i="15"/>
  <c r="BB36" i="15"/>
  <c r="BB37" i="15"/>
  <c r="BB38" i="15"/>
  <c r="BB39" i="15"/>
  <c r="BB40" i="15"/>
  <c r="BB41" i="15"/>
  <c r="BB42" i="15"/>
  <c r="BB43" i="15"/>
  <c r="BB44" i="15"/>
  <c r="BB45" i="15"/>
  <c r="BB46" i="15"/>
  <c r="BB47" i="15"/>
  <c r="BB48" i="15"/>
  <c r="BB49" i="15"/>
  <c r="BB50" i="15"/>
  <c r="BB51" i="15"/>
  <c r="BB52" i="15"/>
  <c r="BB53" i="15"/>
  <c r="BB54" i="15"/>
  <c r="BB55" i="15"/>
  <c r="BB56" i="15"/>
  <c r="BB57" i="15"/>
  <c r="BB58" i="15"/>
  <c r="BB59" i="15"/>
  <c r="BB60" i="15"/>
  <c r="BB61" i="15"/>
  <c r="BB73" i="15"/>
  <c r="BB74" i="15"/>
  <c r="BB75" i="15"/>
  <c r="BB76" i="15"/>
  <c r="BB77" i="15"/>
  <c r="BB78" i="15"/>
  <c r="BB79" i="15"/>
  <c r="BB80" i="15"/>
  <c r="BB81" i="15"/>
  <c r="BB82" i="15"/>
  <c r="BB83" i="15"/>
  <c r="BB84" i="15"/>
  <c r="BB85" i="15"/>
  <c r="BB86" i="15"/>
  <c r="BB87" i="15"/>
  <c r="BB88" i="15"/>
  <c r="BB89" i="15"/>
  <c r="BB90" i="15"/>
  <c r="BB91" i="15"/>
  <c r="BB92" i="15"/>
  <c r="BB93" i="15"/>
  <c r="BB94" i="15"/>
  <c r="BB95" i="15"/>
  <c r="BB96" i="15"/>
  <c r="BB97" i="15"/>
  <c r="BB98" i="15"/>
  <c r="BB99" i="15"/>
  <c r="BB100" i="15"/>
  <c r="BB101" i="15"/>
  <c r="BB102" i="15"/>
  <c r="BB103" i="15"/>
  <c r="BB104" i="15"/>
  <c r="BB105" i="15"/>
  <c r="BB106" i="15"/>
  <c r="BB107" i="15"/>
  <c r="BB108" i="15"/>
  <c r="BB109" i="15"/>
  <c r="BB110" i="15"/>
  <c r="BB111" i="15"/>
  <c r="BB112" i="15"/>
  <c r="BB113" i="15"/>
  <c r="BB114" i="15"/>
  <c r="BB115" i="15"/>
  <c r="BB116" i="15"/>
  <c r="BB117" i="15"/>
  <c r="BB118" i="15"/>
  <c r="BB119" i="15"/>
  <c r="BB120" i="15"/>
  <c r="BB121" i="15"/>
  <c r="BB122" i="15"/>
  <c r="BB123" i="15"/>
  <c r="BB124" i="15"/>
  <c r="BB125" i="15"/>
  <c r="BB126" i="15"/>
  <c r="BB127" i="15"/>
  <c r="BB128" i="15"/>
  <c r="BB129" i="15"/>
  <c r="BB130" i="15"/>
  <c r="BB131" i="15"/>
  <c r="BB132" i="15"/>
  <c r="BB133" i="15"/>
  <c r="BB134" i="15"/>
  <c r="BB135" i="15"/>
  <c r="BB136" i="15"/>
  <c r="BB137" i="15"/>
  <c r="BB138" i="15"/>
  <c r="BB147" i="15"/>
  <c r="BB148" i="15"/>
  <c r="BB149" i="15"/>
  <c r="BB150" i="15"/>
  <c r="BB151" i="15"/>
  <c r="BB152" i="15"/>
  <c r="BB153" i="15"/>
  <c r="BB154" i="15"/>
  <c r="BB155" i="15"/>
  <c r="BB156" i="15"/>
  <c r="BB157" i="15"/>
  <c r="BB158" i="15"/>
  <c r="BB159" i="15"/>
  <c r="BB160" i="15"/>
  <c r="BB161" i="15"/>
  <c r="BB162" i="15"/>
  <c r="BB163" i="15"/>
  <c r="BB164" i="15"/>
  <c r="BB165" i="15"/>
  <c r="BB166" i="15"/>
  <c r="BB167" i="15"/>
  <c r="BB168" i="15"/>
  <c r="BB169" i="15"/>
  <c r="BB170" i="15"/>
  <c r="BB171" i="15"/>
  <c r="BB172" i="15"/>
  <c r="BB173" i="15"/>
  <c r="BB174" i="15"/>
  <c r="BB175" i="15"/>
  <c r="BB176" i="15"/>
  <c r="BB177" i="15"/>
  <c r="AZ4" i="15"/>
  <c r="AZ5" i="15"/>
  <c r="AZ6" i="15"/>
  <c r="AZ7" i="15"/>
  <c r="AZ8" i="15"/>
  <c r="AZ9" i="15"/>
  <c r="AZ10" i="15"/>
  <c r="AZ11" i="15"/>
  <c r="AZ12" i="15"/>
  <c r="AZ13" i="15"/>
  <c r="AZ14" i="15"/>
  <c r="AZ15" i="15"/>
  <c r="AZ16" i="15"/>
  <c r="AZ17" i="15"/>
  <c r="AZ18" i="15"/>
  <c r="AZ19" i="15"/>
  <c r="AZ20" i="15"/>
  <c r="AZ21" i="15"/>
  <c r="AZ22" i="15"/>
  <c r="AZ23" i="15"/>
  <c r="AZ24" i="15"/>
  <c r="AZ25" i="15"/>
  <c r="AZ26" i="15"/>
  <c r="AZ27" i="15"/>
  <c r="AZ28" i="15"/>
  <c r="AZ29" i="15"/>
  <c r="AZ30" i="15"/>
  <c r="AZ31" i="15"/>
  <c r="AZ32" i="15"/>
  <c r="AZ33" i="15"/>
  <c r="AZ34" i="15"/>
  <c r="AZ35" i="15"/>
  <c r="AZ36" i="15"/>
  <c r="AZ37" i="15"/>
  <c r="AZ38" i="15"/>
  <c r="AZ39" i="15"/>
  <c r="AZ40" i="15"/>
  <c r="AZ41" i="15"/>
  <c r="AZ42" i="15"/>
  <c r="AZ43" i="15"/>
  <c r="AZ44" i="15"/>
  <c r="AZ45" i="15"/>
  <c r="AZ46" i="15"/>
  <c r="AZ47" i="15"/>
  <c r="AZ48" i="15"/>
  <c r="AZ49" i="15"/>
  <c r="AZ50" i="15"/>
  <c r="AZ51" i="15"/>
  <c r="AZ52" i="15"/>
  <c r="AZ53" i="15"/>
  <c r="AZ54" i="15"/>
  <c r="AZ55" i="15"/>
  <c r="AZ56" i="15"/>
  <c r="AZ57" i="15"/>
  <c r="AZ58" i="15"/>
  <c r="AZ59" i="15"/>
  <c r="AZ60" i="15"/>
  <c r="AZ61" i="15"/>
  <c r="AZ73" i="15"/>
  <c r="AZ74" i="15"/>
  <c r="AZ75" i="15"/>
  <c r="AZ76" i="15"/>
  <c r="AZ77" i="15"/>
  <c r="AZ78" i="15"/>
  <c r="AZ79" i="15"/>
  <c r="AZ80" i="15"/>
  <c r="AZ81" i="15"/>
  <c r="AZ82" i="15"/>
  <c r="AZ83" i="15"/>
  <c r="AZ84" i="15"/>
  <c r="AZ85" i="15"/>
  <c r="AZ86" i="15"/>
  <c r="AZ87" i="15"/>
  <c r="AZ88" i="15"/>
  <c r="AZ89" i="15"/>
  <c r="AZ90" i="15"/>
  <c r="AZ91" i="15"/>
  <c r="AZ92" i="15"/>
  <c r="AZ93" i="15"/>
  <c r="AZ94" i="15"/>
  <c r="AZ95" i="15"/>
  <c r="AZ96" i="15"/>
  <c r="AZ97" i="15"/>
  <c r="AZ98" i="15"/>
  <c r="AZ99" i="15"/>
  <c r="AZ100" i="15"/>
  <c r="AZ101" i="15"/>
  <c r="AZ102" i="15"/>
  <c r="AZ103" i="15"/>
  <c r="AZ104" i="15"/>
  <c r="AZ105" i="15"/>
  <c r="AZ106" i="15"/>
  <c r="AZ107" i="15"/>
  <c r="AZ108" i="15"/>
  <c r="AZ109" i="15"/>
  <c r="AZ110" i="15"/>
  <c r="AZ111" i="15"/>
  <c r="AZ112" i="15"/>
  <c r="AZ113" i="15"/>
  <c r="AZ114" i="15"/>
  <c r="AZ115" i="15"/>
  <c r="AZ116" i="15"/>
  <c r="AZ117" i="15"/>
  <c r="AZ118" i="15"/>
  <c r="AZ119" i="15"/>
  <c r="AZ120" i="15"/>
  <c r="AZ121" i="15"/>
  <c r="AZ122" i="15"/>
  <c r="AZ123" i="15"/>
  <c r="AZ124" i="15"/>
  <c r="AZ125" i="15"/>
  <c r="AZ126" i="15"/>
  <c r="AZ127" i="15"/>
  <c r="AZ128" i="15"/>
  <c r="AZ129" i="15"/>
  <c r="AZ130" i="15"/>
  <c r="AZ131" i="15"/>
  <c r="AZ132" i="15"/>
  <c r="AZ133" i="15"/>
  <c r="AZ134" i="15"/>
  <c r="AZ135" i="15"/>
  <c r="AZ136" i="15"/>
  <c r="AZ137" i="15"/>
  <c r="AZ138" i="15"/>
  <c r="AZ147" i="15"/>
  <c r="AZ148" i="15"/>
  <c r="AZ149" i="15"/>
  <c r="AZ150" i="15"/>
  <c r="AZ151" i="15"/>
  <c r="AZ152" i="15"/>
  <c r="AZ153" i="15"/>
  <c r="AZ154" i="15"/>
  <c r="AZ155" i="15"/>
  <c r="AZ156" i="15"/>
  <c r="AZ157" i="15"/>
  <c r="AZ158" i="15"/>
  <c r="AZ159" i="15"/>
  <c r="AZ160" i="15"/>
  <c r="AZ161" i="15"/>
  <c r="AZ162" i="15"/>
  <c r="AZ163" i="15"/>
  <c r="AZ164" i="15"/>
  <c r="AZ165" i="15"/>
  <c r="AZ166" i="15"/>
  <c r="AZ167" i="15"/>
  <c r="AZ168" i="15"/>
  <c r="AZ169" i="15"/>
  <c r="AZ170" i="15"/>
  <c r="AZ171" i="15"/>
  <c r="AZ172" i="15"/>
  <c r="AZ173" i="15"/>
  <c r="AZ174" i="15"/>
  <c r="AZ175" i="15"/>
  <c r="AZ176" i="15"/>
  <c r="AZ177" i="15"/>
  <c r="AX4" i="15"/>
  <c r="AX5" i="15"/>
  <c r="AX6" i="15"/>
  <c r="AX7" i="15"/>
  <c r="AX8" i="15"/>
  <c r="AX9" i="15"/>
  <c r="AX10" i="15"/>
  <c r="AX11" i="15"/>
  <c r="AX12" i="15"/>
  <c r="AX13" i="15"/>
  <c r="AX14" i="15"/>
  <c r="AX15" i="15"/>
  <c r="AX16" i="15"/>
  <c r="AX17" i="15"/>
  <c r="AX18" i="15"/>
  <c r="AX19" i="15"/>
  <c r="AX20" i="15"/>
  <c r="AX21" i="15"/>
  <c r="AX22" i="15"/>
  <c r="AX23" i="15"/>
  <c r="AX24" i="15"/>
  <c r="AX25" i="15"/>
  <c r="AX26" i="15"/>
  <c r="AX27" i="15"/>
  <c r="AX28" i="15"/>
  <c r="AX29" i="15"/>
  <c r="AX30" i="15"/>
  <c r="AX31" i="15"/>
  <c r="AX32" i="15"/>
  <c r="AX33" i="15"/>
  <c r="AX34" i="15"/>
  <c r="AX35" i="15"/>
  <c r="AX36" i="15"/>
  <c r="AX37" i="15"/>
  <c r="AX38" i="15"/>
  <c r="AX39" i="15"/>
  <c r="AX40" i="15"/>
  <c r="AX41" i="15"/>
  <c r="AX42" i="15"/>
  <c r="AX43" i="15"/>
  <c r="AX44" i="15"/>
  <c r="AX45" i="15"/>
  <c r="AX46" i="15"/>
  <c r="AX47" i="15"/>
  <c r="AX48" i="15"/>
  <c r="AX49" i="15"/>
  <c r="AX50" i="15"/>
  <c r="AX51" i="15"/>
  <c r="AX52" i="15"/>
  <c r="AX53" i="15"/>
  <c r="AX54" i="15"/>
  <c r="AX55" i="15"/>
  <c r="AX56" i="15"/>
  <c r="AX57" i="15"/>
  <c r="AX58" i="15"/>
  <c r="AX59" i="15"/>
  <c r="AX60" i="15"/>
  <c r="AX61" i="15"/>
  <c r="AX73" i="15"/>
  <c r="AX74" i="15"/>
  <c r="AX75" i="15"/>
  <c r="AX76" i="15"/>
  <c r="AX77" i="15"/>
  <c r="AX78" i="15"/>
  <c r="AX79" i="15"/>
  <c r="AX80" i="15"/>
  <c r="AX81" i="15"/>
  <c r="AX82" i="15"/>
  <c r="AX83" i="15"/>
  <c r="AX84" i="15"/>
  <c r="AX85" i="15"/>
  <c r="AX86" i="15"/>
  <c r="AX87" i="15"/>
  <c r="AX88" i="15"/>
  <c r="AX89" i="15"/>
  <c r="AX90" i="15"/>
  <c r="AX91" i="15"/>
  <c r="AX92" i="15"/>
  <c r="AX93" i="15"/>
  <c r="AX94" i="15"/>
  <c r="AX95" i="15"/>
  <c r="AX96" i="15"/>
  <c r="AX97" i="15"/>
  <c r="AX98" i="15"/>
  <c r="AX99" i="15"/>
  <c r="AX100" i="15"/>
  <c r="AX101" i="15"/>
  <c r="AX102" i="15"/>
  <c r="AX103" i="15"/>
  <c r="AX104" i="15"/>
  <c r="AX105" i="15"/>
  <c r="AX106" i="15"/>
  <c r="AX107" i="15"/>
  <c r="AX108" i="15"/>
  <c r="AX109" i="15"/>
  <c r="AX110" i="15"/>
  <c r="AX111" i="15"/>
  <c r="AX112" i="15"/>
  <c r="AX113" i="15"/>
  <c r="AX114" i="15"/>
  <c r="AX115" i="15"/>
  <c r="AX116" i="15"/>
  <c r="AX117" i="15"/>
  <c r="AX118" i="15"/>
  <c r="AX119" i="15"/>
  <c r="AX120" i="15"/>
  <c r="AX121" i="15"/>
  <c r="AX122" i="15"/>
  <c r="AX123" i="15"/>
  <c r="AX124" i="15"/>
  <c r="AX125" i="15"/>
  <c r="AX126" i="15"/>
  <c r="AX127" i="15"/>
  <c r="AX128" i="15"/>
  <c r="AX129" i="15"/>
  <c r="AX130" i="15"/>
  <c r="AX131" i="15"/>
  <c r="AX132" i="15"/>
  <c r="AX133" i="15"/>
  <c r="AX134" i="15"/>
  <c r="AX135" i="15"/>
  <c r="AX136" i="15"/>
  <c r="AX137" i="15"/>
  <c r="AX138" i="15"/>
  <c r="AX147" i="15"/>
  <c r="AX148" i="15"/>
  <c r="AX149" i="15"/>
  <c r="AX150" i="15"/>
  <c r="AX151" i="15"/>
  <c r="AX152" i="15"/>
  <c r="AX153" i="15"/>
  <c r="AX154" i="15"/>
  <c r="AX155" i="15"/>
  <c r="AX156" i="15"/>
  <c r="AX157" i="15"/>
  <c r="AX158" i="15"/>
  <c r="AX159" i="15"/>
  <c r="AX160" i="15"/>
  <c r="AX161" i="15"/>
  <c r="AX162" i="15"/>
  <c r="AX163" i="15"/>
  <c r="AX164" i="15"/>
  <c r="AX165" i="15"/>
  <c r="AX166" i="15"/>
  <c r="AX167" i="15"/>
  <c r="AX168" i="15"/>
  <c r="AX169" i="15"/>
  <c r="AX170" i="15"/>
  <c r="AX171" i="15"/>
  <c r="AX172" i="15"/>
  <c r="AX173" i="15"/>
  <c r="AX174" i="15"/>
  <c r="AX175" i="15"/>
  <c r="AX176" i="15"/>
  <c r="AX177" i="15"/>
  <c r="AV4" i="15"/>
  <c r="AV5" i="15"/>
  <c r="AV6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8" i="15"/>
  <c r="AV39" i="15"/>
  <c r="AV40" i="15"/>
  <c r="AV41" i="15"/>
  <c r="AV42" i="15"/>
  <c r="AV43" i="15"/>
  <c r="AV44" i="15"/>
  <c r="AV45" i="15"/>
  <c r="AV46" i="15"/>
  <c r="AV47" i="15"/>
  <c r="AV48" i="15"/>
  <c r="AV49" i="15"/>
  <c r="AV50" i="15"/>
  <c r="AV51" i="15"/>
  <c r="AV52" i="15"/>
  <c r="AV53" i="15"/>
  <c r="AV54" i="15"/>
  <c r="AV55" i="15"/>
  <c r="AV56" i="15"/>
  <c r="AV57" i="15"/>
  <c r="AV58" i="15"/>
  <c r="AV59" i="15"/>
  <c r="AV60" i="15"/>
  <c r="AV61" i="15"/>
  <c r="AV73" i="15"/>
  <c r="AV74" i="15"/>
  <c r="AV75" i="15"/>
  <c r="AV76" i="15"/>
  <c r="AV77" i="15"/>
  <c r="AV78" i="15"/>
  <c r="AV79" i="15"/>
  <c r="AV80" i="15"/>
  <c r="AV81" i="15"/>
  <c r="AV82" i="15"/>
  <c r="AV83" i="15"/>
  <c r="AV84" i="15"/>
  <c r="AV85" i="15"/>
  <c r="AV86" i="15"/>
  <c r="AV87" i="15"/>
  <c r="AV88" i="15"/>
  <c r="AV89" i="15"/>
  <c r="AV90" i="15"/>
  <c r="AV91" i="15"/>
  <c r="AV92" i="15"/>
  <c r="AV93" i="15"/>
  <c r="AV94" i="15"/>
  <c r="AV95" i="15"/>
  <c r="AV96" i="15"/>
  <c r="AV97" i="15"/>
  <c r="AV98" i="15"/>
  <c r="AV99" i="15"/>
  <c r="AV100" i="15"/>
  <c r="AV101" i="15"/>
  <c r="AV102" i="15"/>
  <c r="AV103" i="15"/>
  <c r="AV104" i="15"/>
  <c r="AV105" i="15"/>
  <c r="AV106" i="15"/>
  <c r="AV107" i="15"/>
  <c r="AV108" i="15"/>
  <c r="AV109" i="15"/>
  <c r="AV110" i="15"/>
  <c r="AV111" i="15"/>
  <c r="AV112" i="15"/>
  <c r="AV113" i="15"/>
  <c r="AV114" i="15"/>
  <c r="AV115" i="15"/>
  <c r="AV116" i="15"/>
  <c r="AV117" i="15"/>
  <c r="AV118" i="15"/>
  <c r="AV119" i="15"/>
  <c r="AV120" i="15"/>
  <c r="AV121" i="15"/>
  <c r="AV122" i="15"/>
  <c r="AV123" i="15"/>
  <c r="AV124" i="15"/>
  <c r="AV125" i="15"/>
  <c r="AV126" i="15"/>
  <c r="AV127" i="15"/>
  <c r="AV128" i="15"/>
  <c r="AV129" i="15"/>
  <c r="AV130" i="15"/>
  <c r="AV131" i="15"/>
  <c r="AV132" i="15"/>
  <c r="AV133" i="15"/>
  <c r="AV134" i="15"/>
  <c r="AV135" i="15"/>
  <c r="AV136" i="15"/>
  <c r="AV137" i="15"/>
  <c r="AV138" i="15"/>
  <c r="AV147" i="15"/>
  <c r="AV148" i="15"/>
  <c r="AV149" i="15"/>
  <c r="AV150" i="15"/>
  <c r="AV151" i="15"/>
  <c r="AV152" i="15"/>
  <c r="AV153" i="15"/>
  <c r="AV154" i="15"/>
  <c r="AV155" i="15"/>
  <c r="AV156" i="15"/>
  <c r="AV157" i="15"/>
  <c r="AV158" i="15"/>
  <c r="AV159" i="15"/>
  <c r="AV160" i="15"/>
  <c r="AV161" i="15"/>
  <c r="AV162" i="15"/>
  <c r="AV163" i="15"/>
  <c r="AV164" i="15"/>
  <c r="AV165" i="15"/>
  <c r="AV166" i="15"/>
  <c r="AV167" i="15"/>
  <c r="AV168" i="15"/>
  <c r="AV169" i="15"/>
  <c r="AV170" i="15"/>
  <c r="AV171" i="15"/>
  <c r="AV172" i="15"/>
  <c r="AV173" i="15"/>
  <c r="AV174" i="15"/>
  <c r="AV175" i="15"/>
  <c r="AV176" i="15"/>
  <c r="AV177" i="15"/>
  <c r="AT4" i="15"/>
  <c r="AT5" i="15"/>
  <c r="AT6" i="15"/>
  <c r="AT7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38" i="15"/>
  <c r="AT39" i="15"/>
  <c r="AT40" i="15"/>
  <c r="AT41" i="15"/>
  <c r="AT42" i="15"/>
  <c r="AT43" i="15"/>
  <c r="AT44" i="15"/>
  <c r="AT45" i="15"/>
  <c r="AT46" i="15"/>
  <c r="AT47" i="15"/>
  <c r="AT48" i="15"/>
  <c r="AT49" i="15"/>
  <c r="AT50" i="15"/>
  <c r="AT51" i="15"/>
  <c r="AT52" i="15"/>
  <c r="AT53" i="15"/>
  <c r="AT54" i="15"/>
  <c r="AT55" i="15"/>
  <c r="AT56" i="15"/>
  <c r="AT57" i="15"/>
  <c r="AT58" i="15"/>
  <c r="AT59" i="15"/>
  <c r="AT60" i="15"/>
  <c r="AT61" i="15"/>
  <c r="AT73" i="15"/>
  <c r="AT74" i="15"/>
  <c r="AT75" i="15"/>
  <c r="AT76" i="15"/>
  <c r="AT77" i="15"/>
  <c r="AT78" i="15"/>
  <c r="AT79" i="15"/>
  <c r="AT80" i="15"/>
  <c r="AT81" i="15"/>
  <c r="AT82" i="15"/>
  <c r="AT83" i="15"/>
  <c r="AT84" i="15"/>
  <c r="AT85" i="15"/>
  <c r="AT86" i="15"/>
  <c r="AT87" i="15"/>
  <c r="AT88" i="15"/>
  <c r="AT89" i="15"/>
  <c r="AT90" i="15"/>
  <c r="AT91" i="15"/>
  <c r="AT92" i="15"/>
  <c r="AT93" i="15"/>
  <c r="AT94" i="15"/>
  <c r="AT95" i="15"/>
  <c r="AT96" i="15"/>
  <c r="AT97" i="15"/>
  <c r="AT98" i="15"/>
  <c r="AT99" i="15"/>
  <c r="AT100" i="15"/>
  <c r="AT101" i="15"/>
  <c r="AT102" i="15"/>
  <c r="AT103" i="15"/>
  <c r="AT104" i="15"/>
  <c r="AT105" i="15"/>
  <c r="AT106" i="15"/>
  <c r="AT107" i="15"/>
  <c r="AT108" i="15"/>
  <c r="AT109" i="15"/>
  <c r="AT110" i="15"/>
  <c r="AT111" i="15"/>
  <c r="AT112" i="15"/>
  <c r="AT113" i="15"/>
  <c r="AT114" i="15"/>
  <c r="AT115" i="15"/>
  <c r="AT116" i="15"/>
  <c r="AT117" i="15"/>
  <c r="AT118" i="15"/>
  <c r="AT119" i="15"/>
  <c r="AT120" i="15"/>
  <c r="AT121" i="15"/>
  <c r="AT122" i="15"/>
  <c r="AT123" i="15"/>
  <c r="AT124" i="15"/>
  <c r="AT125" i="15"/>
  <c r="AT126" i="15"/>
  <c r="AT127" i="15"/>
  <c r="AT128" i="15"/>
  <c r="AT129" i="15"/>
  <c r="AT130" i="15"/>
  <c r="AT131" i="15"/>
  <c r="AT132" i="15"/>
  <c r="AT133" i="15"/>
  <c r="AT134" i="15"/>
  <c r="AT135" i="15"/>
  <c r="AT136" i="15"/>
  <c r="AT137" i="15"/>
  <c r="AT138" i="15"/>
  <c r="AT147" i="15"/>
  <c r="AT148" i="15"/>
  <c r="AT149" i="15"/>
  <c r="AT150" i="15"/>
  <c r="AT151" i="15"/>
  <c r="AT152" i="15"/>
  <c r="AT153" i="15"/>
  <c r="AT154" i="15"/>
  <c r="AT155" i="15"/>
  <c r="AT156" i="15"/>
  <c r="AT157" i="15"/>
  <c r="AT158" i="15"/>
  <c r="AT159" i="15"/>
  <c r="AT160" i="15"/>
  <c r="AT161" i="15"/>
  <c r="AT162" i="15"/>
  <c r="AT163" i="15"/>
  <c r="AT164" i="15"/>
  <c r="AT165" i="15"/>
  <c r="AT166" i="15"/>
  <c r="AT167" i="15"/>
  <c r="AT168" i="15"/>
  <c r="AT169" i="15"/>
  <c r="AT170" i="15"/>
  <c r="AT171" i="15"/>
  <c r="AT172" i="15"/>
  <c r="AT173" i="15"/>
  <c r="AT174" i="15"/>
  <c r="AT175" i="15"/>
  <c r="AT176" i="15"/>
  <c r="AT177" i="15"/>
  <c r="AR4" i="15"/>
  <c r="AR5" i="15"/>
  <c r="AR6" i="15"/>
  <c r="AR7" i="15"/>
  <c r="AR8" i="15"/>
  <c r="AR9" i="15"/>
  <c r="AR10" i="15"/>
  <c r="AR11" i="15"/>
  <c r="AR12" i="15"/>
  <c r="AR13" i="15"/>
  <c r="AR14" i="15"/>
  <c r="AR15" i="15"/>
  <c r="AR16" i="15"/>
  <c r="AR17" i="15"/>
  <c r="AR18" i="15"/>
  <c r="AR19" i="15"/>
  <c r="AR20" i="15"/>
  <c r="AR21" i="15"/>
  <c r="AR22" i="15"/>
  <c r="AR23" i="15"/>
  <c r="AR24" i="15"/>
  <c r="AR25" i="15"/>
  <c r="AR26" i="15"/>
  <c r="AR27" i="15"/>
  <c r="AR28" i="15"/>
  <c r="AR29" i="15"/>
  <c r="AR30" i="15"/>
  <c r="AR31" i="15"/>
  <c r="AR32" i="15"/>
  <c r="AR33" i="15"/>
  <c r="AR34" i="15"/>
  <c r="AR35" i="15"/>
  <c r="AR36" i="15"/>
  <c r="AR37" i="15"/>
  <c r="AR38" i="15"/>
  <c r="AR39" i="15"/>
  <c r="AR40" i="15"/>
  <c r="AR41" i="15"/>
  <c r="AR42" i="15"/>
  <c r="AR43" i="15"/>
  <c r="AR44" i="15"/>
  <c r="AR45" i="15"/>
  <c r="AR46" i="15"/>
  <c r="AR47" i="15"/>
  <c r="AR48" i="15"/>
  <c r="AR49" i="15"/>
  <c r="AR50" i="15"/>
  <c r="AR51" i="15"/>
  <c r="AR52" i="15"/>
  <c r="AR53" i="15"/>
  <c r="AR54" i="15"/>
  <c r="AR55" i="15"/>
  <c r="AR56" i="15"/>
  <c r="AR57" i="15"/>
  <c r="AR58" i="15"/>
  <c r="AR59" i="15"/>
  <c r="AR60" i="15"/>
  <c r="AR61" i="15"/>
  <c r="AR73" i="15"/>
  <c r="AR74" i="15"/>
  <c r="AR75" i="15"/>
  <c r="AR76" i="15"/>
  <c r="AR77" i="15"/>
  <c r="AR78" i="15"/>
  <c r="AR79" i="15"/>
  <c r="AR80" i="15"/>
  <c r="AR81" i="15"/>
  <c r="AR82" i="15"/>
  <c r="AR83" i="15"/>
  <c r="AR84" i="15"/>
  <c r="AR85" i="15"/>
  <c r="AR86" i="15"/>
  <c r="AR87" i="15"/>
  <c r="AR88" i="15"/>
  <c r="AR89" i="15"/>
  <c r="AR90" i="15"/>
  <c r="AR91" i="15"/>
  <c r="AR92" i="15"/>
  <c r="AR93" i="15"/>
  <c r="AR94" i="15"/>
  <c r="AR95" i="15"/>
  <c r="AR96" i="15"/>
  <c r="AR97" i="15"/>
  <c r="AR98" i="15"/>
  <c r="AR99" i="15"/>
  <c r="AR100" i="15"/>
  <c r="AR101" i="15"/>
  <c r="AR102" i="15"/>
  <c r="AR103" i="15"/>
  <c r="AR104" i="15"/>
  <c r="AR105" i="15"/>
  <c r="AR106" i="15"/>
  <c r="AR107" i="15"/>
  <c r="AR108" i="15"/>
  <c r="AR109" i="15"/>
  <c r="AR110" i="15"/>
  <c r="AR111" i="15"/>
  <c r="AR112" i="15"/>
  <c r="AR113" i="15"/>
  <c r="AR114" i="15"/>
  <c r="AR115" i="15"/>
  <c r="AR116" i="15"/>
  <c r="AR117" i="15"/>
  <c r="AR118" i="15"/>
  <c r="AR119" i="15"/>
  <c r="AR120" i="15"/>
  <c r="AR121" i="15"/>
  <c r="AR122" i="15"/>
  <c r="AR123" i="15"/>
  <c r="AR124" i="15"/>
  <c r="AR125" i="15"/>
  <c r="AR126" i="15"/>
  <c r="AR127" i="15"/>
  <c r="AR128" i="15"/>
  <c r="AR129" i="15"/>
  <c r="AR130" i="15"/>
  <c r="AR131" i="15"/>
  <c r="AR132" i="15"/>
  <c r="AR133" i="15"/>
  <c r="AR134" i="15"/>
  <c r="AR135" i="15"/>
  <c r="AR136" i="15"/>
  <c r="AR137" i="15"/>
  <c r="AR138" i="15"/>
  <c r="AR147" i="15"/>
  <c r="AR148" i="15"/>
  <c r="AR149" i="15"/>
  <c r="AR150" i="15"/>
  <c r="AR151" i="15"/>
  <c r="AR152" i="15"/>
  <c r="AR153" i="15"/>
  <c r="AR154" i="15"/>
  <c r="AR155" i="15"/>
  <c r="AR156" i="15"/>
  <c r="AR157" i="15"/>
  <c r="AR158" i="15"/>
  <c r="AR159" i="15"/>
  <c r="AR160" i="15"/>
  <c r="AR161" i="15"/>
  <c r="AR162" i="15"/>
  <c r="AR163" i="15"/>
  <c r="AR164" i="15"/>
  <c r="AR165" i="15"/>
  <c r="AR166" i="15"/>
  <c r="AR167" i="15"/>
  <c r="AR168" i="15"/>
  <c r="AR169" i="15"/>
  <c r="AR170" i="15"/>
  <c r="AR171" i="15"/>
  <c r="AR172" i="15"/>
  <c r="AR173" i="15"/>
  <c r="AR174" i="15"/>
  <c r="AR175" i="15"/>
  <c r="AR176" i="15"/>
  <c r="AR177" i="15"/>
  <c r="AP4" i="15"/>
  <c r="AP5" i="15"/>
  <c r="AP6" i="15"/>
  <c r="AP7" i="15"/>
  <c r="AP8" i="15"/>
  <c r="AP9" i="15"/>
  <c r="AP10" i="15"/>
  <c r="AP11" i="15"/>
  <c r="AP12" i="15"/>
  <c r="AP13" i="15"/>
  <c r="AP14" i="15"/>
  <c r="AP15" i="15"/>
  <c r="AP16" i="15"/>
  <c r="AP17" i="15"/>
  <c r="AP18" i="15"/>
  <c r="AP19" i="15"/>
  <c r="AP20" i="15"/>
  <c r="AP21" i="15"/>
  <c r="AP22" i="15"/>
  <c r="AP23" i="15"/>
  <c r="AP24" i="15"/>
  <c r="AP25" i="15"/>
  <c r="AP26" i="15"/>
  <c r="AP27" i="15"/>
  <c r="AP28" i="15"/>
  <c r="AP29" i="15"/>
  <c r="AP30" i="15"/>
  <c r="AP31" i="15"/>
  <c r="AP32" i="15"/>
  <c r="AP33" i="15"/>
  <c r="AP34" i="15"/>
  <c r="AP35" i="15"/>
  <c r="AP36" i="15"/>
  <c r="AP37" i="15"/>
  <c r="AP38" i="15"/>
  <c r="AP39" i="15"/>
  <c r="AP40" i="15"/>
  <c r="AP41" i="15"/>
  <c r="AP42" i="15"/>
  <c r="AP43" i="15"/>
  <c r="AP44" i="15"/>
  <c r="AP45" i="15"/>
  <c r="AP46" i="15"/>
  <c r="AP47" i="15"/>
  <c r="AP48" i="15"/>
  <c r="AP49" i="15"/>
  <c r="AP50" i="15"/>
  <c r="AP51" i="15"/>
  <c r="AP52" i="15"/>
  <c r="AP53" i="15"/>
  <c r="AP54" i="15"/>
  <c r="AP55" i="15"/>
  <c r="AP56" i="15"/>
  <c r="AP57" i="15"/>
  <c r="AP58" i="15"/>
  <c r="AP59" i="15"/>
  <c r="AP60" i="15"/>
  <c r="AP61" i="15"/>
  <c r="AP73" i="15"/>
  <c r="AP74" i="15"/>
  <c r="AP75" i="15"/>
  <c r="AP76" i="15"/>
  <c r="AP77" i="15"/>
  <c r="AP78" i="15"/>
  <c r="AP79" i="15"/>
  <c r="AP80" i="15"/>
  <c r="AP81" i="15"/>
  <c r="AP82" i="15"/>
  <c r="AP83" i="15"/>
  <c r="AP84" i="15"/>
  <c r="AP85" i="15"/>
  <c r="AP86" i="15"/>
  <c r="AP87" i="15"/>
  <c r="AP88" i="15"/>
  <c r="AP89" i="15"/>
  <c r="AP90" i="15"/>
  <c r="AP91" i="15"/>
  <c r="AP92" i="15"/>
  <c r="AP93" i="15"/>
  <c r="AP94" i="15"/>
  <c r="AP95" i="15"/>
  <c r="AP96" i="15"/>
  <c r="AP97" i="15"/>
  <c r="AP98" i="15"/>
  <c r="AP99" i="15"/>
  <c r="AP100" i="15"/>
  <c r="AP101" i="15"/>
  <c r="AP102" i="15"/>
  <c r="AP103" i="15"/>
  <c r="AP104" i="15"/>
  <c r="AP105" i="15"/>
  <c r="AP106" i="15"/>
  <c r="AP107" i="15"/>
  <c r="AP108" i="15"/>
  <c r="AP109" i="15"/>
  <c r="AP110" i="15"/>
  <c r="AP111" i="15"/>
  <c r="AP112" i="15"/>
  <c r="AP113" i="15"/>
  <c r="AP114" i="15"/>
  <c r="AP115" i="15"/>
  <c r="AP116" i="15"/>
  <c r="AP117" i="15"/>
  <c r="AP118" i="15"/>
  <c r="AP119" i="15"/>
  <c r="AP120" i="15"/>
  <c r="AP121" i="15"/>
  <c r="AP122" i="15"/>
  <c r="AP123" i="15"/>
  <c r="AP124" i="15"/>
  <c r="AP125" i="15"/>
  <c r="AP126" i="15"/>
  <c r="AP127" i="15"/>
  <c r="AP128" i="15"/>
  <c r="AP129" i="15"/>
  <c r="AP130" i="15"/>
  <c r="AP131" i="15"/>
  <c r="AP132" i="15"/>
  <c r="AP133" i="15"/>
  <c r="AP134" i="15"/>
  <c r="AP135" i="15"/>
  <c r="AP136" i="15"/>
  <c r="AP137" i="15"/>
  <c r="AP138" i="15"/>
  <c r="AP147" i="15"/>
  <c r="AP148" i="15"/>
  <c r="AP149" i="15"/>
  <c r="AP150" i="15"/>
  <c r="AP151" i="15"/>
  <c r="AP152" i="15"/>
  <c r="AP153" i="15"/>
  <c r="AP154" i="15"/>
  <c r="AP155" i="15"/>
  <c r="AP156" i="15"/>
  <c r="AP157" i="15"/>
  <c r="AP158" i="15"/>
  <c r="AP159" i="15"/>
  <c r="AP160" i="15"/>
  <c r="AP161" i="15"/>
  <c r="AP162" i="15"/>
  <c r="AP163" i="15"/>
  <c r="AP164" i="15"/>
  <c r="AP165" i="15"/>
  <c r="AP166" i="15"/>
  <c r="AP167" i="15"/>
  <c r="AP168" i="15"/>
  <c r="AP169" i="15"/>
  <c r="AP170" i="15"/>
  <c r="AP171" i="15"/>
  <c r="AP172" i="15"/>
  <c r="AP173" i="15"/>
  <c r="AP174" i="15"/>
  <c r="AP175" i="15"/>
  <c r="AP176" i="15"/>
  <c r="AP177" i="15"/>
  <c r="D127" i="11" l="1"/>
  <c r="F127" i="11"/>
  <c r="E127" i="11"/>
  <c r="D23" i="11"/>
  <c r="E58" i="11"/>
  <c r="F93" i="11"/>
  <c r="F75" i="11"/>
  <c r="F86" i="11"/>
  <c r="D40" i="11"/>
  <c r="D51" i="11"/>
  <c r="D58" i="11"/>
  <c r="E75" i="11"/>
  <c r="E86" i="11"/>
  <c r="E93" i="11"/>
  <c r="F120" i="11"/>
  <c r="F109" i="11"/>
  <c r="F5" i="11"/>
  <c r="F16" i="11"/>
  <c r="F23" i="11"/>
  <c r="D75" i="11"/>
  <c r="D86" i="11"/>
  <c r="D93" i="11"/>
  <c r="E120" i="11"/>
  <c r="E109" i="11"/>
  <c r="D5" i="11"/>
  <c r="D16" i="11"/>
  <c r="E51" i="11"/>
  <c r="E40" i="11"/>
  <c r="E5" i="11"/>
  <c r="E16" i="11"/>
  <c r="E23" i="11"/>
  <c r="F51" i="11"/>
  <c r="F40" i="11"/>
  <c r="F58" i="11"/>
  <c r="D120" i="11"/>
  <c r="D109" i="11"/>
  <c r="F27" i="10"/>
  <c r="F26" i="10"/>
  <c r="G23" i="11" l="1"/>
  <c r="G93" i="11"/>
  <c r="G86" i="11"/>
  <c r="G120" i="11"/>
  <c r="G16" i="11"/>
  <c r="G49" i="11"/>
  <c r="D94" i="11" l="1"/>
  <c r="F89" i="11"/>
  <c r="D122" i="11"/>
  <c r="E80" i="11"/>
  <c r="F10" i="11"/>
  <c r="E113" i="11"/>
  <c r="E79" i="11"/>
  <c r="F44" i="11"/>
  <c r="F9" i="11"/>
  <c r="E117" i="11"/>
  <c r="F48" i="11"/>
  <c r="E82" i="11"/>
  <c r="E47" i="11"/>
  <c r="E78" i="11"/>
  <c r="F43" i="11"/>
  <c r="E43" i="11"/>
  <c r="F111" i="11"/>
  <c r="D111" i="11"/>
  <c r="F77" i="11"/>
  <c r="F7" i="11"/>
  <c r="E7" i="11"/>
  <c r="F110" i="11"/>
  <c r="F76" i="11"/>
  <c r="D41" i="11"/>
  <c r="F6" i="11"/>
  <c r="E6" i="11"/>
  <c r="BL3" i="15"/>
  <c r="BJ3" i="15"/>
  <c r="BH3" i="15"/>
  <c r="BF3" i="15"/>
  <c r="BD3" i="15"/>
  <c r="BB3" i="15"/>
  <c r="AZ3" i="15"/>
  <c r="AX3" i="15"/>
  <c r="AV3" i="15"/>
  <c r="AT3" i="15"/>
  <c r="AR3" i="15"/>
  <c r="AP3" i="15"/>
  <c r="F47" i="11" l="1"/>
  <c r="E45" i="11"/>
  <c r="D42" i="11"/>
  <c r="F12" i="11"/>
  <c r="E116" i="11"/>
  <c r="E111" i="11"/>
  <c r="G111" i="11" s="1"/>
  <c r="F45" i="11"/>
  <c r="E110" i="11"/>
  <c r="D78" i="11"/>
  <c r="D82" i="11"/>
  <c r="D7" i="11"/>
  <c r="G7" i="11" s="1"/>
  <c r="F15" i="11"/>
  <c r="E42" i="11"/>
  <c r="F78" i="11"/>
  <c r="D12" i="11"/>
  <c r="F82" i="11"/>
  <c r="F83" i="11"/>
  <c r="D9" i="11"/>
  <c r="F79" i="11"/>
  <c r="D10" i="11"/>
  <c r="F80" i="11"/>
  <c r="D21" i="11"/>
  <c r="D24" i="11"/>
  <c r="E41" i="11"/>
  <c r="F41" i="11"/>
  <c r="F42" i="11"/>
  <c r="E8" i="11"/>
  <c r="D112" i="11"/>
  <c r="E12" i="11"/>
  <c r="D116" i="11"/>
  <c r="E21" i="11"/>
  <c r="D6" i="11"/>
  <c r="G6" i="11" s="1"/>
  <c r="D110" i="11"/>
  <c r="D8" i="11"/>
  <c r="D77" i="11"/>
  <c r="F8" i="11"/>
  <c r="E112" i="11"/>
  <c r="F21" i="11"/>
  <c r="F24" i="11"/>
  <c r="D76" i="11"/>
  <c r="E76" i="11"/>
  <c r="E77" i="11"/>
  <c r="D43" i="11"/>
  <c r="G43" i="11" s="1"/>
  <c r="F112" i="11"/>
  <c r="D47" i="11"/>
  <c r="F116" i="11"/>
  <c r="F117" i="11"/>
  <c r="D44" i="11"/>
  <c r="F113" i="11"/>
  <c r="D45" i="11"/>
  <c r="F114" i="11"/>
  <c r="D50" i="11"/>
  <c r="F119" i="11"/>
  <c r="E89" i="11"/>
  <c r="D56" i="11"/>
  <c r="D59" i="11"/>
  <c r="G127" i="11"/>
  <c r="E119" i="11"/>
  <c r="E124" i="11"/>
  <c r="E125" i="11"/>
  <c r="F88" i="11"/>
  <c r="F90" i="11"/>
  <c r="F91" i="11"/>
  <c r="E94" i="11"/>
  <c r="E85" i="11"/>
  <c r="F59" i="11"/>
  <c r="F50" i="11"/>
  <c r="E50" i="11"/>
  <c r="E59" i="11"/>
  <c r="E24" i="11"/>
  <c r="F122" i="11"/>
  <c r="F85" i="11"/>
  <c r="F92" i="11"/>
  <c r="BL1" i="15"/>
  <c r="E25" i="10" s="1"/>
  <c r="F124" i="11"/>
  <c r="F125" i="11"/>
  <c r="F126" i="11"/>
  <c r="F128" i="11"/>
  <c r="E114" i="11"/>
  <c r="E126" i="11"/>
  <c r="E128" i="11"/>
  <c r="BH1" i="15"/>
  <c r="C25" i="10" s="1"/>
  <c r="D124" i="11"/>
  <c r="D125" i="11"/>
  <c r="D126" i="11"/>
  <c r="F94" i="11"/>
  <c r="D89" i="11"/>
  <c r="F54" i="11"/>
  <c r="E54" i="11"/>
  <c r="D54" i="11"/>
  <c r="D19" i="11"/>
  <c r="E121" i="11"/>
  <c r="E115" i="11"/>
  <c r="F121" i="11"/>
  <c r="F115" i="11"/>
  <c r="E44" i="11"/>
  <c r="BF1" i="15"/>
  <c r="E18" i="10" s="1"/>
  <c r="E55" i="11"/>
  <c r="E56" i="11"/>
  <c r="E19" i="11"/>
  <c r="D123" i="11"/>
  <c r="F56" i="11"/>
  <c r="D79" i="11"/>
  <c r="G79" i="11" s="1"/>
  <c r="D85" i="11"/>
  <c r="BJ1" i="15"/>
  <c r="D25" i="10" s="1"/>
  <c r="E122" i="11"/>
  <c r="F19" i="11"/>
  <c r="E123" i="11"/>
  <c r="D90" i="11"/>
  <c r="D91" i="11"/>
  <c r="D83" i="11"/>
  <c r="D80" i="11"/>
  <c r="F123" i="11"/>
  <c r="E90" i="11"/>
  <c r="E91" i="11"/>
  <c r="F81" i="11"/>
  <c r="F87" i="11"/>
  <c r="D117" i="11"/>
  <c r="E9" i="11"/>
  <c r="D113" i="11"/>
  <c r="E10" i="11"/>
  <c r="D114" i="11"/>
  <c r="D121" i="11"/>
  <c r="D115" i="11"/>
  <c r="E15" i="11"/>
  <c r="D119" i="11"/>
  <c r="E20" i="11"/>
  <c r="D128" i="11"/>
  <c r="F20" i="11"/>
  <c r="D55" i="11"/>
  <c r="E18" i="11"/>
  <c r="D53" i="11"/>
  <c r="D18" i="11"/>
  <c r="D88" i="11"/>
  <c r="G58" i="11"/>
  <c r="D15" i="11"/>
  <c r="E92" i="11"/>
  <c r="D92" i="11"/>
  <c r="F57" i="11"/>
  <c r="E57" i="11"/>
  <c r="D57" i="11"/>
  <c r="E22" i="11"/>
  <c r="F22" i="11"/>
  <c r="D22" i="11"/>
  <c r="F55" i="11"/>
  <c r="D20" i="11"/>
  <c r="E88" i="11"/>
  <c r="F53" i="11"/>
  <c r="E53" i="11"/>
  <c r="F18" i="11"/>
  <c r="E81" i="11"/>
  <c r="E87" i="11"/>
  <c r="D81" i="11"/>
  <c r="D87" i="11"/>
  <c r="F52" i="11"/>
  <c r="F46" i="11"/>
  <c r="E46" i="11"/>
  <c r="E52" i="11"/>
  <c r="D52" i="11"/>
  <c r="D46" i="11"/>
  <c r="F17" i="11"/>
  <c r="F11" i="11"/>
  <c r="E11" i="11"/>
  <c r="E17" i="11"/>
  <c r="D11" i="11"/>
  <c r="D17" i="11"/>
  <c r="D13" i="11"/>
  <c r="BD1" i="15"/>
  <c r="D18" i="10" s="1"/>
  <c r="E83" i="11"/>
  <c r="AX1" i="15"/>
  <c r="D11" i="10" s="1"/>
  <c r="E48" i="11"/>
  <c r="AV1" i="15"/>
  <c r="C11" i="10" s="1"/>
  <c r="D48" i="11"/>
  <c r="AT1" i="15"/>
  <c r="E4" i="10" s="1"/>
  <c r="F13" i="11"/>
  <c r="AR1" i="15"/>
  <c r="D4" i="10" s="1"/>
  <c r="E13" i="11"/>
  <c r="BB1" i="15"/>
  <c r="C18" i="10" s="1"/>
  <c r="AP1" i="15"/>
  <c r="C4" i="10" s="1"/>
  <c r="AZ1" i="15"/>
  <c r="E11" i="10" s="1"/>
  <c r="G124" i="11" l="1"/>
  <c r="G125" i="11"/>
  <c r="G122" i="11"/>
  <c r="G78" i="11"/>
  <c r="G88" i="11"/>
  <c r="G82" i="11"/>
  <c r="G76" i="11"/>
  <c r="G11" i="11"/>
  <c r="G119" i="11"/>
  <c r="G81" i="11"/>
  <c r="E31" i="11"/>
  <c r="F31" i="11"/>
  <c r="G22" i="11"/>
  <c r="G15" i="11"/>
  <c r="G80" i="11"/>
  <c r="G94" i="11"/>
  <c r="G89" i="11"/>
  <c r="G110" i="11"/>
  <c r="G10" i="11"/>
  <c r="G117" i="11"/>
  <c r="G18" i="11"/>
  <c r="G126" i="11"/>
  <c r="G115" i="11"/>
  <c r="G116" i="11"/>
  <c r="G24" i="11"/>
  <c r="G12" i="11"/>
  <c r="G128" i="11"/>
  <c r="G90" i="11"/>
  <c r="G121" i="11"/>
  <c r="G19" i="11"/>
  <c r="G21" i="11"/>
  <c r="G13" i="11"/>
  <c r="G17" i="11"/>
  <c r="G91" i="11"/>
  <c r="G123" i="11"/>
  <c r="G87" i="11"/>
  <c r="G20" i="11"/>
  <c r="G92" i="11"/>
  <c r="G114" i="11"/>
  <c r="G77" i="11"/>
  <c r="G112" i="11"/>
  <c r="G113" i="11"/>
  <c r="G85" i="11"/>
  <c r="G8" i="11"/>
  <c r="G83" i="11"/>
  <c r="G9" i="11"/>
  <c r="G41" i="11"/>
  <c r="G47" i="11"/>
  <c r="G45" i="11"/>
  <c r="G50" i="11"/>
  <c r="G44" i="11"/>
  <c r="G42" i="11"/>
  <c r="G59" i="11"/>
  <c r="G56" i="11"/>
  <c r="G54" i="11"/>
  <c r="F101" i="11"/>
  <c r="G55" i="11"/>
  <c r="G53" i="11"/>
  <c r="F135" i="11"/>
  <c r="E135" i="11"/>
  <c r="G109" i="11"/>
  <c r="D135" i="11"/>
  <c r="G57" i="11"/>
  <c r="G75" i="11"/>
  <c r="F66" i="11"/>
  <c r="G40" i="11"/>
  <c r="G51" i="11"/>
  <c r="G5" i="11"/>
  <c r="D31" i="11"/>
  <c r="E101" i="11"/>
  <c r="D101" i="11"/>
  <c r="E66" i="11"/>
  <c r="G46" i="11"/>
  <c r="G52" i="11"/>
  <c r="D66" i="11"/>
  <c r="G48" i="11"/>
  <c r="G135" i="11" l="1"/>
  <c r="G139" i="11" s="1"/>
  <c r="G129" i="11"/>
  <c r="G95" i="11"/>
  <c r="G101" i="11"/>
  <c r="G105" i="11" s="1"/>
  <c r="G31" i="11"/>
  <c r="G35" i="11" s="1"/>
  <c r="G60" i="11"/>
  <c r="G66" i="11"/>
  <c r="G70" i="11" s="1"/>
  <c r="G25" i="11"/>
  <c r="G122" i="14" l="1"/>
  <c r="G87" i="14"/>
  <c r="G51" i="14"/>
  <c r="G24" i="14"/>
  <c r="G15" i="14"/>
  <c r="BK4" i="13" l="1"/>
  <c r="BK5" i="13"/>
  <c r="BK6" i="13"/>
  <c r="BK7" i="13"/>
  <c r="BK8" i="13"/>
  <c r="BK9" i="13"/>
  <c r="BK10" i="13"/>
  <c r="BK11" i="13"/>
  <c r="BK12" i="13"/>
  <c r="BK13" i="13"/>
  <c r="BK14" i="13"/>
  <c r="BK15" i="13"/>
  <c r="BK16" i="13"/>
  <c r="BK17" i="13"/>
  <c r="BK18" i="13"/>
  <c r="BK19" i="13"/>
  <c r="BK20" i="13"/>
  <c r="BK21" i="13"/>
  <c r="BK22" i="13"/>
  <c r="BK23" i="13"/>
  <c r="BK24" i="13"/>
  <c r="BK25" i="13"/>
  <c r="BK26" i="13"/>
  <c r="BK27" i="13"/>
  <c r="BK28" i="13"/>
  <c r="BK29" i="13"/>
  <c r="BK30" i="13"/>
  <c r="BK31" i="13"/>
  <c r="BK32" i="13"/>
  <c r="BK33" i="13"/>
  <c r="BK34" i="13"/>
  <c r="BK35" i="13"/>
  <c r="BK36" i="13"/>
  <c r="BK37" i="13"/>
  <c r="BK38" i="13"/>
  <c r="BK39" i="13"/>
  <c r="BK40" i="13"/>
  <c r="BK41" i="13"/>
  <c r="BK42" i="13"/>
  <c r="BK43" i="13"/>
  <c r="BK44" i="13"/>
  <c r="BK45" i="13"/>
  <c r="BK46" i="13"/>
  <c r="BK47" i="13"/>
  <c r="BK48" i="13"/>
  <c r="BK49" i="13"/>
  <c r="BK50" i="13"/>
  <c r="BK51" i="13"/>
  <c r="BK52" i="13"/>
  <c r="BK53" i="13"/>
  <c r="BK54" i="13"/>
  <c r="BK55" i="13"/>
  <c r="BK56" i="13"/>
  <c r="BK57" i="13"/>
  <c r="BK58" i="13"/>
  <c r="BK59" i="13"/>
  <c r="BK60" i="13"/>
  <c r="BK61" i="13"/>
  <c r="BK62" i="13"/>
  <c r="BK63" i="13"/>
  <c r="BK64" i="13"/>
  <c r="BK65" i="13"/>
  <c r="BK66" i="13"/>
  <c r="BK67" i="13"/>
  <c r="BK68" i="13"/>
  <c r="BK69" i="13"/>
  <c r="BK70" i="13"/>
  <c r="BK71" i="13"/>
  <c r="BK72" i="13"/>
  <c r="BK73" i="13"/>
  <c r="BK74" i="13"/>
  <c r="BK75" i="13"/>
  <c r="BK76" i="13"/>
  <c r="BK77" i="13"/>
  <c r="BK78" i="13"/>
  <c r="BK79" i="13"/>
  <c r="BK80" i="13"/>
  <c r="BK81" i="13"/>
  <c r="BK82" i="13"/>
  <c r="BK83" i="13"/>
  <c r="BK84" i="13"/>
  <c r="BK85" i="13"/>
  <c r="BK86" i="13"/>
  <c r="BK87" i="13"/>
  <c r="BK88" i="13"/>
  <c r="BK89" i="13"/>
  <c r="BK90" i="13"/>
  <c r="BK91" i="13"/>
  <c r="BK92" i="13"/>
  <c r="BK93" i="13"/>
  <c r="BK94" i="13"/>
  <c r="BK95" i="13"/>
  <c r="BK96" i="13"/>
  <c r="BK97" i="13"/>
  <c r="BK98" i="13"/>
  <c r="BK99" i="13"/>
  <c r="BK100" i="13"/>
  <c r="BK101" i="13"/>
  <c r="BK102" i="13"/>
  <c r="BK103" i="13"/>
  <c r="BK104" i="13"/>
  <c r="BK105" i="13"/>
  <c r="BK106" i="13"/>
  <c r="BK107" i="13"/>
  <c r="BK108" i="13"/>
  <c r="BK109" i="13"/>
  <c r="BK110" i="13"/>
  <c r="BK111" i="13"/>
  <c r="BK112" i="13"/>
  <c r="BK113" i="13"/>
  <c r="BK114" i="13"/>
  <c r="BK115" i="13"/>
  <c r="BK116" i="13"/>
  <c r="BK117" i="13"/>
  <c r="BK118" i="13"/>
  <c r="BK119" i="13"/>
  <c r="BK120" i="13"/>
  <c r="BK121" i="13"/>
  <c r="BK122" i="13"/>
  <c r="BK123" i="13"/>
  <c r="BK124" i="13"/>
  <c r="BK125" i="13"/>
  <c r="BK126" i="13"/>
  <c r="BK127" i="13"/>
  <c r="BK128" i="13"/>
  <c r="BK129" i="13"/>
  <c r="BK130" i="13"/>
  <c r="BK131" i="13"/>
  <c r="BK132" i="13"/>
  <c r="BK133" i="13"/>
  <c r="BK134" i="13"/>
  <c r="BK135" i="13"/>
  <c r="BK136" i="13"/>
  <c r="BK137" i="13"/>
  <c r="BK138" i="13"/>
  <c r="BK139" i="13"/>
  <c r="BK140" i="13"/>
  <c r="BK141" i="13"/>
  <c r="BK142" i="13"/>
  <c r="BK143" i="13"/>
  <c r="BK144" i="13"/>
  <c r="BK145" i="13"/>
  <c r="BK146" i="13"/>
  <c r="BK147" i="13"/>
  <c r="BK148" i="13"/>
  <c r="BK149" i="13"/>
  <c r="BK150" i="13"/>
  <c r="BK151" i="13"/>
  <c r="BK152" i="13"/>
  <c r="BK153" i="13"/>
  <c r="BK154" i="13"/>
  <c r="BK155" i="13"/>
  <c r="BK156" i="13"/>
  <c r="BK157" i="13"/>
  <c r="BK158" i="13"/>
  <c r="BK159" i="13"/>
  <c r="BK160" i="13"/>
  <c r="BK161" i="13"/>
  <c r="BK162" i="13"/>
  <c r="BK163" i="13"/>
  <c r="BK164" i="13"/>
  <c r="BK165" i="13"/>
  <c r="BK166" i="13"/>
  <c r="BK167" i="13"/>
  <c r="BK168" i="13"/>
  <c r="BK169" i="13"/>
  <c r="BK170" i="13"/>
  <c r="BK171" i="13"/>
  <c r="BK172" i="13"/>
  <c r="BK173" i="13"/>
  <c r="BK174" i="13"/>
  <c r="BK175" i="13"/>
  <c r="BK176" i="13"/>
  <c r="BK177" i="13"/>
  <c r="BK178" i="13"/>
  <c r="BK179" i="13"/>
  <c r="BK180" i="13"/>
  <c r="BK181" i="13"/>
  <c r="BK182" i="13"/>
  <c r="BK183" i="13"/>
  <c r="BK184" i="13"/>
  <c r="BK185" i="13"/>
  <c r="BK186" i="13"/>
  <c r="BK187" i="13"/>
  <c r="BK188" i="13"/>
  <c r="BK189" i="13"/>
  <c r="BK190" i="13"/>
  <c r="BK191" i="13"/>
  <c r="BK192" i="13"/>
  <c r="BK193" i="13"/>
  <c r="BK194" i="13"/>
  <c r="BK195" i="13"/>
  <c r="BK196" i="13"/>
  <c r="BK197" i="13"/>
  <c r="BK198" i="13"/>
  <c r="BK199" i="13"/>
  <c r="BK200" i="13"/>
  <c r="BK201" i="13"/>
  <c r="BK202" i="13"/>
  <c r="BK203" i="13"/>
  <c r="BK204" i="13"/>
  <c r="BK205" i="13"/>
  <c r="BK206" i="13"/>
  <c r="BK207" i="13"/>
  <c r="BK208" i="13"/>
  <c r="BK209" i="13"/>
  <c r="BK210" i="13"/>
  <c r="BK211" i="13"/>
  <c r="BK212" i="13"/>
  <c r="BK213" i="13"/>
  <c r="BK214" i="13"/>
  <c r="BK215" i="13"/>
  <c r="BK216" i="13"/>
  <c r="BK217" i="13"/>
  <c r="BK218" i="13"/>
  <c r="BK219" i="13"/>
  <c r="BK220" i="13"/>
  <c r="BK221" i="13"/>
  <c r="BK222" i="13"/>
  <c r="BK223" i="13"/>
  <c r="BK224" i="13"/>
  <c r="BK225" i="13"/>
  <c r="BK226" i="13"/>
  <c r="BK227" i="13"/>
  <c r="BK228" i="13"/>
  <c r="BK229" i="13"/>
  <c r="BK230" i="13"/>
  <c r="BK231" i="13"/>
  <c r="BK232" i="13"/>
  <c r="BK233" i="13"/>
  <c r="BK234" i="13"/>
  <c r="BK235" i="13"/>
  <c r="BK236" i="13"/>
  <c r="BK237" i="13"/>
  <c r="BK238" i="13"/>
  <c r="BK239" i="13"/>
  <c r="BK240" i="13"/>
  <c r="BK241" i="13"/>
  <c r="BK3" i="13"/>
  <c r="BI4" i="13"/>
  <c r="BI5" i="13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27" i="13"/>
  <c r="BI28" i="13"/>
  <c r="BI29" i="13"/>
  <c r="BI30" i="13"/>
  <c r="BI31" i="13"/>
  <c r="BI32" i="13"/>
  <c r="BI33" i="13"/>
  <c r="BI34" i="13"/>
  <c r="BI35" i="13"/>
  <c r="BI36" i="13"/>
  <c r="BI37" i="13"/>
  <c r="BI38" i="13"/>
  <c r="BI39" i="13"/>
  <c r="BI40" i="13"/>
  <c r="BI41" i="13"/>
  <c r="BI42" i="13"/>
  <c r="BI43" i="13"/>
  <c r="BI44" i="13"/>
  <c r="BI45" i="13"/>
  <c r="BI46" i="13"/>
  <c r="BI47" i="13"/>
  <c r="BI48" i="13"/>
  <c r="BI49" i="13"/>
  <c r="BI50" i="13"/>
  <c r="BI51" i="13"/>
  <c r="BI52" i="13"/>
  <c r="BI53" i="13"/>
  <c r="BI54" i="13"/>
  <c r="BI55" i="13"/>
  <c r="BI56" i="13"/>
  <c r="BI57" i="13"/>
  <c r="BI58" i="13"/>
  <c r="BI59" i="13"/>
  <c r="BI60" i="13"/>
  <c r="BI61" i="13"/>
  <c r="BI62" i="13"/>
  <c r="BI63" i="13"/>
  <c r="BI64" i="13"/>
  <c r="BI65" i="13"/>
  <c r="BI66" i="13"/>
  <c r="BI67" i="13"/>
  <c r="BI68" i="13"/>
  <c r="BI69" i="13"/>
  <c r="BI70" i="13"/>
  <c r="BI71" i="13"/>
  <c r="BI72" i="13"/>
  <c r="BI73" i="13"/>
  <c r="BI74" i="13"/>
  <c r="BI75" i="13"/>
  <c r="BI76" i="13"/>
  <c r="BI77" i="13"/>
  <c r="BI78" i="13"/>
  <c r="BI79" i="13"/>
  <c r="BI80" i="13"/>
  <c r="BI81" i="13"/>
  <c r="BI82" i="13"/>
  <c r="BI83" i="13"/>
  <c r="BI84" i="13"/>
  <c r="BI85" i="13"/>
  <c r="BI86" i="13"/>
  <c r="BI87" i="13"/>
  <c r="BI88" i="13"/>
  <c r="BI89" i="13"/>
  <c r="BI90" i="13"/>
  <c r="BI91" i="13"/>
  <c r="BI92" i="13"/>
  <c r="BI93" i="13"/>
  <c r="BI94" i="13"/>
  <c r="BI95" i="13"/>
  <c r="BI96" i="13"/>
  <c r="BI97" i="13"/>
  <c r="BI98" i="13"/>
  <c r="BI99" i="13"/>
  <c r="BI100" i="13"/>
  <c r="BI101" i="13"/>
  <c r="BI102" i="13"/>
  <c r="BI103" i="13"/>
  <c r="BI104" i="13"/>
  <c r="BI105" i="13"/>
  <c r="BI106" i="13"/>
  <c r="BI107" i="13"/>
  <c r="BI108" i="13"/>
  <c r="BI109" i="13"/>
  <c r="BI110" i="13"/>
  <c r="BI111" i="13"/>
  <c r="BI112" i="13"/>
  <c r="BI113" i="13"/>
  <c r="BI114" i="13"/>
  <c r="BI115" i="13"/>
  <c r="BI116" i="13"/>
  <c r="BI117" i="13"/>
  <c r="BI118" i="13"/>
  <c r="BI119" i="13"/>
  <c r="BI120" i="13"/>
  <c r="BI121" i="13"/>
  <c r="BI122" i="13"/>
  <c r="BI123" i="13"/>
  <c r="BI124" i="13"/>
  <c r="BI125" i="13"/>
  <c r="BI126" i="13"/>
  <c r="BI127" i="13"/>
  <c r="BI128" i="13"/>
  <c r="BI129" i="13"/>
  <c r="BI130" i="13"/>
  <c r="BI131" i="13"/>
  <c r="BI132" i="13"/>
  <c r="BI133" i="13"/>
  <c r="BI134" i="13"/>
  <c r="BI135" i="13"/>
  <c r="BI136" i="13"/>
  <c r="BI137" i="13"/>
  <c r="BI138" i="13"/>
  <c r="BI139" i="13"/>
  <c r="BI140" i="13"/>
  <c r="BI141" i="13"/>
  <c r="BI142" i="13"/>
  <c r="BI143" i="13"/>
  <c r="BI144" i="13"/>
  <c r="BI145" i="13"/>
  <c r="BI146" i="13"/>
  <c r="BI147" i="13"/>
  <c r="BI148" i="13"/>
  <c r="BI149" i="13"/>
  <c r="BI150" i="13"/>
  <c r="BI151" i="13"/>
  <c r="BI152" i="13"/>
  <c r="BI153" i="13"/>
  <c r="BI154" i="13"/>
  <c r="BI155" i="13"/>
  <c r="BI156" i="13"/>
  <c r="BI157" i="13"/>
  <c r="BI158" i="13"/>
  <c r="BI159" i="13"/>
  <c r="BI160" i="13"/>
  <c r="BI161" i="13"/>
  <c r="BI162" i="13"/>
  <c r="BI163" i="13"/>
  <c r="BI164" i="13"/>
  <c r="BI165" i="13"/>
  <c r="BI166" i="13"/>
  <c r="BI167" i="13"/>
  <c r="BI168" i="13"/>
  <c r="BI169" i="13"/>
  <c r="BI170" i="13"/>
  <c r="BI171" i="13"/>
  <c r="BI172" i="13"/>
  <c r="BI173" i="13"/>
  <c r="BI174" i="13"/>
  <c r="BI175" i="13"/>
  <c r="BI176" i="13"/>
  <c r="BI177" i="13"/>
  <c r="BI178" i="13"/>
  <c r="BI179" i="13"/>
  <c r="BI180" i="13"/>
  <c r="BI181" i="13"/>
  <c r="BI182" i="13"/>
  <c r="BI183" i="13"/>
  <c r="BI184" i="13"/>
  <c r="BI185" i="13"/>
  <c r="BI186" i="13"/>
  <c r="BI187" i="13"/>
  <c r="BI188" i="13"/>
  <c r="BI189" i="13"/>
  <c r="BI190" i="13"/>
  <c r="BI191" i="13"/>
  <c r="BI192" i="13"/>
  <c r="BI193" i="13"/>
  <c r="BI194" i="13"/>
  <c r="BI195" i="13"/>
  <c r="BI196" i="13"/>
  <c r="BI197" i="13"/>
  <c r="BI198" i="13"/>
  <c r="BI199" i="13"/>
  <c r="BI200" i="13"/>
  <c r="BI201" i="13"/>
  <c r="BI202" i="13"/>
  <c r="BI203" i="13"/>
  <c r="BI204" i="13"/>
  <c r="BI205" i="13"/>
  <c r="BI206" i="13"/>
  <c r="BI207" i="13"/>
  <c r="BI208" i="13"/>
  <c r="BI209" i="13"/>
  <c r="BI210" i="13"/>
  <c r="BI211" i="13"/>
  <c r="BI212" i="13"/>
  <c r="BI213" i="13"/>
  <c r="BI214" i="13"/>
  <c r="BI215" i="13"/>
  <c r="BI216" i="13"/>
  <c r="BI217" i="13"/>
  <c r="BI218" i="13"/>
  <c r="BI219" i="13"/>
  <c r="BI220" i="13"/>
  <c r="BI221" i="13"/>
  <c r="BI222" i="13"/>
  <c r="BI223" i="13"/>
  <c r="BI224" i="13"/>
  <c r="BI225" i="13"/>
  <c r="BI226" i="13"/>
  <c r="BI227" i="13"/>
  <c r="BI228" i="13"/>
  <c r="BI229" i="13"/>
  <c r="BI230" i="13"/>
  <c r="BI231" i="13"/>
  <c r="BI232" i="13"/>
  <c r="BI233" i="13"/>
  <c r="BI234" i="13"/>
  <c r="BI235" i="13"/>
  <c r="BI236" i="13"/>
  <c r="BI237" i="13"/>
  <c r="BI238" i="13"/>
  <c r="BI239" i="13"/>
  <c r="BI240" i="13"/>
  <c r="BI241" i="13"/>
  <c r="BI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7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G103" i="13"/>
  <c r="BG104" i="13"/>
  <c r="BG105" i="13"/>
  <c r="BG106" i="13"/>
  <c r="BG107" i="13"/>
  <c r="BG108" i="13"/>
  <c r="BG109" i="13"/>
  <c r="BG110" i="13"/>
  <c r="BG111" i="13"/>
  <c r="BG112" i="13"/>
  <c r="BG113" i="13"/>
  <c r="BG114" i="13"/>
  <c r="BG115" i="13"/>
  <c r="BG116" i="13"/>
  <c r="BG117" i="13"/>
  <c r="BG118" i="13"/>
  <c r="BG119" i="13"/>
  <c r="BG120" i="13"/>
  <c r="BG121" i="13"/>
  <c r="BG122" i="13"/>
  <c r="BG123" i="13"/>
  <c r="BG124" i="13"/>
  <c r="BG125" i="13"/>
  <c r="BG126" i="13"/>
  <c r="BG127" i="13"/>
  <c r="BG128" i="13"/>
  <c r="BG129" i="13"/>
  <c r="BG130" i="13"/>
  <c r="BG131" i="13"/>
  <c r="BG132" i="13"/>
  <c r="BG133" i="13"/>
  <c r="BG134" i="13"/>
  <c r="BG135" i="13"/>
  <c r="BG136" i="13"/>
  <c r="BG137" i="13"/>
  <c r="BG138" i="13"/>
  <c r="BG139" i="13"/>
  <c r="BG140" i="13"/>
  <c r="BG141" i="13"/>
  <c r="BG142" i="13"/>
  <c r="BG143" i="13"/>
  <c r="BG144" i="13"/>
  <c r="BG145" i="13"/>
  <c r="BG146" i="13"/>
  <c r="BG147" i="13"/>
  <c r="BG148" i="13"/>
  <c r="BG149" i="13"/>
  <c r="BG150" i="13"/>
  <c r="BG151" i="13"/>
  <c r="BG152" i="13"/>
  <c r="BG153" i="13"/>
  <c r="BG154" i="13"/>
  <c r="BG155" i="13"/>
  <c r="BG156" i="13"/>
  <c r="BG157" i="13"/>
  <c r="BG158" i="13"/>
  <c r="BG159" i="13"/>
  <c r="BG160" i="13"/>
  <c r="BG161" i="13"/>
  <c r="BG162" i="13"/>
  <c r="BG163" i="13"/>
  <c r="BG164" i="13"/>
  <c r="BG165" i="13"/>
  <c r="BG166" i="13"/>
  <c r="BG167" i="13"/>
  <c r="BG168" i="13"/>
  <c r="BG169" i="13"/>
  <c r="BG170" i="13"/>
  <c r="BG171" i="13"/>
  <c r="BG172" i="13"/>
  <c r="BG173" i="13"/>
  <c r="BG174" i="13"/>
  <c r="BG175" i="13"/>
  <c r="BG176" i="13"/>
  <c r="BG177" i="13"/>
  <c r="BG178" i="13"/>
  <c r="BG179" i="13"/>
  <c r="BG180" i="13"/>
  <c r="BG181" i="13"/>
  <c r="BG182" i="13"/>
  <c r="BG183" i="13"/>
  <c r="BG184" i="13"/>
  <c r="BG185" i="13"/>
  <c r="BG186" i="13"/>
  <c r="BG187" i="13"/>
  <c r="BG188" i="13"/>
  <c r="BG189" i="13"/>
  <c r="BG190" i="13"/>
  <c r="BG191" i="13"/>
  <c r="BG192" i="13"/>
  <c r="BG193" i="13"/>
  <c r="BG194" i="13"/>
  <c r="BG195" i="13"/>
  <c r="BG196" i="13"/>
  <c r="BG197" i="13"/>
  <c r="BG198" i="13"/>
  <c r="BG199" i="13"/>
  <c r="BG200" i="13"/>
  <c r="BG201" i="13"/>
  <c r="BG202" i="13"/>
  <c r="BG203" i="13"/>
  <c r="BG204" i="13"/>
  <c r="BG205" i="13"/>
  <c r="BG206" i="13"/>
  <c r="BG207" i="13"/>
  <c r="BG208" i="13"/>
  <c r="BG209" i="13"/>
  <c r="BG210" i="13"/>
  <c r="BG211" i="13"/>
  <c r="BG212" i="13"/>
  <c r="BG213" i="13"/>
  <c r="BG214" i="13"/>
  <c r="BG215" i="13"/>
  <c r="BG216" i="13"/>
  <c r="BG217" i="13"/>
  <c r="BG218" i="13"/>
  <c r="BG219" i="13"/>
  <c r="BG220" i="13"/>
  <c r="BG221" i="13"/>
  <c r="BG222" i="13"/>
  <c r="BG223" i="13"/>
  <c r="BG224" i="13"/>
  <c r="BG225" i="13"/>
  <c r="BG226" i="13"/>
  <c r="BG227" i="13"/>
  <c r="BG228" i="13"/>
  <c r="BG229" i="13"/>
  <c r="BG230" i="13"/>
  <c r="BG231" i="13"/>
  <c r="BG232" i="13"/>
  <c r="BG233" i="13"/>
  <c r="BG234" i="13"/>
  <c r="BG235" i="13"/>
  <c r="BG236" i="13"/>
  <c r="BG237" i="13"/>
  <c r="BG238" i="13"/>
  <c r="BG239" i="13"/>
  <c r="BG240" i="13"/>
  <c r="BG241" i="13"/>
  <c r="BG3" i="13"/>
  <c r="BE4" i="13"/>
  <c r="BE5" i="13"/>
  <c r="BE6" i="13"/>
  <c r="BE7" i="13"/>
  <c r="BE8" i="13"/>
  <c r="BE9" i="13"/>
  <c r="BE10" i="13"/>
  <c r="BE11" i="13"/>
  <c r="BE12" i="13"/>
  <c r="BE13" i="13"/>
  <c r="BE14" i="13"/>
  <c r="BE15" i="13"/>
  <c r="BE16" i="13"/>
  <c r="BE17" i="13"/>
  <c r="BE18" i="13"/>
  <c r="BE19" i="13"/>
  <c r="BE20" i="13"/>
  <c r="BE21" i="13"/>
  <c r="BE22" i="13"/>
  <c r="BE23" i="13"/>
  <c r="BE24" i="13"/>
  <c r="BE25" i="13"/>
  <c r="BE26" i="13"/>
  <c r="BE27" i="13"/>
  <c r="BE28" i="13"/>
  <c r="BE29" i="13"/>
  <c r="BE30" i="13"/>
  <c r="BE31" i="13"/>
  <c r="BE32" i="13"/>
  <c r="BE33" i="13"/>
  <c r="BE34" i="13"/>
  <c r="BE35" i="13"/>
  <c r="BE36" i="13"/>
  <c r="BE37" i="13"/>
  <c r="BE38" i="13"/>
  <c r="BE39" i="13"/>
  <c r="BE40" i="13"/>
  <c r="BE41" i="13"/>
  <c r="BE42" i="13"/>
  <c r="BE43" i="13"/>
  <c r="BE44" i="13"/>
  <c r="BE45" i="13"/>
  <c r="BE46" i="13"/>
  <c r="BE47" i="13"/>
  <c r="BE48" i="13"/>
  <c r="BE49" i="13"/>
  <c r="BE50" i="13"/>
  <c r="BE51" i="13"/>
  <c r="BE52" i="13"/>
  <c r="BE53" i="13"/>
  <c r="BE54" i="13"/>
  <c r="BE55" i="13"/>
  <c r="BE56" i="13"/>
  <c r="BE57" i="13"/>
  <c r="BE58" i="13"/>
  <c r="BE59" i="13"/>
  <c r="BE60" i="13"/>
  <c r="BE61" i="13"/>
  <c r="BE62" i="13"/>
  <c r="BE63" i="13"/>
  <c r="BE64" i="13"/>
  <c r="BE65" i="13"/>
  <c r="BE66" i="13"/>
  <c r="BE67" i="13"/>
  <c r="BE68" i="13"/>
  <c r="BE69" i="13"/>
  <c r="BE70" i="13"/>
  <c r="BE71" i="13"/>
  <c r="BE72" i="13"/>
  <c r="BE73" i="13"/>
  <c r="BE74" i="13"/>
  <c r="BE75" i="13"/>
  <c r="BE76" i="13"/>
  <c r="BE77" i="13"/>
  <c r="BE78" i="13"/>
  <c r="BE79" i="13"/>
  <c r="BE80" i="13"/>
  <c r="BE81" i="13"/>
  <c r="BE82" i="13"/>
  <c r="BE83" i="13"/>
  <c r="BE84" i="13"/>
  <c r="BE85" i="13"/>
  <c r="BE86" i="13"/>
  <c r="BE87" i="13"/>
  <c r="BE88" i="13"/>
  <c r="BE89" i="13"/>
  <c r="BE90" i="13"/>
  <c r="BE91" i="13"/>
  <c r="BE92" i="13"/>
  <c r="BE93" i="13"/>
  <c r="BE94" i="13"/>
  <c r="BE95" i="13"/>
  <c r="BE96" i="13"/>
  <c r="BE97" i="13"/>
  <c r="BE98" i="13"/>
  <c r="BE99" i="13"/>
  <c r="BE100" i="13"/>
  <c r="BE101" i="13"/>
  <c r="BE102" i="13"/>
  <c r="BE103" i="13"/>
  <c r="BE104" i="13"/>
  <c r="BE105" i="13"/>
  <c r="BE106" i="13"/>
  <c r="BE107" i="13"/>
  <c r="BE108" i="13"/>
  <c r="BE109" i="13"/>
  <c r="BE110" i="13"/>
  <c r="BE111" i="13"/>
  <c r="BE112" i="13"/>
  <c r="BE113" i="13"/>
  <c r="BE114" i="13"/>
  <c r="BE115" i="13"/>
  <c r="BE116" i="13"/>
  <c r="BE117" i="13"/>
  <c r="BE118" i="13"/>
  <c r="BE119" i="13"/>
  <c r="BE120" i="13"/>
  <c r="BE121" i="13"/>
  <c r="BE122" i="13"/>
  <c r="BE123" i="13"/>
  <c r="BE124" i="13"/>
  <c r="BE125" i="13"/>
  <c r="BE126" i="13"/>
  <c r="BE127" i="13"/>
  <c r="BE128" i="13"/>
  <c r="BE129" i="13"/>
  <c r="BE130" i="13"/>
  <c r="BE131" i="13"/>
  <c r="BE132" i="13"/>
  <c r="BE133" i="13"/>
  <c r="BE134" i="13"/>
  <c r="BE135" i="13"/>
  <c r="BE136" i="13"/>
  <c r="BE137" i="13"/>
  <c r="BE138" i="13"/>
  <c r="BE139" i="13"/>
  <c r="BE140" i="13"/>
  <c r="BE141" i="13"/>
  <c r="BE142" i="13"/>
  <c r="BE143" i="13"/>
  <c r="BE144" i="13"/>
  <c r="BE145" i="13"/>
  <c r="BE146" i="13"/>
  <c r="BE147" i="13"/>
  <c r="BE148" i="13"/>
  <c r="BE149" i="13"/>
  <c r="BE150" i="13"/>
  <c r="BE151" i="13"/>
  <c r="BE152" i="13"/>
  <c r="BE153" i="13"/>
  <c r="BE154" i="13"/>
  <c r="BE155" i="13"/>
  <c r="BE156" i="13"/>
  <c r="BE157" i="13"/>
  <c r="BE158" i="13"/>
  <c r="BE159" i="13"/>
  <c r="BE160" i="13"/>
  <c r="BE161" i="13"/>
  <c r="BE162" i="13"/>
  <c r="BE163" i="13"/>
  <c r="BE164" i="13"/>
  <c r="BE165" i="13"/>
  <c r="BE166" i="13"/>
  <c r="BE167" i="13"/>
  <c r="BE168" i="13"/>
  <c r="BE169" i="13"/>
  <c r="BE170" i="13"/>
  <c r="BE171" i="13"/>
  <c r="BE172" i="13"/>
  <c r="BE173" i="13"/>
  <c r="BE174" i="13"/>
  <c r="BE175" i="13"/>
  <c r="BE176" i="13"/>
  <c r="BE177" i="13"/>
  <c r="BE178" i="13"/>
  <c r="BE179" i="13"/>
  <c r="BE180" i="13"/>
  <c r="BE181" i="13"/>
  <c r="BE182" i="13"/>
  <c r="BE183" i="13"/>
  <c r="BE184" i="13"/>
  <c r="BE185" i="13"/>
  <c r="BE186" i="13"/>
  <c r="BE187" i="13"/>
  <c r="BE188" i="13"/>
  <c r="BE189" i="13"/>
  <c r="BE190" i="13"/>
  <c r="BE191" i="13"/>
  <c r="BE192" i="13"/>
  <c r="BE193" i="13"/>
  <c r="BE194" i="13"/>
  <c r="BE195" i="13"/>
  <c r="BE196" i="13"/>
  <c r="BE197" i="13"/>
  <c r="BE198" i="13"/>
  <c r="BE199" i="13"/>
  <c r="BE200" i="13"/>
  <c r="BE201" i="13"/>
  <c r="BE202" i="13"/>
  <c r="BE203" i="13"/>
  <c r="BE204" i="13"/>
  <c r="BE205" i="13"/>
  <c r="BE206" i="13"/>
  <c r="BE207" i="13"/>
  <c r="BE208" i="13"/>
  <c r="BE209" i="13"/>
  <c r="BE210" i="13"/>
  <c r="BE211" i="13"/>
  <c r="BE212" i="13"/>
  <c r="BE213" i="13"/>
  <c r="BE214" i="13"/>
  <c r="BE215" i="13"/>
  <c r="BE216" i="13"/>
  <c r="BE217" i="13"/>
  <c r="BE218" i="13"/>
  <c r="BE219" i="13"/>
  <c r="BE220" i="13"/>
  <c r="BE221" i="13"/>
  <c r="BE222" i="13"/>
  <c r="BE223" i="13"/>
  <c r="BE224" i="13"/>
  <c r="BE225" i="13"/>
  <c r="BE226" i="13"/>
  <c r="BE227" i="13"/>
  <c r="BE228" i="13"/>
  <c r="BE229" i="13"/>
  <c r="BE230" i="13"/>
  <c r="BE231" i="13"/>
  <c r="BE232" i="13"/>
  <c r="BE233" i="13"/>
  <c r="BE234" i="13"/>
  <c r="BE235" i="13"/>
  <c r="BE236" i="13"/>
  <c r="BE237" i="13"/>
  <c r="BE238" i="13"/>
  <c r="BE239" i="13"/>
  <c r="BE240" i="13"/>
  <c r="BE241" i="13"/>
  <c r="BE3" i="13"/>
  <c r="BC4" i="13"/>
  <c r="BC5" i="13"/>
  <c r="BC6" i="13"/>
  <c r="BC7" i="13"/>
  <c r="BC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E81" i="14" s="1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0" i="13"/>
  <c r="BC51" i="13"/>
  <c r="BC52" i="13"/>
  <c r="BC53" i="13"/>
  <c r="BC54" i="13"/>
  <c r="BC55" i="13"/>
  <c r="BC56" i="13"/>
  <c r="BC57" i="13"/>
  <c r="BC58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71" i="13"/>
  <c r="BC72" i="13"/>
  <c r="BC73" i="13"/>
  <c r="BC74" i="13"/>
  <c r="BC75" i="13"/>
  <c r="BC76" i="13"/>
  <c r="BC77" i="13"/>
  <c r="BC78" i="13"/>
  <c r="BC79" i="13"/>
  <c r="BC80" i="13"/>
  <c r="BC81" i="13"/>
  <c r="BC82" i="13"/>
  <c r="BC83" i="13"/>
  <c r="BC84" i="13"/>
  <c r="BC85" i="13"/>
  <c r="BC86" i="13"/>
  <c r="BC87" i="13"/>
  <c r="BC88" i="13"/>
  <c r="BC89" i="13"/>
  <c r="BC90" i="13"/>
  <c r="BC91" i="13"/>
  <c r="BC92" i="13"/>
  <c r="BC93" i="13"/>
  <c r="BC94" i="13"/>
  <c r="BC95" i="13"/>
  <c r="BC96" i="13"/>
  <c r="BC97" i="13"/>
  <c r="BC98" i="13"/>
  <c r="BC99" i="13"/>
  <c r="BC100" i="13"/>
  <c r="BC101" i="13"/>
  <c r="BC102" i="13"/>
  <c r="BC103" i="13"/>
  <c r="BC104" i="13"/>
  <c r="BC105" i="13"/>
  <c r="BC106" i="13"/>
  <c r="BC107" i="13"/>
  <c r="BC108" i="13"/>
  <c r="BC109" i="13"/>
  <c r="BC110" i="13"/>
  <c r="BC111" i="13"/>
  <c r="BC112" i="13"/>
  <c r="BC113" i="13"/>
  <c r="BC114" i="13"/>
  <c r="BC115" i="13"/>
  <c r="BC116" i="13"/>
  <c r="BC117" i="13"/>
  <c r="BC118" i="13"/>
  <c r="BC119" i="13"/>
  <c r="BC120" i="13"/>
  <c r="BC121" i="13"/>
  <c r="BC122" i="13"/>
  <c r="BC123" i="13"/>
  <c r="BC124" i="13"/>
  <c r="BC125" i="13"/>
  <c r="BC126" i="13"/>
  <c r="BC127" i="13"/>
  <c r="BC128" i="13"/>
  <c r="BC129" i="13"/>
  <c r="BC130" i="13"/>
  <c r="BC131" i="13"/>
  <c r="BC132" i="13"/>
  <c r="BC133" i="13"/>
  <c r="BC134" i="13"/>
  <c r="BC135" i="13"/>
  <c r="BC136" i="13"/>
  <c r="BC137" i="13"/>
  <c r="BC138" i="13"/>
  <c r="BC139" i="13"/>
  <c r="BC140" i="13"/>
  <c r="BC141" i="13"/>
  <c r="BC142" i="13"/>
  <c r="BC143" i="13"/>
  <c r="BC144" i="13"/>
  <c r="BC145" i="13"/>
  <c r="BC146" i="13"/>
  <c r="BC147" i="13"/>
  <c r="BC148" i="13"/>
  <c r="BC149" i="13"/>
  <c r="BC150" i="13"/>
  <c r="BC151" i="13"/>
  <c r="BC152" i="13"/>
  <c r="BC153" i="13"/>
  <c r="BC154" i="13"/>
  <c r="BC155" i="13"/>
  <c r="BC156" i="13"/>
  <c r="BC157" i="13"/>
  <c r="BC158" i="13"/>
  <c r="BC159" i="13"/>
  <c r="BC160" i="13"/>
  <c r="BC161" i="13"/>
  <c r="BC162" i="13"/>
  <c r="BC163" i="13"/>
  <c r="BC164" i="13"/>
  <c r="BC165" i="13"/>
  <c r="BC166" i="13"/>
  <c r="BC167" i="13"/>
  <c r="BC168" i="13"/>
  <c r="BC169" i="13"/>
  <c r="BC170" i="13"/>
  <c r="BC171" i="13"/>
  <c r="BC172" i="13"/>
  <c r="BC173" i="13"/>
  <c r="BC174" i="13"/>
  <c r="BC175" i="13"/>
  <c r="BC176" i="13"/>
  <c r="BC177" i="13"/>
  <c r="BC178" i="13"/>
  <c r="BC179" i="13"/>
  <c r="BC180" i="13"/>
  <c r="BC181" i="13"/>
  <c r="BC182" i="13"/>
  <c r="BC183" i="13"/>
  <c r="BC184" i="13"/>
  <c r="BC185" i="13"/>
  <c r="BC186" i="13"/>
  <c r="BC187" i="13"/>
  <c r="BC188" i="13"/>
  <c r="BC189" i="13"/>
  <c r="BC190" i="13"/>
  <c r="BC191" i="13"/>
  <c r="BC192" i="13"/>
  <c r="BC193" i="13"/>
  <c r="BC194" i="13"/>
  <c r="BC195" i="13"/>
  <c r="BC196" i="13"/>
  <c r="BC197" i="13"/>
  <c r="BC198" i="13"/>
  <c r="BC199" i="13"/>
  <c r="BC200" i="13"/>
  <c r="BC201" i="13"/>
  <c r="BC202" i="13"/>
  <c r="BC203" i="13"/>
  <c r="BC204" i="13"/>
  <c r="BC205" i="13"/>
  <c r="BC206" i="13"/>
  <c r="BC207" i="13"/>
  <c r="BC208" i="13"/>
  <c r="BC209" i="13"/>
  <c r="BC210" i="13"/>
  <c r="BC211" i="13"/>
  <c r="BC212" i="13"/>
  <c r="BC213" i="13"/>
  <c r="BC214" i="13"/>
  <c r="BC215" i="13"/>
  <c r="BC216" i="13"/>
  <c r="BC217" i="13"/>
  <c r="BC218" i="13"/>
  <c r="BC219" i="13"/>
  <c r="BC220" i="13"/>
  <c r="BC221" i="13"/>
  <c r="BC222" i="13"/>
  <c r="BC223" i="13"/>
  <c r="BC224" i="13"/>
  <c r="BC225" i="13"/>
  <c r="BC226" i="13"/>
  <c r="BC227" i="13"/>
  <c r="BC228" i="13"/>
  <c r="BC229" i="13"/>
  <c r="BC230" i="13"/>
  <c r="BC231" i="13"/>
  <c r="BC232" i="13"/>
  <c r="BC233" i="13"/>
  <c r="BC234" i="13"/>
  <c r="BC235" i="13"/>
  <c r="BC236" i="13"/>
  <c r="BC237" i="13"/>
  <c r="BC238" i="13"/>
  <c r="BC239" i="13"/>
  <c r="BC240" i="13"/>
  <c r="BC241" i="13"/>
  <c r="BC3" i="13"/>
  <c r="BA4" i="13"/>
  <c r="BA5" i="13"/>
  <c r="BA6" i="13"/>
  <c r="BA7" i="13"/>
  <c r="BA8" i="13"/>
  <c r="BA9" i="13"/>
  <c r="BA10" i="13"/>
  <c r="BA11" i="13"/>
  <c r="BA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0" i="13"/>
  <c r="BA51" i="13"/>
  <c r="BA52" i="13"/>
  <c r="BA53" i="13"/>
  <c r="BA54" i="13"/>
  <c r="BA55" i="13"/>
  <c r="BA56" i="13"/>
  <c r="BA57" i="13"/>
  <c r="BA58" i="13"/>
  <c r="BA59" i="13"/>
  <c r="BA60" i="13"/>
  <c r="BA61" i="13"/>
  <c r="BA62" i="13"/>
  <c r="BA63" i="13"/>
  <c r="BA64" i="13"/>
  <c r="BA65" i="13"/>
  <c r="BA66" i="13"/>
  <c r="BA67" i="13"/>
  <c r="BA68" i="13"/>
  <c r="BA69" i="13"/>
  <c r="BA70" i="13"/>
  <c r="BA71" i="13"/>
  <c r="BA72" i="13"/>
  <c r="BA73" i="13"/>
  <c r="BA74" i="13"/>
  <c r="BA75" i="13"/>
  <c r="BA76" i="13"/>
  <c r="BA77" i="13"/>
  <c r="BA78" i="13"/>
  <c r="BA79" i="13"/>
  <c r="BA80" i="13"/>
  <c r="BA81" i="13"/>
  <c r="BA82" i="13"/>
  <c r="BA83" i="13"/>
  <c r="BA84" i="13"/>
  <c r="BA85" i="13"/>
  <c r="BA86" i="13"/>
  <c r="BA87" i="13"/>
  <c r="BA88" i="13"/>
  <c r="BA89" i="13"/>
  <c r="BA90" i="13"/>
  <c r="BA91" i="13"/>
  <c r="BA92" i="13"/>
  <c r="BA93" i="13"/>
  <c r="BA94" i="13"/>
  <c r="BA95" i="13"/>
  <c r="BA96" i="13"/>
  <c r="BA97" i="13"/>
  <c r="BA98" i="13"/>
  <c r="BA99" i="13"/>
  <c r="BA100" i="13"/>
  <c r="BA101" i="13"/>
  <c r="BA102" i="13"/>
  <c r="BA103" i="13"/>
  <c r="BA104" i="13"/>
  <c r="BA105" i="13"/>
  <c r="BA106" i="13"/>
  <c r="BA107" i="13"/>
  <c r="BA108" i="13"/>
  <c r="BA109" i="13"/>
  <c r="BA110" i="13"/>
  <c r="BA111" i="13"/>
  <c r="BA112" i="13"/>
  <c r="BA113" i="13"/>
  <c r="BA114" i="13"/>
  <c r="BA115" i="13"/>
  <c r="BA116" i="13"/>
  <c r="BA117" i="13"/>
  <c r="BA118" i="13"/>
  <c r="BA119" i="13"/>
  <c r="BA120" i="13"/>
  <c r="BA121" i="13"/>
  <c r="BA122" i="13"/>
  <c r="BA123" i="13"/>
  <c r="BA124" i="13"/>
  <c r="BA125" i="13"/>
  <c r="BA126" i="13"/>
  <c r="BA127" i="13"/>
  <c r="BA128" i="13"/>
  <c r="BA129" i="13"/>
  <c r="BA130" i="13"/>
  <c r="BA131" i="13"/>
  <c r="BA132" i="13"/>
  <c r="BA133" i="13"/>
  <c r="BA134" i="13"/>
  <c r="BA135" i="13"/>
  <c r="BA136" i="13"/>
  <c r="BA137" i="13"/>
  <c r="BA138" i="13"/>
  <c r="BA139" i="13"/>
  <c r="BA140" i="13"/>
  <c r="BA141" i="13"/>
  <c r="BA142" i="13"/>
  <c r="BA143" i="13"/>
  <c r="BA144" i="13"/>
  <c r="BA145" i="13"/>
  <c r="BA146" i="13"/>
  <c r="BA147" i="13"/>
  <c r="BA148" i="13"/>
  <c r="BA149" i="13"/>
  <c r="BA150" i="13"/>
  <c r="BA151" i="13"/>
  <c r="BA152" i="13"/>
  <c r="BA153" i="13"/>
  <c r="BA154" i="13"/>
  <c r="BA155" i="13"/>
  <c r="BA156" i="13"/>
  <c r="BA157" i="13"/>
  <c r="BA158" i="13"/>
  <c r="BA159" i="13"/>
  <c r="BA160" i="13"/>
  <c r="BA161" i="13"/>
  <c r="BA162" i="13"/>
  <c r="BA163" i="13"/>
  <c r="BA164" i="13"/>
  <c r="BA165" i="13"/>
  <c r="BA166" i="13"/>
  <c r="BA167" i="13"/>
  <c r="BA168" i="13"/>
  <c r="BA169" i="13"/>
  <c r="BA170" i="13"/>
  <c r="BA171" i="13"/>
  <c r="BA172" i="13"/>
  <c r="BA173" i="13"/>
  <c r="BA174" i="13"/>
  <c r="BA175" i="13"/>
  <c r="BA176" i="13"/>
  <c r="BA177" i="13"/>
  <c r="BA178" i="13"/>
  <c r="BA179" i="13"/>
  <c r="BA180" i="13"/>
  <c r="BA181" i="13"/>
  <c r="BA182" i="13"/>
  <c r="BA183" i="13"/>
  <c r="BA184" i="13"/>
  <c r="BA185" i="13"/>
  <c r="BA186" i="13"/>
  <c r="BA187" i="13"/>
  <c r="BA188" i="13"/>
  <c r="BA189" i="13"/>
  <c r="BA190" i="13"/>
  <c r="BA191" i="13"/>
  <c r="BA192" i="13"/>
  <c r="BA193" i="13"/>
  <c r="BA194" i="13"/>
  <c r="BA195" i="13"/>
  <c r="BA196" i="13"/>
  <c r="BA197" i="13"/>
  <c r="BA198" i="13"/>
  <c r="BA199" i="13"/>
  <c r="BA200" i="13"/>
  <c r="BA201" i="13"/>
  <c r="BA202" i="13"/>
  <c r="BA203" i="13"/>
  <c r="BA204" i="13"/>
  <c r="BA205" i="13"/>
  <c r="BA206" i="13"/>
  <c r="BA207" i="13"/>
  <c r="BA208" i="13"/>
  <c r="BA209" i="13"/>
  <c r="BA210" i="13"/>
  <c r="BA211" i="13"/>
  <c r="BA212" i="13"/>
  <c r="BA213" i="13"/>
  <c r="BA214" i="13"/>
  <c r="BA215" i="13"/>
  <c r="BA216" i="13"/>
  <c r="BA217" i="13"/>
  <c r="BA218" i="13"/>
  <c r="BA219" i="13"/>
  <c r="BA220" i="13"/>
  <c r="BA221" i="13"/>
  <c r="BA222" i="13"/>
  <c r="BA223" i="13"/>
  <c r="BA224" i="13"/>
  <c r="BA225" i="13"/>
  <c r="BA226" i="13"/>
  <c r="BA227" i="13"/>
  <c r="BA228" i="13"/>
  <c r="BA229" i="13"/>
  <c r="BA230" i="13"/>
  <c r="BA231" i="13"/>
  <c r="BA232" i="13"/>
  <c r="BA233" i="13"/>
  <c r="BA234" i="13"/>
  <c r="BA235" i="13"/>
  <c r="BA236" i="13"/>
  <c r="BA237" i="13"/>
  <c r="BA238" i="13"/>
  <c r="BA239" i="13"/>
  <c r="BA240" i="13"/>
  <c r="BA241" i="13"/>
  <c r="BA3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F49" i="14" s="1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69" i="13"/>
  <c r="AY170" i="13"/>
  <c r="AY171" i="13"/>
  <c r="AY172" i="13"/>
  <c r="AY173" i="13"/>
  <c r="AY174" i="13"/>
  <c r="AY175" i="13"/>
  <c r="AY176" i="13"/>
  <c r="AY177" i="13"/>
  <c r="AY178" i="13"/>
  <c r="AY179" i="13"/>
  <c r="AY180" i="13"/>
  <c r="AY181" i="13"/>
  <c r="AY182" i="13"/>
  <c r="AY183" i="13"/>
  <c r="AY184" i="13"/>
  <c r="AY185" i="13"/>
  <c r="AY186" i="13"/>
  <c r="AY187" i="13"/>
  <c r="AY188" i="13"/>
  <c r="AY189" i="13"/>
  <c r="AY190" i="13"/>
  <c r="AY191" i="13"/>
  <c r="AY192" i="13"/>
  <c r="AY193" i="13"/>
  <c r="AY194" i="13"/>
  <c r="AY195" i="13"/>
  <c r="AY196" i="13"/>
  <c r="AY197" i="13"/>
  <c r="AY198" i="13"/>
  <c r="AY199" i="13"/>
  <c r="AY200" i="13"/>
  <c r="AY201" i="13"/>
  <c r="AY202" i="13"/>
  <c r="AY203" i="13"/>
  <c r="AY204" i="13"/>
  <c r="AY205" i="13"/>
  <c r="AY206" i="13"/>
  <c r="AY207" i="13"/>
  <c r="AY208" i="13"/>
  <c r="AY209" i="13"/>
  <c r="AY210" i="13"/>
  <c r="AY211" i="13"/>
  <c r="AY212" i="13"/>
  <c r="AY213" i="13"/>
  <c r="AY214" i="13"/>
  <c r="AY215" i="13"/>
  <c r="AY216" i="13"/>
  <c r="AY217" i="13"/>
  <c r="AY218" i="13"/>
  <c r="AY219" i="13"/>
  <c r="AY220" i="13"/>
  <c r="AY221" i="13"/>
  <c r="AY222" i="13"/>
  <c r="AY223" i="13"/>
  <c r="AY224" i="13"/>
  <c r="AY225" i="13"/>
  <c r="AY226" i="13"/>
  <c r="AY227" i="13"/>
  <c r="AY228" i="13"/>
  <c r="AY229" i="13"/>
  <c r="AY230" i="13"/>
  <c r="AY231" i="13"/>
  <c r="AY232" i="13"/>
  <c r="AY233" i="13"/>
  <c r="AY234" i="13"/>
  <c r="AY235" i="13"/>
  <c r="AY236" i="13"/>
  <c r="AY237" i="13"/>
  <c r="AY238" i="13"/>
  <c r="AY239" i="13"/>
  <c r="AY240" i="13"/>
  <c r="AY241" i="13"/>
  <c r="AY3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200" i="13"/>
  <c r="AW201" i="13"/>
  <c r="AW202" i="13"/>
  <c r="AW203" i="13"/>
  <c r="AW204" i="13"/>
  <c r="AW205" i="13"/>
  <c r="AW206" i="13"/>
  <c r="AW207" i="13"/>
  <c r="AW208" i="13"/>
  <c r="AW209" i="13"/>
  <c r="AW210" i="13"/>
  <c r="AW211" i="13"/>
  <c r="AW212" i="13"/>
  <c r="AW213" i="13"/>
  <c r="AW214" i="13"/>
  <c r="AW215" i="13"/>
  <c r="AW216" i="13"/>
  <c r="AW217" i="13"/>
  <c r="AW218" i="13"/>
  <c r="AW219" i="13"/>
  <c r="AW220" i="13"/>
  <c r="AW221" i="13"/>
  <c r="AW222" i="13"/>
  <c r="AW223" i="13"/>
  <c r="AW224" i="13"/>
  <c r="AW225" i="13"/>
  <c r="AW226" i="13"/>
  <c r="AW227" i="13"/>
  <c r="AW228" i="13"/>
  <c r="AW229" i="13"/>
  <c r="AW230" i="13"/>
  <c r="AW231" i="13"/>
  <c r="AW232" i="13"/>
  <c r="AW233" i="13"/>
  <c r="AW234" i="13"/>
  <c r="AW235" i="13"/>
  <c r="AW236" i="13"/>
  <c r="AW237" i="13"/>
  <c r="AW238" i="13"/>
  <c r="AW239" i="13"/>
  <c r="AW240" i="13"/>
  <c r="AW241" i="13"/>
  <c r="AW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D49" i="14" s="1"/>
  <c r="AU36" i="13"/>
  <c r="AU37" i="13"/>
  <c r="D50" i="14" s="1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U60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116" i="13"/>
  <c r="AU117" i="13"/>
  <c r="AU118" i="13"/>
  <c r="AU119" i="13"/>
  <c r="AU120" i="13"/>
  <c r="AU121" i="13"/>
  <c r="AU122" i="13"/>
  <c r="AU123" i="13"/>
  <c r="AU124" i="13"/>
  <c r="AU125" i="13"/>
  <c r="AU126" i="13"/>
  <c r="AU127" i="13"/>
  <c r="AU128" i="13"/>
  <c r="AU129" i="13"/>
  <c r="AU130" i="13"/>
  <c r="AU131" i="13"/>
  <c r="AU132" i="13"/>
  <c r="AU133" i="13"/>
  <c r="AU134" i="13"/>
  <c r="AU135" i="13"/>
  <c r="AU136" i="13"/>
  <c r="AU137" i="13"/>
  <c r="AU138" i="13"/>
  <c r="AU139" i="13"/>
  <c r="AU140" i="13"/>
  <c r="AU141" i="13"/>
  <c r="AU142" i="13"/>
  <c r="AU143" i="13"/>
  <c r="AU144" i="13"/>
  <c r="AU145" i="13"/>
  <c r="AU146" i="13"/>
  <c r="AU147" i="13"/>
  <c r="AU148" i="13"/>
  <c r="AU149" i="13"/>
  <c r="AU150" i="13"/>
  <c r="AU151" i="13"/>
  <c r="AU152" i="13"/>
  <c r="AU153" i="13"/>
  <c r="AU154" i="13"/>
  <c r="AU155" i="13"/>
  <c r="AU156" i="13"/>
  <c r="AU157" i="13"/>
  <c r="AU158" i="13"/>
  <c r="AU159" i="13"/>
  <c r="AU160" i="13"/>
  <c r="AU161" i="13"/>
  <c r="AU162" i="13"/>
  <c r="AU163" i="13"/>
  <c r="AU164" i="13"/>
  <c r="AU165" i="13"/>
  <c r="AU166" i="13"/>
  <c r="AU167" i="13"/>
  <c r="AU168" i="13"/>
  <c r="AU169" i="13"/>
  <c r="AU170" i="13"/>
  <c r="AU171" i="13"/>
  <c r="AU172" i="13"/>
  <c r="AU173" i="13"/>
  <c r="AU174" i="13"/>
  <c r="AU175" i="13"/>
  <c r="AU176" i="13"/>
  <c r="AU177" i="13"/>
  <c r="AU178" i="13"/>
  <c r="AU179" i="13"/>
  <c r="AU180" i="13"/>
  <c r="AU181" i="13"/>
  <c r="AU182" i="13"/>
  <c r="AU183" i="13"/>
  <c r="AU184" i="13"/>
  <c r="AU185" i="13"/>
  <c r="AU186" i="13"/>
  <c r="AU187" i="13"/>
  <c r="AU188" i="13"/>
  <c r="AU189" i="13"/>
  <c r="AU190" i="13"/>
  <c r="AU191" i="13"/>
  <c r="AU192" i="13"/>
  <c r="AU193" i="13"/>
  <c r="AU194" i="13"/>
  <c r="AU195" i="13"/>
  <c r="AU196" i="13"/>
  <c r="AU197" i="13"/>
  <c r="AU198" i="13"/>
  <c r="AU199" i="13"/>
  <c r="AU200" i="13"/>
  <c r="AU201" i="13"/>
  <c r="AU202" i="13"/>
  <c r="AU203" i="13"/>
  <c r="AU204" i="13"/>
  <c r="AU205" i="13"/>
  <c r="AU206" i="13"/>
  <c r="AU207" i="13"/>
  <c r="AU208" i="13"/>
  <c r="AU209" i="13"/>
  <c r="AU210" i="13"/>
  <c r="AU211" i="13"/>
  <c r="AU212" i="13"/>
  <c r="AU213" i="13"/>
  <c r="AU214" i="13"/>
  <c r="AU215" i="13"/>
  <c r="AU216" i="13"/>
  <c r="AU217" i="13"/>
  <c r="AU218" i="13"/>
  <c r="AU219" i="13"/>
  <c r="AU220" i="13"/>
  <c r="AU221" i="13"/>
  <c r="AU222" i="13"/>
  <c r="AU223" i="13"/>
  <c r="AU224" i="13"/>
  <c r="AU225" i="13"/>
  <c r="AU226" i="13"/>
  <c r="AU227" i="13"/>
  <c r="AU228" i="13"/>
  <c r="AU229" i="13"/>
  <c r="AU230" i="13"/>
  <c r="AU231" i="13"/>
  <c r="AU232" i="13"/>
  <c r="AU233" i="13"/>
  <c r="AU234" i="13"/>
  <c r="AU235" i="13"/>
  <c r="AU236" i="13"/>
  <c r="AU237" i="13"/>
  <c r="AU238" i="13"/>
  <c r="AU239" i="13"/>
  <c r="AU240" i="13"/>
  <c r="AU241" i="13"/>
  <c r="AU3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2" i="13"/>
  <c r="AS173" i="13"/>
  <c r="AS174" i="13"/>
  <c r="AS175" i="13"/>
  <c r="AS176" i="13"/>
  <c r="AS177" i="13"/>
  <c r="AS178" i="13"/>
  <c r="AS179" i="13"/>
  <c r="AS180" i="13"/>
  <c r="AS181" i="13"/>
  <c r="AS182" i="13"/>
  <c r="AS183" i="13"/>
  <c r="AS184" i="13"/>
  <c r="AS185" i="13"/>
  <c r="AS186" i="13"/>
  <c r="AS187" i="13"/>
  <c r="AS188" i="13"/>
  <c r="AS189" i="13"/>
  <c r="AS190" i="13"/>
  <c r="AS191" i="13"/>
  <c r="AS192" i="13"/>
  <c r="AS193" i="13"/>
  <c r="AS194" i="13"/>
  <c r="AS195" i="13"/>
  <c r="AS196" i="13"/>
  <c r="AS197" i="13"/>
  <c r="AS198" i="13"/>
  <c r="AS199" i="13"/>
  <c r="AS200" i="13"/>
  <c r="AS201" i="13"/>
  <c r="AS202" i="13"/>
  <c r="AS203" i="13"/>
  <c r="AS204" i="13"/>
  <c r="AS205" i="13"/>
  <c r="AS206" i="13"/>
  <c r="AS207" i="13"/>
  <c r="AS208" i="13"/>
  <c r="AS209" i="13"/>
  <c r="AS210" i="13"/>
  <c r="AS211" i="13"/>
  <c r="AS212" i="13"/>
  <c r="AS213" i="13"/>
  <c r="AS214" i="13"/>
  <c r="AS215" i="13"/>
  <c r="AS216" i="13"/>
  <c r="AS217" i="13"/>
  <c r="AS218" i="13"/>
  <c r="AS219" i="13"/>
  <c r="AS220" i="13"/>
  <c r="AS221" i="13"/>
  <c r="AS222" i="13"/>
  <c r="AS223" i="13"/>
  <c r="AS224" i="13"/>
  <c r="AS225" i="13"/>
  <c r="AS226" i="13"/>
  <c r="AS227" i="13"/>
  <c r="AS228" i="13"/>
  <c r="AS229" i="13"/>
  <c r="AS230" i="13"/>
  <c r="AS231" i="13"/>
  <c r="AS232" i="13"/>
  <c r="AS233" i="13"/>
  <c r="AS234" i="13"/>
  <c r="AS235" i="13"/>
  <c r="AS236" i="13"/>
  <c r="AS237" i="13"/>
  <c r="AS238" i="13"/>
  <c r="AS239" i="13"/>
  <c r="AS240" i="13"/>
  <c r="AS241" i="13"/>
  <c r="AS3" i="13"/>
  <c r="AQ4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E14" i="14" s="1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Q122" i="13"/>
  <c r="AQ123" i="13"/>
  <c r="AQ124" i="13"/>
  <c r="AQ125" i="13"/>
  <c r="AQ126" i="13"/>
  <c r="AQ127" i="13"/>
  <c r="AQ128" i="13"/>
  <c r="AQ129" i="13"/>
  <c r="AQ130" i="13"/>
  <c r="AQ131" i="13"/>
  <c r="AQ132" i="13"/>
  <c r="AQ133" i="13"/>
  <c r="AQ134" i="13"/>
  <c r="AQ135" i="13"/>
  <c r="AQ136" i="13"/>
  <c r="AQ137" i="13"/>
  <c r="AQ138" i="13"/>
  <c r="AQ139" i="13"/>
  <c r="AQ140" i="13"/>
  <c r="AQ141" i="13"/>
  <c r="AQ142" i="13"/>
  <c r="AQ143" i="13"/>
  <c r="AQ144" i="13"/>
  <c r="AQ145" i="13"/>
  <c r="AQ146" i="13"/>
  <c r="AQ147" i="13"/>
  <c r="AQ148" i="13"/>
  <c r="AQ149" i="13"/>
  <c r="AQ150" i="13"/>
  <c r="AQ151" i="13"/>
  <c r="AQ152" i="13"/>
  <c r="AQ153" i="13"/>
  <c r="AQ154" i="13"/>
  <c r="AQ155" i="13"/>
  <c r="AQ156" i="13"/>
  <c r="AQ157" i="13"/>
  <c r="AQ158" i="13"/>
  <c r="AQ159" i="13"/>
  <c r="AQ160" i="13"/>
  <c r="AQ161" i="13"/>
  <c r="AQ162" i="13"/>
  <c r="AQ163" i="13"/>
  <c r="AQ164" i="13"/>
  <c r="AQ165" i="13"/>
  <c r="AQ166" i="13"/>
  <c r="AQ167" i="13"/>
  <c r="AQ168" i="13"/>
  <c r="AQ169" i="13"/>
  <c r="AQ170" i="13"/>
  <c r="AQ171" i="13"/>
  <c r="AQ172" i="13"/>
  <c r="AQ173" i="13"/>
  <c r="AQ174" i="13"/>
  <c r="AQ175" i="13"/>
  <c r="AQ176" i="13"/>
  <c r="AQ177" i="13"/>
  <c r="AQ178" i="13"/>
  <c r="AQ179" i="13"/>
  <c r="AQ180" i="13"/>
  <c r="AQ181" i="13"/>
  <c r="AQ182" i="13"/>
  <c r="AQ183" i="13"/>
  <c r="AQ184" i="13"/>
  <c r="AQ185" i="13"/>
  <c r="AQ186" i="13"/>
  <c r="AQ187" i="13"/>
  <c r="AQ188" i="13"/>
  <c r="AQ189" i="13"/>
  <c r="AQ190" i="13"/>
  <c r="AQ191" i="13"/>
  <c r="AQ192" i="13"/>
  <c r="AQ193" i="13"/>
  <c r="AQ194" i="13"/>
  <c r="AQ195" i="13"/>
  <c r="AQ196" i="13"/>
  <c r="AQ197" i="13"/>
  <c r="AQ198" i="13"/>
  <c r="AQ199" i="13"/>
  <c r="AQ200" i="13"/>
  <c r="AQ201" i="13"/>
  <c r="AQ202" i="13"/>
  <c r="AQ203" i="13"/>
  <c r="AQ204" i="13"/>
  <c r="AQ205" i="13"/>
  <c r="AQ206" i="13"/>
  <c r="AQ207" i="13"/>
  <c r="AQ208" i="13"/>
  <c r="AQ209" i="13"/>
  <c r="AQ210" i="13"/>
  <c r="AQ211" i="13"/>
  <c r="AQ212" i="13"/>
  <c r="AQ213" i="13"/>
  <c r="AQ214" i="13"/>
  <c r="AQ215" i="13"/>
  <c r="AQ216" i="13"/>
  <c r="AQ217" i="13"/>
  <c r="AQ218" i="13"/>
  <c r="AQ219" i="13"/>
  <c r="AQ220" i="13"/>
  <c r="AQ221" i="13"/>
  <c r="AQ222" i="13"/>
  <c r="AQ223" i="13"/>
  <c r="AQ224" i="13"/>
  <c r="AQ225" i="13"/>
  <c r="AQ226" i="13"/>
  <c r="AQ227" i="13"/>
  <c r="AQ228" i="13"/>
  <c r="AQ229" i="13"/>
  <c r="AQ230" i="13"/>
  <c r="AQ231" i="13"/>
  <c r="AQ232" i="13"/>
  <c r="AQ233" i="13"/>
  <c r="AQ234" i="13"/>
  <c r="AQ235" i="13"/>
  <c r="AQ236" i="13"/>
  <c r="AQ237" i="13"/>
  <c r="AQ238" i="13"/>
  <c r="AQ239" i="13"/>
  <c r="AQ240" i="13"/>
  <c r="AQ241" i="13"/>
  <c r="AQ3" i="13"/>
  <c r="AO4" i="13"/>
  <c r="AO5" i="13"/>
  <c r="AO6" i="13"/>
  <c r="AO7" i="13"/>
  <c r="AO8" i="13"/>
  <c r="AO9" i="13"/>
  <c r="AO10" i="13"/>
  <c r="AO11" i="13"/>
  <c r="AO12" i="13"/>
  <c r="AO13" i="13"/>
  <c r="AO14" i="13"/>
  <c r="D7" i="14" s="1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O201" i="13"/>
  <c r="AO202" i="13"/>
  <c r="AO203" i="13"/>
  <c r="AO204" i="13"/>
  <c r="AO205" i="13"/>
  <c r="AO206" i="13"/>
  <c r="AO207" i="13"/>
  <c r="AO208" i="13"/>
  <c r="AO209" i="13"/>
  <c r="AO210" i="13"/>
  <c r="AO211" i="13"/>
  <c r="AO212" i="13"/>
  <c r="AO213" i="13"/>
  <c r="AO214" i="13"/>
  <c r="AO215" i="13"/>
  <c r="AO216" i="13"/>
  <c r="AO217" i="13"/>
  <c r="AO218" i="13"/>
  <c r="AO219" i="13"/>
  <c r="AO220" i="13"/>
  <c r="AO221" i="13"/>
  <c r="AO222" i="13"/>
  <c r="AO223" i="13"/>
  <c r="AO224" i="13"/>
  <c r="AO225" i="13"/>
  <c r="AO226" i="13"/>
  <c r="AO227" i="13"/>
  <c r="AO228" i="13"/>
  <c r="AO229" i="13"/>
  <c r="AO230" i="13"/>
  <c r="AO231" i="13"/>
  <c r="AO232" i="13"/>
  <c r="AO233" i="13"/>
  <c r="AO234" i="13"/>
  <c r="AO235" i="13"/>
  <c r="AO236" i="13"/>
  <c r="AO237" i="13"/>
  <c r="AO238" i="13"/>
  <c r="AO239" i="13"/>
  <c r="AO240" i="13"/>
  <c r="AO241" i="13"/>
  <c r="AO3" i="13"/>
  <c r="F78" i="14" l="1"/>
  <c r="F131" i="14"/>
  <c r="D131" i="14"/>
  <c r="E129" i="14"/>
  <c r="F120" i="14"/>
  <c r="F8" i="14"/>
  <c r="D61" i="14"/>
  <c r="F59" i="14"/>
  <c r="F52" i="14"/>
  <c r="F47" i="14"/>
  <c r="F79" i="14"/>
  <c r="D121" i="14"/>
  <c r="E58" i="14"/>
  <c r="E46" i="14"/>
  <c r="D6" i="14"/>
  <c r="AW1" i="13"/>
  <c r="D11" i="6" s="1"/>
  <c r="E115" i="14"/>
  <c r="D13" i="14"/>
  <c r="E96" i="14"/>
  <c r="F85" i="14"/>
  <c r="F22" i="14"/>
  <c r="F10" i="14"/>
  <c r="E10" i="14"/>
  <c r="E92" i="14"/>
  <c r="F94" i="14"/>
  <c r="F82" i="14"/>
  <c r="F81" i="14"/>
  <c r="D18" i="14"/>
  <c r="D12" i="14"/>
  <c r="E8" i="14"/>
  <c r="F21" i="14"/>
  <c r="D82" i="14"/>
  <c r="D81" i="14"/>
  <c r="E79" i="14"/>
  <c r="E78" i="14"/>
  <c r="F86" i="14"/>
  <c r="D115" i="14"/>
  <c r="E120" i="14"/>
  <c r="D8" i="14"/>
  <c r="E25" i="14"/>
  <c r="E21" i="14"/>
  <c r="E13" i="14"/>
  <c r="D59" i="14"/>
  <c r="D52" i="14"/>
  <c r="D47" i="14"/>
  <c r="F58" i="14"/>
  <c r="F46" i="14"/>
  <c r="F45" i="14"/>
  <c r="D79" i="14"/>
  <c r="D78" i="14"/>
  <c r="F80" i="14"/>
  <c r="D120" i="14"/>
  <c r="F118" i="14"/>
  <c r="D14" i="14"/>
  <c r="D25" i="14"/>
  <c r="F11" i="14"/>
  <c r="E23" i="14"/>
  <c r="E16" i="14"/>
  <c r="E11" i="14"/>
  <c r="D58" i="14"/>
  <c r="D46" i="14"/>
  <c r="D45" i="14"/>
  <c r="E43" i="14"/>
  <c r="E42" i="14"/>
  <c r="F54" i="14"/>
  <c r="F48" i="14"/>
  <c r="F50" i="14"/>
  <c r="D96" i="14"/>
  <c r="D80" i="14"/>
  <c r="E85" i="14"/>
  <c r="F116" i="14"/>
  <c r="E12" i="14"/>
  <c r="E18" i="14"/>
  <c r="F13" i="14"/>
  <c r="E59" i="14"/>
  <c r="E52" i="14"/>
  <c r="D21" i="14"/>
  <c r="D16" i="14"/>
  <c r="D11" i="14"/>
  <c r="E20" i="14"/>
  <c r="F9" i="14"/>
  <c r="D43" i="14"/>
  <c r="D42" i="14"/>
  <c r="E54" i="14"/>
  <c r="E48" i="14"/>
  <c r="E50" i="14"/>
  <c r="F60" i="14"/>
  <c r="G60" i="14" s="1"/>
  <c r="F44" i="14"/>
  <c r="D85" i="14"/>
  <c r="D127" i="14"/>
  <c r="E116" i="14"/>
  <c r="F114" i="14"/>
  <c r="F113" i="14"/>
  <c r="F25" i="14"/>
  <c r="F16" i="14"/>
  <c r="E45" i="14"/>
  <c r="F42" i="14"/>
  <c r="E80" i="14"/>
  <c r="D20" i="14"/>
  <c r="E22" i="14"/>
  <c r="E9" i="14"/>
  <c r="F7" i="14"/>
  <c r="F6" i="14"/>
  <c r="D54" i="14"/>
  <c r="D48" i="14"/>
  <c r="E44" i="14"/>
  <c r="F61" i="14"/>
  <c r="G61" i="14" s="1"/>
  <c r="F57" i="14"/>
  <c r="D116" i="14"/>
  <c r="E114" i="14"/>
  <c r="E113" i="14"/>
  <c r="F121" i="14"/>
  <c r="D57" i="14"/>
  <c r="E47" i="14"/>
  <c r="F23" i="14"/>
  <c r="F43" i="14"/>
  <c r="D23" i="14"/>
  <c r="D22" i="14"/>
  <c r="D10" i="14"/>
  <c r="D9" i="14"/>
  <c r="E7" i="14"/>
  <c r="E6" i="14"/>
  <c r="F18" i="14"/>
  <c r="F12" i="14"/>
  <c r="F14" i="14"/>
  <c r="D44" i="14"/>
  <c r="E61" i="14"/>
  <c r="E57" i="14"/>
  <c r="E49" i="14"/>
  <c r="G49" i="14" s="1"/>
  <c r="D114" i="14"/>
  <c r="D113" i="14"/>
  <c r="E131" i="14"/>
  <c r="G131" i="14" s="1"/>
  <c r="E121" i="14"/>
  <c r="F115" i="14"/>
  <c r="F132" i="14"/>
  <c r="F129" i="14"/>
  <c r="F117" i="14"/>
  <c r="D19" i="14"/>
  <c r="F56" i="14"/>
  <c r="D56" i="14"/>
  <c r="F55" i="14"/>
  <c r="F127" i="14"/>
  <c r="F20" i="14"/>
  <c r="E55" i="14"/>
  <c r="E127" i="14"/>
  <c r="D55" i="14"/>
  <c r="F128" i="14"/>
  <c r="F19" i="14"/>
  <c r="E56" i="14"/>
  <c r="E19" i="14"/>
  <c r="E132" i="14"/>
  <c r="E118" i="14"/>
  <c r="E117" i="14"/>
  <c r="E128" i="14"/>
  <c r="D132" i="14"/>
  <c r="D126" i="14"/>
  <c r="D118" i="14"/>
  <c r="D129" i="14"/>
  <c r="D117" i="14"/>
  <c r="D128" i="14"/>
  <c r="F96" i="14"/>
  <c r="F41" i="14"/>
  <c r="F53" i="14"/>
  <c r="F126" i="14"/>
  <c r="E41" i="14"/>
  <c r="E53" i="14"/>
  <c r="D53" i="14"/>
  <c r="D41" i="14"/>
  <c r="F5" i="14"/>
  <c r="F17" i="14"/>
  <c r="E5" i="14"/>
  <c r="E17" i="14"/>
  <c r="D5" i="14"/>
  <c r="D17" i="14"/>
  <c r="F97" i="14"/>
  <c r="F88" i="14"/>
  <c r="F83" i="14"/>
  <c r="F92" i="14"/>
  <c r="F93" i="14"/>
  <c r="E123" i="14"/>
  <c r="F123" i="14"/>
  <c r="D123" i="14"/>
  <c r="F91" i="14"/>
  <c r="F125" i="14"/>
  <c r="F119" i="14"/>
  <c r="E119" i="14"/>
  <c r="E125" i="14"/>
  <c r="D119" i="14"/>
  <c r="D125" i="14"/>
  <c r="F90" i="14"/>
  <c r="F84" i="14"/>
  <c r="E126" i="14"/>
  <c r="E86" i="14"/>
  <c r="E93" i="14"/>
  <c r="E90" i="14"/>
  <c r="E84" i="14"/>
  <c r="E97" i="14"/>
  <c r="E91" i="14"/>
  <c r="E88" i="14"/>
  <c r="E83" i="14"/>
  <c r="E94" i="14"/>
  <c r="E82" i="14"/>
  <c r="D94" i="14"/>
  <c r="D93" i="14"/>
  <c r="D90" i="14"/>
  <c r="D84" i="14"/>
  <c r="D86" i="14"/>
  <c r="D97" i="14"/>
  <c r="D91" i="14"/>
  <c r="D88" i="14"/>
  <c r="D83" i="14"/>
  <c r="D92" i="14"/>
  <c r="F130" i="14"/>
  <c r="E95" i="14"/>
  <c r="E130" i="14"/>
  <c r="D130" i="14"/>
  <c r="F95" i="14"/>
  <c r="D95" i="14"/>
  <c r="E124" i="14"/>
  <c r="E112" i="14"/>
  <c r="D112" i="14"/>
  <c r="D124" i="14"/>
  <c r="F89" i="14"/>
  <c r="F77" i="14"/>
  <c r="E89" i="14"/>
  <c r="E77" i="14"/>
  <c r="D89" i="14"/>
  <c r="D77" i="14"/>
  <c r="F124" i="14"/>
  <c r="F112" i="14"/>
  <c r="BE1" i="13"/>
  <c r="E18" i="6" s="1"/>
  <c r="E21" i="6" s="1"/>
  <c r="AU1" i="13"/>
  <c r="C11" i="6" s="1"/>
  <c r="BK1" i="13"/>
  <c r="E25" i="6" s="1"/>
  <c r="E28" i="6" s="1"/>
  <c r="AS1" i="13"/>
  <c r="E4" i="6" s="1"/>
  <c r="E7" i="6" s="1"/>
  <c r="BI1" i="13"/>
  <c r="D25" i="6" s="1"/>
  <c r="D28" i="6" s="1"/>
  <c r="AO1" i="13"/>
  <c r="C4" i="6" s="1"/>
  <c r="AQ1" i="13"/>
  <c r="D4" i="6" s="1"/>
  <c r="D7" i="6" s="1"/>
  <c r="BG1" i="13"/>
  <c r="C25" i="6" s="1"/>
  <c r="BC1" i="13"/>
  <c r="D18" i="6" s="1"/>
  <c r="BA1" i="13"/>
  <c r="C18" i="6" s="1"/>
  <c r="C21" i="6" s="1"/>
  <c r="AY1" i="13"/>
  <c r="E11" i="6" s="1"/>
  <c r="F26" i="6"/>
  <c r="F27" i="6"/>
  <c r="F19" i="6"/>
  <c r="F20" i="6"/>
  <c r="F12" i="6"/>
  <c r="F13" i="6"/>
  <c r="F5" i="6"/>
  <c r="F6" i="6"/>
  <c r="D14" i="6"/>
  <c r="F19" i="10"/>
  <c r="F20" i="10"/>
  <c r="E14" i="10"/>
  <c r="F12" i="10"/>
  <c r="F13" i="10"/>
  <c r="F5" i="10"/>
  <c r="F6" i="10"/>
  <c r="E28" i="10"/>
  <c r="D28" i="10"/>
  <c r="C28" i="10"/>
  <c r="E21" i="10"/>
  <c r="D21" i="10"/>
  <c r="C21" i="10"/>
  <c r="D14" i="10"/>
  <c r="C14" i="10"/>
  <c r="E7" i="10"/>
  <c r="D7" i="10"/>
  <c r="C7" i="10"/>
  <c r="G129" i="14" l="1"/>
  <c r="G50" i="14"/>
  <c r="G116" i="14"/>
  <c r="G20" i="14"/>
  <c r="G54" i="14"/>
  <c r="G81" i="14"/>
  <c r="G85" i="14"/>
  <c r="G21" i="14"/>
  <c r="G86" i="14"/>
  <c r="G7" i="14"/>
  <c r="G10" i="14"/>
  <c r="G6" i="14"/>
  <c r="G11" i="14"/>
  <c r="G8" i="14"/>
  <c r="G94" i="14"/>
  <c r="G121" i="14"/>
  <c r="G23" i="14"/>
  <c r="G96" i="14"/>
  <c r="G55" i="14"/>
  <c r="G58" i="14"/>
  <c r="G120" i="14"/>
  <c r="G59" i="14"/>
  <c r="G13" i="14"/>
  <c r="G79" i="14"/>
  <c r="G78" i="14"/>
  <c r="G113" i="14"/>
  <c r="G16" i="14"/>
  <c r="G25" i="14"/>
  <c r="G53" i="14"/>
  <c r="G45" i="14"/>
  <c r="G14" i="14"/>
  <c r="G17" i="14"/>
  <c r="G9" i="14"/>
  <c r="G57" i="14"/>
  <c r="G80" i="14"/>
  <c r="G46" i="14"/>
  <c r="G114" i="14"/>
  <c r="G82" i="14"/>
  <c r="G118" i="14"/>
  <c r="G127" i="14"/>
  <c r="G42" i="14"/>
  <c r="G47" i="14"/>
  <c r="G115" i="14"/>
  <c r="G12" i="14"/>
  <c r="F68" i="14"/>
  <c r="G44" i="14"/>
  <c r="G22" i="14"/>
  <c r="G48" i="14"/>
  <c r="G43" i="14"/>
  <c r="G52" i="14"/>
  <c r="G18" i="14"/>
  <c r="G132" i="14"/>
  <c r="G19" i="14"/>
  <c r="F32" i="14"/>
  <c r="G56" i="14"/>
  <c r="G128" i="14"/>
  <c r="G119" i="14"/>
  <c r="G117" i="14"/>
  <c r="G126" i="14"/>
  <c r="F11" i="6"/>
  <c r="F14" i="6" s="1"/>
  <c r="G41" i="14"/>
  <c r="D68" i="14"/>
  <c r="D32" i="14"/>
  <c r="G5" i="14"/>
  <c r="E68" i="14"/>
  <c r="E32" i="14"/>
  <c r="G92" i="14"/>
  <c r="G93" i="14"/>
  <c r="G123" i="14"/>
  <c r="F25" i="10"/>
  <c r="F28" i="10" s="1"/>
  <c r="F18" i="10"/>
  <c r="F21" i="10" s="1"/>
  <c r="F11" i="10"/>
  <c r="F14" i="10" s="1"/>
  <c r="F4" i="10"/>
  <c r="F7" i="10" s="1"/>
  <c r="G125" i="14"/>
  <c r="F104" i="14"/>
  <c r="E139" i="14"/>
  <c r="G124" i="14"/>
  <c r="G90" i="14"/>
  <c r="G84" i="14"/>
  <c r="G83" i="14"/>
  <c r="G95" i="14"/>
  <c r="G88" i="14"/>
  <c r="G91" i="14"/>
  <c r="G97" i="14"/>
  <c r="E14" i="6"/>
  <c r="G130" i="14"/>
  <c r="F139" i="14"/>
  <c r="F25" i="6"/>
  <c r="F28" i="6" s="1"/>
  <c r="E104" i="14"/>
  <c r="D139" i="14"/>
  <c r="G112" i="14"/>
  <c r="D104" i="14"/>
  <c r="G77" i="14"/>
  <c r="G89" i="14"/>
  <c r="F4" i="6"/>
  <c r="F7" i="6" s="1"/>
  <c r="F18" i="6"/>
  <c r="F21" i="6" s="1"/>
  <c r="C28" i="6"/>
  <c r="C7" i="6"/>
  <c r="D21" i="6"/>
  <c r="C14" i="6"/>
  <c r="G62" i="14" l="1"/>
  <c r="G26" i="14"/>
  <c r="G68" i="14"/>
  <c r="G32" i="14"/>
  <c r="G133" i="14"/>
  <c r="G139" i="14"/>
  <c r="G98" i="14"/>
  <c r="G104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Alvis Pan</author>
  </authors>
  <commentList>
    <comment ref="E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Alvis Pan:</t>
        </r>
        <r>
          <rPr>
            <sz val="9"/>
            <color indexed="81"/>
            <rFont val="Tahoma"/>
            <family val="2"/>
          </rPr>
          <t xml:space="preserve">
Slinky</t>
        </r>
      </text>
    </comment>
    <comment ref="D1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Alvis Pan:</t>
        </r>
        <r>
          <rPr>
            <sz val="9"/>
            <color indexed="81"/>
            <rFont val="Tahoma"/>
            <family val="2"/>
          </rPr>
          <t xml:space="preserve">
Duskers
Borman
Vector
Austinhealey</t>
        </r>
      </text>
    </comment>
  </commentList>
</comments>
</file>

<file path=xl/sharedStrings.xml><?xml version="1.0" encoding="utf-8"?>
<sst xmlns="http://schemas.openxmlformats.org/spreadsheetml/2006/main" count="13693" uniqueCount="1155">
  <si>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</si>
  <si>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</si>
  <si>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</si>
  <si>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</si>
  <si>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</si>
  <si>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</si>
  <si>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</si>
  <si>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</si>
  <si>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</si>
  <si>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</si>
  <si>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</si>
  <si>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</si>
  <si>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</si>
  <si>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</si>
  <si>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</si>
  <si>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</si>
  <si>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J欄位 : 如果沒有Size，則填寫"NA/"，請不要只寫"NA"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</si>
  <si>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-Color 欄位需保持正常format，像是 PERFORMANCE BLUE OPAQUE 請避免填成 PERFORMANCE BLUE OPAQUE-RGB
-針對CNB Gaming，關於Numpad及RGB方面請遵照以下方式及右方的說明 : 
RGB Per Key W Numpad_Soft Grey
RGB Per Key W/O Numpad_Soft Grey
1 Zone W Numpad_Soft Grey, 1 Zone Red W Numpad_Soft Grey
4 Zone RGB W Numpad_Soft Grey
1 Zone W/O Numpad_Soft Grey, 1 Zone Red W/O Numpad_Soft Grey
4 Zone RGB W/O Numpad_Soft Grey
1 Zone RGB W Numpad_Soft Grey
1 Zone RGB W/O Numpad_Soft Grey</t>
    <phoneticPr fontId="3" type="noConversion"/>
  </si>
  <si>
    <t>L欄 : 請照上方指示，勿自創提詞，注意NMC更新為Thailand/Vietnam</t>
  </si>
  <si>
    <t>M欄 : 請照上方指示填寫對應ODM，勿自創提詞或簡寫。若發生ODM不存在於上方的情況，請勿寫上OTHERS，需參照在contract中寫的ODM或Regional site名稱</t>
    <phoneticPr fontId="2" type="noConversion"/>
  </si>
  <si>
    <t>N-BL欄 : 請注意勿留空白，O欄位為上一個年份的最後一個月的價格</t>
  </si>
  <si>
    <t>BM欄 : 請協助填寫料號，且每一列應為不同料號(除特殊情況)，接下來會使用這欄去串連其他資料</t>
  </si>
  <si>
    <t>BN欄 : 請勿將ODM, 料號等資料寫在這欄</t>
  </si>
  <si>
    <t>BO欄 : 請照上方指示，勿自創提詞，此部分指直接出貨到哪個地區的客戶，若是出到ODM則寫"ODM"</t>
  </si>
  <si>
    <t>BP欄 : 如果有HP Part#就填上，如果沒有的話就填上ODM Part# (語言別的部分可以屏蔽並用星號代替，除非有語言別會造成價格不同的情況才需列出語言別的部分)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</si>
  <si>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</si>
  <si>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</si>
  <si>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</si>
  <si>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</si>
  <si>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</si>
  <si>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Supplier's name</t>
  </si>
  <si>
    <t>2022 11</t>
  </si>
  <si>
    <t>2022 12</t>
  </si>
  <si>
    <t>2023 01</t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</si>
  <si>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</si>
  <si>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</si>
  <si>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</si>
  <si>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</si>
  <si>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</si>
  <si>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</si>
  <si>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</si>
  <si>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2023 02</t>
  </si>
  <si>
    <t>2023 03</t>
  </si>
  <si>
    <t>2023 04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</si>
  <si>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</si>
  <si>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</si>
  <si>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</si>
  <si>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5. 新增 E&amp;O reduction 及complexity reduction品項, 先留足空間</t>
  </si>
  <si>
    <t>若目前還未有此款項存在都先填0</t>
  </si>
  <si>
    <t>2023 05</t>
  </si>
  <si>
    <t>2023 06</t>
  </si>
  <si>
    <t>2023 07</t>
  </si>
  <si>
    <t>Total Q3</t>
  </si>
  <si>
    <t>6. 金額都放未經調整後的真實數字, 分析才具意義</t>
  </si>
  <si>
    <t>2023 08</t>
  </si>
  <si>
    <t>2023 09</t>
  </si>
  <si>
    <t>2023 10</t>
  </si>
  <si>
    <t>Total Q4</t>
  </si>
  <si>
    <t>Q1 Actual by Segment</t>
  </si>
  <si>
    <t>Segment</t>
  </si>
  <si>
    <t>Total Rebate in Q1 2023 (US$)</t>
  </si>
  <si>
    <t>CMIT Input Devices</t>
  </si>
  <si>
    <t>200 series (6U)</t>
  </si>
  <si>
    <t>400 series (S)</t>
  </si>
  <si>
    <t>600 series (B)</t>
  </si>
  <si>
    <t>800 series (P)</t>
  </si>
  <si>
    <t>1000 series (M</t>
  </si>
  <si>
    <t>MWS (Workstation)</t>
  </si>
  <si>
    <t>Soft Keyboard</t>
  </si>
  <si>
    <t>Chrome Book</t>
  </si>
  <si>
    <t>Clickpad</t>
  </si>
  <si>
    <t>Education</t>
  </si>
  <si>
    <t>Peripherals/AMO</t>
  </si>
  <si>
    <t>Desktop</t>
  </si>
  <si>
    <t>Consumer Input Devices</t>
  </si>
  <si>
    <t>OPP</t>
  </si>
  <si>
    <t>Pavillion</t>
  </si>
  <si>
    <t>Spectre</t>
  </si>
  <si>
    <t xml:space="preserve">Envy </t>
  </si>
  <si>
    <t>Stream</t>
  </si>
  <si>
    <t>Omen</t>
  </si>
  <si>
    <t>Supplier</t>
  </si>
  <si>
    <t>Input Devices</t>
  </si>
  <si>
    <t>Acrox</t>
  </si>
  <si>
    <t>Chicony</t>
  </si>
  <si>
    <t>Darfon</t>
  </si>
  <si>
    <t>Liteon</t>
  </si>
  <si>
    <t>Primax</t>
  </si>
  <si>
    <t>Sunrex</t>
  </si>
  <si>
    <t>Total Rebate Amount</t>
  </si>
  <si>
    <t>Q2 Actual by Segment</t>
  </si>
  <si>
    <t>Total Rebate in Q2 2023 (US$)</t>
  </si>
  <si>
    <t>5月與HP確認到Crispix rebate必須從4月開始放, 但原先4月的報告放0, 這邊修正為真實數字,
但給付Q2 rebate時會少了這筆, 於後續補上</t>
    <phoneticPr fontId="3" type="noConversion"/>
  </si>
  <si>
    <t>Q3 Actual by Segment</t>
  </si>
  <si>
    <t>Total Rebate in Q3 2023 (US$)</t>
  </si>
  <si>
    <t>Q4 Actual by Segment</t>
  </si>
  <si>
    <t>Total Rebate in Q4 2023 (US$)</t>
  </si>
  <si>
    <t>Consumer/Commercial/
Peripheral</t>
  </si>
  <si>
    <t>NB/DT/Peripheral</t>
  </si>
  <si>
    <t>2020/2021/2022</t>
  </si>
  <si>
    <t>Remove Size/Color, define Platform naming
Hagrid/Hedwig/Granger/Ashmore/Ramla (follow naming rule of product list)</t>
  </si>
  <si>
    <t>NBL KB/BL KB/Mouse
/Combo/Clickpad/Others</t>
  </si>
  <si>
    <t>NA/</t>
  </si>
  <si>
    <t>(E China/W China/S China/NMC)</t>
  </si>
  <si>
    <t>COMPAL/
QUANTA
/INVENTEC
/WISTRON/
FOXCONN/
OTHERS</t>
  </si>
  <si>
    <t>FY23</t>
  </si>
  <si>
    <t>SPM (Project Owner)</t>
  </si>
  <si>
    <t>GTK Suppliers</t>
  </si>
  <si>
    <t>Category</t>
    <phoneticPr fontId="10" type="noConversion"/>
  </si>
  <si>
    <t>Series</t>
  </si>
  <si>
    <t>Production Year</t>
  </si>
  <si>
    <t>Platforms</t>
  </si>
  <si>
    <t>Product</t>
  </si>
  <si>
    <t>Size</t>
  </si>
  <si>
    <t>Color</t>
  </si>
  <si>
    <t>Location</t>
  </si>
  <si>
    <t>ODM</t>
    <phoneticPr fontId="17" type="noConversion"/>
  </si>
  <si>
    <t>The lowest unit table price (ODM cost)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</si>
  <si>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</si>
  <si>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</si>
  <si>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</si>
  <si>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</si>
  <si>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</si>
  <si>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</si>
  <si>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</si>
  <si>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</si>
  <si>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Jul</t>
  </si>
  <si>
    <t>Table Price Aug</t>
  </si>
  <si>
    <t>Table Price Sep</t>
  </si>
  <si>
    <t>Table Price Oct</t>
  </si>
  <si>
    <t>The lowest unit rebate cost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</si>
  <si>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</si>
  <si>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</si>
  <si>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</si>
  <si>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</si>
  <si>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</si>
  <si>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</si>
  <si>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</si>
  <si>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</si>
  <si>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Jul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</si>
  <si>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</si>
  <si>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</si>
  <si>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</si>
  <si>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</si>
  <si>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</si>
  <si>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</si>
  <si>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</si>
  <si>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</si>
  <si>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</si>
  <si>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</si>
  <si>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</si>
  <si>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</si>
  <si>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</si>
  <si>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</si>
  <si>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</si>
  <si>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</si>
  <si>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</si>
  <si>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</si>
  <si>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</si>
  <si>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</si>
  <si>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</si>
  <si>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</si>
  <si>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</si>
  <si>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</si>
  <si>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</si>
  <si>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</si>
  <si>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</si>
  <si>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Supplier Part#</t>
  </si>
  <si>
    <t>Comment</t>
  </si>
  <si>
    <t>Commercial</t>
    <phoneticPr fontId="8" type="noConversion"/>
  </si>
  <si>
    <t>Clickpad</t>
    <phoneticPr fontId="8" type="noConversion"/>
  </si>
  <si>
    <t>Iris Huang</t>
    <phoneticPr fontId="8" type="noConversion"/>
  </si>
  <si>
    <t>Darfon</t>
    <phoneticPr fontId="8" type="noConversion"/>
  </si>
  <si>
    <t>NB</t>
    <phoneticPr fontId="8" type="noConversion"/>
  </si>
  <si>
    <t>ANOLE1/ARIZONA</t>
    <phoneticPr fontId="8" type="noConversion"/>
  </si>
  <si>
    <t>NBL KB</t>
  </si>
  <si>
    <t>Jet Black/Jellyfish Blue</t>
  </si>
  <si>
    <t>W China</t>
    <phoneticPr fontId="8" type="noConversion"/>
  </si>
  <si>
    <t>INVENTEC</t>
    <phoneticPr fontId="8" type="noConversion"/>
  </si>
  <si>
    <t>ARCLIGHT1</t>
  </si>
  <si>
    <t>Jet Black</t>
  </si>
  <si>
    <t>MWS
(Workstation)</t>
    <phoneticPr fontId="8" type="noConversion"/>
  </si>
  <si>
    <t>VALERIAN</t>
    <phoneticPr fontId="8" type="noConversion"/>
  </si>
  <si>
    <t>BL KB</t>
    <phoneticPr fontId="8" type="noConversion"/>
  </si>
  <si>
    <t>Flint</t>
    <phoneticPr fontId="8" type="noConversion"/>
  </si>
  <si>
    <t>E China</t>
    <phoneticPr fontId="8" type="noConversion"/>
  </si>
  <si>
    <t>COMPAL</t>
    <phoneticPr fontId="8" type="noConversion"/>
  </si>
  <si>
    <t>ALDER</t>
    <phoneticPr fontId="8" type="noConversion"/>
  </si>
  <si>
    <t>Chromebook</t>
  </si>
  <si>
    <t>IBIS</t>
    <phoneticPr fontId="8" type="noConversion"/>
  </si>
  <si>
    <t>NBL KB</t>
    <phoneticPr fontId="8" type="noConversion"/>
  </si>
  <si>
    <t>Ceramic White/Ash Gray</t>
    <phoneticPr fontId="8" type="noConversion"/>
  </si>
  <si>
    <t>QUANTA</t>
    <phoneticPr fontId="8" type="noConversion"/>
  </si>
  <si>
    <t>BUDGIE</t>
    <phoneticPr fontId="8" type="noConversion"/>
  </si>
  <si>
    <t>Ash Gray</t>
    <phoneticPr fontId="8" type="noConversion"/>
  </si>
  <si>
    <t>BULBUL</t>
    <phoneticPr fontId="8" type="noConversion"/>
  </si>
  <si>
    <t>Chalkboard Gray</t>
    <phoneticPr fontId="8" type="noConversion"/>
  </si>
  <si>
    <t>BERGMAN</t>
    <phoneticPr fontId="8" type="noConversion"/>
  </si>
  <si>
    <t>Jack Black</t>
    <phoneticPr fontId="8" type="noConversion"/>
  </si>
  <si>
    <t>HORNBILL/OVENBIRD</t>
    <phoneticPr fontId="8" type="noConversion"/>
  </si>
  <si>
    <t>Chalkboard Gray/Dark Sage Green</t>
    <phoneticPr fontId="8" type="noConversion"/>
  </si>
  <si>
    <t>HITCHCOCK/OZU</t>
    <phoneticPr fontId="8" type="noConversion"/>
  </si>
  <si>
    <t>CIRCINUS</t>
  </si>
  <si>
    <t>Mineral Silver</t>
    <phoneticPr fontId="8" type="noConversion"/>
  </si>
  <si>
    <t>WISTRON</t>
    <phoneticPr fontId="8" type="noConversion"/>
  </si>
  <si>
    <t>BLONDIE/BLONDIEKV/BONJOVI/BONJOVIM6</t>
    <phoneticPr fontId="8" type="noConversion"/>
  </si>
  <si>
    <t>Pike Silver/Mineral Silver/Flint Opaque</t>
    <phoneticPr fontId="8" type="noConversion"/>
  </si>
  <si>
    <t>DAFTPUNK/DAFTPUNKKV</t>
    <phoneticPr fontId="8" type="noConversion"/>
  </si>
  <si>
    <t>Pike Silver</t>
    <phoneticPr fontId="8" type="noConversion"/>
  </si>
  <si>
    <t>RADIOHEAD</t>
    <phoneticPr fontId="8" type="noConversion"/>
  </si>
  <si>
    <t>Flint Opaque</t>
    <phoneticPr fontId="8" type="noConversion"/>
  </si>
  <si>
    <t>BJORK</t>
    <phoneticPr fontId="8" type="noConversion"/>
  </si>
  <si>
    <t>Carbine</t>
    <phoneticPr fontId="8" type="noConversion"/>
  </si>
  <si>
    <t>Sandy Lu</t>
    <phoneticPr fontId="8" type="noConversion"/>
  </si>
  <si>
    <t>DT</t>
    <phoneticPr fontId="8" type="noConversion"/>
  </si>
  <si>
    <t>DT</t>
  </si>
  <si>
    <t>Skylab</t>
    <phoneticPr fontId="8" type="noConversion"/>
  </si>
  <si>
    <t>NA</t>
    <phoneticPr fontId="8" type="noConversion"/>
  </si>
  <si>
    <t>OTHERS</t>
    <phoneticPr fontId="8" type="noConversion"/>
  </si>
  <si>
    <t>Halley</t>
    <phoneticPr fontId="8" type="noConversion"/>
  </si>
  <si>
    <t>Mouse</t>
    <phoneticPr fontId="8" type="noConversion"/>
  </si>
  <si>
    <t>Benson Chen</t>
    <phoneticPr fontId="8" type="noConversion"/>
  </si>
  <si>
    <t>Consumer</t>
    <phoneticPr fontId="8" type="noConversion"/>
  </si>
  <si>
    <t>2018</t>
    <phoneticPr fontId="8" type="noConversion"/>
  </si>
  <si>
    <t>ASHMORE/ASHMORE6U/HAWKING/HEDWIG/HEDWIG6U/SILVERBELL</t>
    <phoneticPr fontId="8" type="noConversion"/>
  </si>
  <si>
    <t>14</t>
    <phoneticPr fontId="8" type="noConversion"/>
  </si>
  <si>
    <t>Ash Silver/Jack Black</t>
    <phoneticPr fontId="8" type="noConversion"/>
  </si>
  <si>
    <t>Ash Silver</t>
    <phoneticPr fontId="8" type="noConversion"/>
  </si>
  <si>
    <t>2019</t>
    <phoneticPr fontId="8" type="noConversion"/>
  </si>
  <si>
    <t>MALDIVES/MALDIVES6U/HERSCHEL/HERSCHEL6U</t>
  </si>
  <si>
    <t>15</t>
    <phoneticPr fontId="8" type="noConversion"/>
  </si>
  <si>
    <t>LANGKAWI/REBAK</t>
    <phoneticPr fontId="8" type="noConversion"/>
  </si>
  <si>
    <t>2019</t>
  </si>
  <si>
    <t>15</t>
  </si>
  <si>
    <t>Snow White</t>
    <phoneticPr fontId="8" type="noConversion"/>
  </si>
  <si>
    <t>Shadow Black</t>
    <phoneticPr fontId="8" type="noConversion"/>
  </si>
  <si>
    <t>2021</t>
    <phoneticPr fontId="8" type="noConversion"/>
  </si>
  <si>
    <t>VLAD/EUNICE/VLAD6U</t>
    <phoneticPr fontId="8" type="noConversion"/>
  </si>
  <si>
    <t>17</t>
    <phoneticPr fontId="8" type="noConversion"/>
  </si>
  <si>
    <t>2021</t>
  </si>
  <si>
    <t>VLAD/EUNICE/VLAD6U</t>
  </si>
  <si>
    <t>17</t>
  </si>
  <si>
    <t>Evening Blue</t>
    <phoneticPr fontId="8" type="noConversion"/>
  </si>
  <si>
    <t>Soft Grey</t>
    <phoneticPr fontId="8" type="noConversion"/>
  </si>
  <si>
    <t>Hokie/Rames</t>
  </si>
  <si>
    <t>River Blue</t>
    <phoneticPr fontId="8" type="noConversion"/>
  </si>
  <si>
    <t>Otto/Sebastian</t>
  </si>
  <si>
    <t>Wisteria Lavender</t>
    <phoneticPr fontId="8" type="noConversion"/>
  </si>
  <si>
    <t>Seafoam Teal</t>
    <phoneticPr fontId="8" type="noConversion"/>
  </si>
  <si>
    <t>BL KB</t>
  </si>
  <si>
    <t>Wisteria Lavender</t>
    <phoneticPr fontId="3" type="noConversion"/>
  </si>
  <si>
    <t>Seafoam Teal</t>
  </si>
  <si>
    <t>Pavilion</t>
  </si>
  <si>
    <t>CYPRUS/MALLORCA</t>
    <phoneticPr fontId="8" type="noConversion"/>
  </si>
  <si>
    <t>Acid Green/Ultra Violet</t>
    <phoneticPr fontId="8" type="noConversion"/>
  </si>
  <si>
    <t>DUSKERS/DUSKERSIK/NIMBATUS/DUSKERSIK2</t>
    <phoneticPr fontId="8" type="noConversion"/>
  </si>
  <si>
    <t>FELICETTE/STRELKA</t>
    <phoneticPr fontId="8" type="noConversion"/>
  </si>
  <si>
    <t>Cloud Blue</t>
    <phoneticPr fontId="8" type="noConversion"/>
  </si>
  <si>
    <t>SLINKY</t>
    <phoneticPr fontId="8" type="noConversion"/>
  </si>
  <si>
    <t>Warm Gold</t>
    <phoneticPr fontId="8" type="noConversion"/>
  </si>
  <si>
    <t>Spruce Blue</t>
    <phoneticPr fontId="8" type="noConversion"/>
  </si>
  <si>
    <t>RIESLING</t>
    <phoneticPr fontId="8" type="noConversion"/>
  </si>
  <si>
    <t>Natural Silver</t>
    <phoneticPr fontId="8" type="noConversion"/>
  </si>
  <si>
    <t>Ducky</t>
    <phoneticPr fontId="8" type="noConversion"/>
  </si>
  <si>
    <t>Nittany</t>
    <phoneticPr fontId="8" type="noConversion"/>
  </si>
  <si>
    <t>Tuffy</t>
    <phoneticPr fontId="3" type="noConversion"/>
  </si>
  <si>
    <t>Sandstorm Grey</t>
    <phoneticPr fontId="3" type="noConversion"/>
  </si>
  <si>
    <t>Envy</t>
  </si>
  <si>
    <t>TIBERIUS</t>
    <phoneticPr fontId="8" type="noConversion"/>
  </si>
  <si>
    <t>GIDGET/MEL</t>
    <phoneticPr fontId="8" type="noConversion"/>
  </si>
  <si>
    <t>Nightfall Black Ano</t>
    <phoneticPr fontId="8" type="noConversion"/>
  </si>
  <si>
    <t>BULLEIT/WELLER</t>
    <phoneticPr fontId="8" type="noConversion"/>
  </si>
  <si>
    <t>Goldy/Bucky</t>
    <phoneticPr fontId="8" type="noConversion"/>
  </si>
  <si>
    <t>Nightfall Black Opaque</t>
    <phoneticPr fontId="8" type="noConversion"/>
  </si>
  <si>
    <t>COCKATOO</t>
    <phoneticPr fontId="8" type="noConversion"/>
  </si>
  <si>
    <t>Jack Black/Snow White</t>
    <phoneticPr fontId="8" type="noConversion"/>
  </si>
  <si>
    <t>OMEN</t>
    <phoneticPr fontId="8" type="noConversion"/>
  </si>
  <si>
    <t>STARMADE</t>
    <phoneticPr fontId="8" type="noConversion"/>
  </si>
  <si>
    <t>1 Zone W/O Num Pad-Black-Red</t>
  </si>
  <si>
    <t>4 Zone W/O Num Pad-Black-RGB</t>
  </si>
  <si>
    <t>VALKYRIE</t>
  </si>
  <si>
    <t>1 Zone W/O Num Pad-Silver-White</t>
  </si>
  <si>
    <t>4 Zone W/O Num Pad-Sliver-RGB</t>
    <phoneticPr fontId="8" type="noConversion"/>
  </si>
  <si>
    <t>RALPH</t>
  </si>
  <si>
    <t>1 Zone W/O Num Pad-Black-White</t>
    <phoneticPr fontId="8" type="noConversion"/>
  </si>
  <si>
    <t>4 Zone W/O Num Pad-Black-RGB</t>
    <phoneticPr fontId="8" type="noConversion"/>
  </si>
  <si>
    <t>VANELLOPE</t>
  </si>
  <si>
    <t>4 Zone W/O Num Pad-Sliver-RGB</t>
  </si>
  <si>
    <t>Hendricks</t>
    <phoneticPr fontId="8" type="noConversion"/>
  </si>
  <si>
    <t>1 Zone Num Pad-Black-Red</t>
  </si>
  <si>
    <t>4 Zone Num Pad-Black-RGB</t>
  </si>
  <si>
    <t>1 Zone Num Pad-Black-White</t>
    <phoneticPr fontId="8" type="noConversion"/>
  </si>
  <si>
    <t>4 Zone Num Pad-Black-RGB</t>
    <phoneticPr fontId="8" type="noConversion"/>
  </si>
  <si>
    <t>1 ZONE NUM PAD-BLACK-WHITE</t>
  </si>
  <si>
    <t>4 ZONE NUM PAD-BLACK-RGB</t>
  </si>
  <si>
    <t xml:space="preserve">Burnobear/Thetiger </t>
    <phoneticPr fontId="2" type="noConversion"/>
  </si>
  <si>
    <t>1 Zone W/O Num Pad-Shadow Black</t>
    <phoneticPr fontId="2" type="noConversion"/>
  </si>
  <si>
    <t>COMPAL</t>
    <phoneticPr fontId="2" type="noConversion"/>
  </si>
  <si>
    <t>4 Zone W/O Num Pad-Shadow Black</t>
    <phoneticPr fontId="2" type="noConversion"/>
  </si>
  <si>
    <t>4 Zone W/O Num Pad-Ceramic White</t>
    <phoneticPr fontId="2" type="noConversion"/>
  </si>
  <si>
    <t>1 Zone Num Pad-Shadow Black</t>
    <phoneticPr fontId="2" type="noConversion"/>
  </si>
  <si>
    <t>4 Zone Num Pad-Shadow Black</t>
    <phoneticPr fontId="2" type="noConversion"/>
  </si>
  <si>
    <t>Quaker</t>
    <phoneticPr fontId="8" type="noConversion"/>
  </si>
  <si>
    <t>Cheddar_Gouda</t>
    <phoneticPr fontId="8" type="noConversion"/>
  </si>
  <si>
    <t>Peripheral</t>
  </si>
  <si>
    <t>Peripherals</t>
  </si>
  <si>
    <t>Ivy</t>
    <phoneticPr fontId="8" type="noConversion"/>
  </si>
  <si>
    <t>Crispix</t>
    <phoneticPr fontId="2" type="noConversion"/>
  </si>
  <si>
    <t>NA</t>
    <phoneticPr fontId="2" type="noConversion"/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</si>
  <si>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</si>
  <si>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</si>
  <si>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</si>
  <si>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</si>
  <si>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</si>
  <si>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</si>
  <si>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</si>
  <si>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</si>
  <si>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</si>
  <si>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</si>
  <si>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</si>
  <si>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</si>
  <si>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Total Rebate in Q1 2024 (US$)</t>
  </si>
  <si>
    <t>400 /600 series (S/B)</t>
    <phoneticPr fontId="3" type="noConversion"/>
  </si>
  <si>
    <t>Total Rebate in Q2 2024 (US$)</t>
  </si>
  <si>
    <t>Total Rebate in Q3 2024 (US$)</t>
  </si>
  <si>
    <t>Total Rebate in Q4 2024 (US$)</t>
  </si>
  <si>
    <t>NA/EMEA/APJ</t>
  </si>
  <si>
    <t>FY24</t>
    <phoneticPr fontId="10" type="noConversion"/>
  </si>
  <si>
    <t>RFQ Final Cost</t>
    <phoneticPr fontId="3" type="noConversion"/>
  </si>
  <si>
    <t>Region</t>
  </si>
  <si>
    <t>FY24</t>
  </si>
  <si>
    <t>Sandy Lu</t>
  </si>
  <si>
    <t>NB</t>
    <phoneticPr fontId="3" type="noConversion"/>
  </si>
  <si>
    <t>400/600</t>
    <phoneticPr fontId="3" type="noConversion"/>
  </si>
  <si>
    <t>Olaf/Rex</t>
    <phoneticPr fontId="3" type="noConversion"/>
  </si>
  <si>
    <t>Soft Grey</t>
    <phoneticPr fontId="3" type="noConversion"/>
  </si>
  <si>
    <t>W China</t>
    <phoneticPr fontId="3" type="noConversion"/>
  </si>
  <si>
    <t>Quanta</t>
    <phoneticPr fontId="3" type="noConversion"/>
  </si>
  <si>
    <t>Ernesto</t>
    <phoneticPr fontId="3" type="noConversion"/>
  </si>
  <si>
    <t>ANOLE1/ANOLE2/ARIZONA</t>
    <phoneticPr fontId="8" type="noConversion"/>
  </si>
  <si>
    <t>ARCLIGHT1/ARCLIGHT2</t>
    <phoneticPr fontId="3" type="noConversion"/>
  </si>
  <si>
    <t>Benson Chen</t>
  </si>
  <si>
    <t>BULBUL/BULBULM6</t>
  </si>
  <si>
    <t>Chalkboard Gray</t>
  </si>
  <si>
    <t>W China</t>
  </si>
  <si>
    <t>QUANTA</t>
  </si>
  <si>
    <t>BERGMAN</t>
  </si>
  <si>
    <t>Jack Black</t>
  </si>
  <si>
    <t>HITCHCOCK/OZU/HITCHCOCK2</t>
  </si>
  <si>
    <t>Jack Black/Nautical Teal</t>
  </si>
  <si>
    <t>RADIOHEAD</t>
  </si>
  <si>
    <t>Flint Opaque</t>
  </si>
  <si>
    <t>BJORK/SURVIVOR</t>
    <phoneticPr fontId="3" type="noConversion"/>
  </si>
  <si>
    <t>CARBINE</t>
    <phoneticPr fontId="3" type="noConversion"/>
  </si>
  <si>
    <t>Mineral Silver</t>
  </si>
  <si>
    <t>WISTRON</t>
  </si>
  <si>
    <t>Longbay</t>
    <phoneticPr fontId="3" type="noConversion"/>
  </si>
  <si>
    <t>NBL KB</t>
    <phoneticPr fontId="3" type="noConversion"/>
  </si>
  <si>
    <t>Soft Grey/Darker Sky Blue/Lilac lavender</t>
    <phoneticPr fontId="3" type="noConversion"/>
  </si>
  <si>
    <t>BL KB</t>
    <phoneticPr fontId="3" type="noConversion"/>
  </si>
  <si>
    <t>Bomnay</t>
    <phoneticPr fontId="3" type="noConversion"/>
  </si>
  <si>
    <t>Soft Grey/Black Licorice/Darker Sky blue Opaque/Darker Lilac Lavender Opaque</t>
    <phoneticPr fontId="3" type="noConversion"/>
  </si>
  <si>
    <t>Darker Sky blue Opaque/Darker Lilac Lavender Opaque</t>
    <phoneticPr fontId="3" type="noConversion"/>
  </si>
  <si>
    <t>Chris Chang</t>
  </si>
  <si>
    <t>SKYLAB</t>
    <phoneticPr fontId="8" type="noConversion"/>
  </si>
  <si>
    <t>HALLEY</t>
    <phoneticPr fontId="8" type="noConversion"/>
  </si>
  <si>
    <t>CAPTAIN CRUNCH</t>
    <phoneticPr fontId="3" type="noConversion"/>
  </si>
  <si>
    <t>Mouse</t>
    <phoneticPr fontId="3" type="noConversion"/>
  </si>
  <si>
    <t>FELICETTE/STRELKA</t>
  </si>
  <si>
    <t>Pike Silver</t>
  </si>
  <si>
    <t>Cloud Blue</t>
  </si>
  <si>
    <t>SLINKY</t>
  </si>
  <si>
    <t>Warm Gold</t>
  </si>
  <si>
    <t>Spruce Blue</t>
  </si>
  <si>
    <t>RIESLING</t>
  </si>
  <si>
    <t>Natural Silver</t>
  </si>
  <si>
    <t>DUCKY</t>
  </si>
  <si>
    <t>TUFFY</t>
  </si>
  <si>
    <t>Soft Grey</t>
  </si>
  <si>
    <t>Sandstorm Grey</t>
  </si>
  <si>
    <t>Canopy/Motto</t>
    <phoneticPr fontId="3" type="noConversion"/>
  </si>
  <si>
    <t>Soft Grey Darker 5%</t>
    <phoneticPr fontId="3" type="noConversion"/>
  </si>
  <si>
    <t>E China</t>
    <phoneticPr fontId="3" type="noConversion"/>
  </si>
  <si>
    <t>COMPAL</t>
    <phoneticPr fontId="3" type="noConversion"/>
  </si>
  <si>
    <t>Darker Sky Blue Opaque</t>
    <phoneticPr fontId="3" type="noConversion"/>
  </si>
  <si>
    <t>WILLIE/HERBIE</t>
    <phoneticPr fontId="3" type="noConversion"/>
  </si>
  <si>
    <t>QUANTA</t>
    <phoneticPr fontId="3" type="noConversion"/>
  </si>
  <si>
    <t>Nightfall Black Opaque/Slate Blue Opaque</t>
    <phoneticPr fontId="3" type="noConversion"/>
  </si>
  <si>
    <t>BULLEIT/WELLER</t>
  </si>
  <si>
    <t>E China</t>
  </si>
  <si>
    <t>COMPAL</t>
  </si>
  <si>
    <t>BUCKY/GOLDY</t>
    <phoneticPr fontId="3" type="noConversion"/>
  </si>
  <si>
    <t>Nightfall Black Opaque/Moonstone Grey</t>
    <phoneticPr fontId="3" type="noConversion"/>
  </si>
  <si>
    <t>NITTANY</t>
  </si>
  <si>
    <t xml:space="preserve">Burnobear/Thetiger </t>
  </si>
  <si>
    <t>1 Zone W/O Num Pad-Shadow Black</t>
  </si>
  <si>
    <t>4 Zone W/O Num Pad-Shadow Black</t>
  </si>
  <si>
    <t>4 Zone W/O Num Pad-Ceramic White</t>
  </si>
  <si>
    <t>1 Zone Num Pad-Shadow Black</t>
  </si>
  <si>
    <t>4 Zone Num Pad-Shadow Black</t>
  </si>
  <si>
    <t>Quaker</t>
  </si>
  <si>
    <t>Voco</t>
    <phoneticPr fontId="3" type="noConversion"/>
  </si>
  <si>
    <t>4 zone-Shadow Black/Ceramic White</t>
    <phoneticPr fontId="3" type="noConversion"/>
  </si>
  <si>
    <t>Per key-Shadow Black/Ceramic White</t>
    <phoneticPr fontId="3" type="noConversion"/>
  </si>
  <si>
    <t>Chris Chang</t>
    <phoneticPr fontId="8" type="noConversion"/>
  </si>
  <si>
    <t>Simon Yang</t>
    <phoneticPr fontId="8" type="noConversion"/>
  </si>
  <si>
    <t>NA</t>
    <phoneticPr fontId="3" type="noConversion"/>
  </si>
  <si>
    <t>Allen Chen</t>
    <phoneticPr fontId="8" type="noConversion"/>
  </si>
  <si>
    <t>EMEA</t>
    <phoneticPr fontId="3" type="noConversion"/>
  </si>
  <si>
    <t>APJ</t>
    <phoneticPr fontId="3" type="noConversion"/>
  </si>
  <si>
    <t>Rice Krispies</t>
    <phoneticPr fontId="3" type="noConversion"/>
  </si>
  <si>
    <t>Commercial/Consumer</t>
    <phoneticPr fontId="3" type="noConversion"/>
  </si>
  <si>
    <t>200/OPP</t>
    <phoneticPr fontId="3" type="noConversion"/>
  </si>
  <si>
    <t>ASHMORE/ASHMORE6U/ASHMORER6U/HAWKING/HEDWIG/HEDWIG6U/SILVERBELL/HEDWIGR6U</t>
    <phoneticPr fontId="8" type="noConversion"/>
  </si>
  <si>
    <t>MALDIVES/MALDIVES6U/HERSCHEL/HERSCHEL6U/HERSCHELR6U/MALDIVESR6U</t>
    <phoneticPr fontId="3" type="noConversion"/>
  </si>
  <si>
    <t>Wisteria Lavender</t>
  </si>
  <si>
    <t>INVENTEC</t>
  </si>
  <si>
    <t>HOKIE/RAMESES/RAMESES6U</t>
    <phoneticPr fontId="3" type="noConversion"/>
  </si>
  <si>
    <t>W China/NMC</t>
    <phoneticPr fontId="8" type="noConversion"/>
  </si>
  <si>
    <t>OTTO/SEBASTIAN/OTTO6U/SEBASTIAN6U</t>
    <phoneticPr fontId="3" type="noConversion"/>
  </si>
  <si>
    <t>NMC</t>
    <phoneticPr fontId="3" type="noConversion"/>
  </si>
  <si>
    <t>OTTO/SEBASTIAN/OTTO6U/SEBASTIAN6U</t>
  </si>
  <si>
    <t>Minty Teal</t>
    <phoneticPr fontId="3" type="noConversion"/>
  </si>
  <si>
    <t>Sunkissed Plum</t>
    <phoneticPr fontId="3" type="noConversion"/>
  </si>
  <si>
    <t>2024 11</t>
    <phoneticPr fontId="3" type="noConversion"/>
  </si>
  <si>
    <t>2024 12</t>
    <phoneticPr fontId="3" type="noConversion"/>
  </si>
  <si>
    <t>2025 01</t>
  </si>
  <si>
    <t>2025 02</t>
  </si>
  <si>
    <t>2025 03</t>
  </si>
  <si>
    <t>2025 04</t>
  </si>
  <si>
    <t>2025 05</t>
  </si>
  <si>
    <t>2025 06</t>
  </si>
  <si>
    <t>2025 07</t>
  </si>
  <si>
    <t>2025 08</t>
  </si>
  <si>
    <t>2025 09</t>
  </si>
  <si>
    <t>2025 10</t>
  </si>
  <si>
    <t>Total Rebate in Q1 2025 (US$)</t>
    <phoneticPr fontId="3" type="noConversion"/>
  </si>
  <si>
    <t>Total Rebate in Q2 2025 (US$)</t>
  </si>
  <si>
    <t>Total Rebate in Q3 2025 (US$)</t>
  </si>
  <si>
    <t>Total Rebate in Q4 2025 (US$)</t>
  </si>
  <si>
    <t>2009/2010/….2023/2024/2025</t>
  </si>
  <si>
    <t>Platform name please strictly follow the LTF</t>
  </si>
  <si>
    <t>NBL KB/BL KB/Mouse
/Combo/Clickpad/Dongle</t>
  </si>
  <si>
    <t>If no Size, fill in "NA/"</t>
  </si>
  <si>
    <t>If no Color, fill in "NA/"</t>
  </si>
  <si>
    <t>E China/W China/S China/Thailand/Vietnam</t>
  </si>
  <si>
    <r>
      <t xml:space="preserve">COMPAL/QUANTA/INVENTEC/WISTRON/FOXCONN
</t>
    </r>
    <r>
      <rPr>
        <sz val="10"/>
        <color rgb="FFFF0000"/>
        <rFont val="Calibri"/>
        <family val="2"/>
      </rPr>
      <t>*If the ODM is not listed above, do not write 'OTHERS'. Please refer to the ODM or Regional site name as stated in the contract.</t>
    </r>
  </si>
  <si>
    <t>Please fill in your supplier part#</t>
  </si>
  <si>
    <t>Do not fill in ODM or Supplier part# at this column</t>
  </si>
  <si>
    <t>APJ/EMEA/NA/ODM</t>
  </si>
  <si>
    <t>If you don't have hp part#, pls fill in ODM part# without localization</t>
  </si>
  <si>
    <t>FY25</t>
  </si>
  <si>
    <t>HP/ODM Part#</t>
  </si>
  <si>
    <t>FY25</t>
    <phoneticPr fontId="3" type="noConversion"/>
  </si>
  <si>
    <t>ROZ 16/REX 16/ OAKEN 16/OLAF 16/LONGHORNZ</t>
    <phoneticPr fontId="3" type="noConversion"/>
  </si>
  <si>
    <t>QUANTA_CQ</t>
  </si>
  <si>
    <t>9Z.NN0SQ.0</t>
    <phoneticPr fontId="3" type="noConversion"/>
  </si>
  <si>
    <t>ODM</t>
    <phoneticPr fontId="3" type="noConversion"/>
  </si>
  <si>
    <t>AEX8W**0210</t>
  </si>
  <si>
    <t>9Z.NN0BQ.1</t>
    <phoneticPr fontId="3" type="noConversion"/>
  </si>
  <si>
    <t>AEX8W**1210</t>
  </si>
  <si>
    <t>9Z.NN0BQ.2</t>
    <phoneticPr fontId="3" type="noConversion"/>
  </si>
  <si>
    <t>Privacy</t>
    <phoneticPr fontId="3" type="noConversion"/>
  </si>
  <si>
    <t>AEX8W**2210</t>
  </si>
  <si>
    <t>Thailand</t>
    <phoneticPr fontId="3" type="noConversion"/>
  </si>
  <si>
    <t>QUANTA_TH</t>
    <phoneticPr fontId="3" type="noConversion"/>
  </si>
  <si>
    <t>WAFER16/WAFFLE16/PUDDING16/RAINBOWCAKE16/RUMCAKE16</t>
    <phoneticPr fontId="3" type="noConversion"/>
  </si>
  <si>
    <t>9Z.NN0SQ.3</t>
    <phoneticPr fontId="3" type="noConversion"/>
  </si>
  <si>
    <t>AEX8W**3210</t>
  </si>
  <si>
    <t>9Z.NN0BQ.4</t>
    <phoneticPr fontId="3" type="noConversion"/>
  </si>
  <si>
    <t>AEX8W**4210</t>
  </si>
  <si>
    <t>9Z.NN0BQ.5</t>
    <phoneticPr fontId="3" type="noConversion"/>
  </si>
  <si>
    <t>AEX8W**5210</t>
  </si>
  <si>
    <t>MACHU14/MACHU14N/MACHUW14/MACHU13/MACHU13X/LAPAZW14/LAPAZW14N/COLOSSEUMW14N</t>
    <phoneticPr fontId="3" type="noConversion"/>
  </si>
  <si>
    <t>INVENTEC_CQ</t>
    <phoneticPr fontId="8" type="noConversion"/>
  </si>
  <si>
    <t>9Z.NNFBV.0</t>
    <phoneticPr fontId="3" type="noConversion"/>
  </si>
  <si>
    <t>6037B02861**</t>
  </si>
  <si>
    <t>9Z.NNFBV.1</t>
    <phoneticPr fontId="3" type="noConversion"/>
  </si>
  <si>
    <t>6037B02860**</t>
  </si>
  <si>
    <t>9Z.NNFPV.2</t>
    <phoneticPr fontId="3" type="noConversion"/>
  </si>
  <si>
    <t>6037B02855**</t>
  </si>
  <si>
    <t>MACHU16/MACHUW16</t>
    <phoneticPr fontId="3" type="noConversion"/>
  </si>
  <si>
    <t>9Z.NNGBV.0</t>
    <phoneticPr fontId="3" type="noConversion"/>
  </si>
  <si>
    <t>6037B02857**</t>
  </si>
  <si>
    <t>9Z.NNGBV.1</t>
    <phoneticPr fontId="3" type="noConversion"/>
  </si>
  <si>
    <t>6037B02863**</t>
  </si>
  <si>
    <t>9Z.NNGPV.2</t>
    <phoneticPr fontId="3" type="noConversion"/>
  </si>
  <si>
    <t>6037B02856**</t>
  </si>
  <si>
    <t>INVENTEC_TH</t>
    <phoneticPr fontId="3" type="noConversion"/>
  </si>
  <si>
    <t>9Z.NNFBV.3</t>
    <phoneticPr fontId="3" type="noConversion"/>
  </si>
  <si>
    <t>9Z.NNFBV.4</t>
    <phoneticPr fontId="3" type="noConversion"/>
  </si>
  <si>
    <t>9Z.NNFPV.5</t>
    <phoneticPr fontId="3" type="noConversion"/>
  </si>
  <si>
    <t>9Z.NNGBV.3</t>
    <phoneticPr fontId="3" type="noConversion"/>
  </si>
  <si>
    <t>9Z.NNGBV.4</t>
    <phoneticPr fontId="3" type="noConversion"/>
  </si>
  <si>
    <t>9Z.NNGPV.5</t>
    <phoneticPr fontId="3" type="noConversion"/>
  </si>
  <si>
    <t>9Z.NNFBV.6</t>
    <phoneticPr fontId="3" type="noConversion"/>
  </si>
  <si>
    <t>for Mexico</t>
    <phoneticPr fontId="3" type="noConversion"/>
  </si>
  <si>
    <t>9Z.NNFBV.7</t>
    <phoneticPr fontId="3" type="noConversion"/>
  </si>
  <si>
    <t>9Z.NNFPV.8</t>
    <phoneticPr fontId="3" type="noConversion"/>
  </si>
  <si>
    <t>9Z.NNGBV.6</t>
    <phoneticPr fontId="3" type="noConversion"/>
  </si>
  <si>
    <t>9Z.NNGBV.7</t>
    <phoneticPr fontId="3" type="noConversion"/>
  </si>
  <si>
    <t>9Z.NNGPV.8</t>
    <phoneticPr fontId="3" type="noConversion"/>
  </si>
  <si>
    <t>ERNESTO/ERNESTOX/MASADAN/MASADANX</t>
    <phoneticPr fontId="3" type="noConversion"/>
  </si>
  <si>
    <t>9Z.NMVBV.0</t>
    <phoneticPr fontId="3" type="noConversion"/>
  </si>
  <si>
    <t>6037B02723**</t>
  </si>
  <si>
    <t>9Z.NMVBV.1</t>
    <phoneticPr fontId="3" type="noConversion"/>
  </si>
  <si>
    <t>6037B02724**</t>
  </si>
  <si>
    <t>MASADAN/MASADANX</t>
    <phoneticPr fontId="3" type="noConversion"/>
  </si>
  <si>
    <t>Atmospheric Blue</t>
    <phoneticPr fontId="3" type="noConversion"/>
  </si>
  <si>
    <t>9Z.NMVBV.2</t>
    <phoneticPr fontId="3" type="noConversion"/>
  </si>
  <si>
    <t>6037B02881**</t>
  </si>
  <si>
    <t>9Z.NMVBV.3</t>
    <phoneticPr fontId="3" type="noConversion"/>
  </si>
  <si>
    <t>6037B02883**</t>
  </si>
  <si>
    <t>INVENTEC_TH</t>
    <phoneticPr fontId="8" type="noConversion"/>
  </si>
  <si>
    <t>ANOLE1/ANOLE2</t>
    <phoneticPr fontId="8" type="noConversion"/>
  </si>
  <si>
    <t>Jet Black</t>
    <phoneticPr fontId="3" type="noConversion"/>
  </si>
  <si>
    <t>9Z.NK4SV.0</t>
    <phoneticPr fontId="3" type="noConversion"/>
  </si>
  <si>
    <t>6037B02269**</t>
  </si>
  <si>
    <t>Jellyfish Blue</t>
    <phoneticPr fontId="3" type="noConversion"/>
  </si>
  <si>
    <t>9Z.NK4SV.1</t>
    <phoneticPr fontId="3" type="noConversion"/>
  </si>
  <si>
    <t>6037B02270**</t>
  </si>
  <si>
    <r>
      <t xml:space="preserve">Emerald Green </t>
    </r>
    <r>
      <rPr>
        <sz val="11"/>
        <color rgb="FFFF0000"/>
        <rFont val="Calibri"/>
        <family val="2"/>
      </rPr>
      <t>Micro</t>
    </r>
  </si>
  <si>
    <t>9Z.NK4SV.2</t>
    <phoneticPr fontId="3" type="noConversion"/>
  </si>
  <si>
    <t>6037B02407**</t>
  </si>
  <si>
    <t>ARIZONA/ARIZONAR2</t>
    <phoneticPr fontId="3" type="noConversion"/>
  </si>
  <si>
    <t>9Z.NK4SV.3</t>
    <phoneticPr fontId="3" type="noConversion"/>
  </si>
  <si>
    <t>6037B02643**</t>
  </si>
  <si>
    <t>9Z.NK4SV.4</t>
    <phoneticPr fontId="3" type="noConversion"/>
  </si>
  <si>
    <t>6037B02644**</t>
  </si>
  <si>
    <t>9Z.NK4SV.5</t>
    <phoneticPr fontId="3" type="noConversion"/>
  </si>
  <si>
    <t>6037B02645**</t>
  </si>
  <si>
    <t>9Z.NK4SV.6</t>
    <phoneticPr fontId="3" type="noConversion"/>
  </si>
  <si>
    <t>Copilot</t>
    <phoneticPr fontId="3" type="noConversion"/>
  </si>
  <si>
    <t>6037B02909**</t>
  </si>
  <si>
    <t>Emerald Green</t>
    <phoneticPr fontId="3" type="noConversion"/>
  </si>
  <si>
    <t>9Z.NK4SV.8</t>
    <phoneticPr fontId="3" type="noConversion"/>
  </si>
  <si>
    <t>6037B02914**</t>
  </si>
  <si>
    <t>ARCLIGHT</t>
    <phoneticPr fontId="3" type="noConversion"/>
  </si>
  <si>
    <t>9Z.NK5SV.0</t>
    <phoneticPr fontId="3" type="noConversion"/>
  </si>
  <si>
    <t>6037B02271**</t>
  </si>
  <si>
    <r>
      <t xml:space="preserve">Modern </t>
    </r>
    <r>
      <rPr>
        <sz val="11"/>
        <color rgb="FFFF0000"/>
        <rFont val="Calibri"/>
        <family val="2"/>
      </rPr>
      <t>Grey</t>
    </r>
  </si>
  <si>
    <t>QUANTA_CQ</t>
    <phoneticPr fontId="3" type="noConversion"/>
  </si>
  <si>
    <t>9Z.NH7SQ.6</t>
    <phoneticPr fontId="3" type="noConversion"/>
  </si>
  <si>
    <t>AE0GA**0130</t>
  </si>
  <si>
    <t>9Z.NH7SQ.2</t>
    <phoneticPr fontId="3" type="noConversion"/>
  </si>
  <si>
    <t>AE0GL**0010</t>
  </si>
  <si>
    <t>9Z.NH7BQ.3</t>
    <phoneticPr fontId="3" type="noConversion"/>
  </si>
  <si>
    <t>AE0GL**0030</t>
  </si>
  <si>
    <t>Slate Blue</t>
    <phoneticPr fontId="3" type="noConversion"/>
  </si>
  <si>
    <t>9Z.NKLBQ.4</t>
    <phoneticPr fontId="3" type="noConversion"/>
  </si>
  <si>
    <t>AE0GR**0030</t>
  </si>
  <si>
    <t>9Z.NKLBQ.5</t>
    <phoneticPr fontId="3" type="noConversion"/>
  </si>
  <si>
    <t>AE0GR**1030</t>
  </si>
  <si>
    <t>9Z.NKKBQ.A</t>
    <phoneticPr fontId="3" type="noConversion"/>
  </si>
  <si>
    <t>AE0GS**2010</t>
  </si>
  <si>
    <t>9Z.NKKPQ.C</t>
    <phoneticPr fontId="3" type="noConversion"/>
  </si>
  <si>
    <t>AE0GS**1020</t>
  </si>
  <si>
    <t>LONGBAY/GRACEBAY</t>
    <phoneticPr fontId="3" type="noConversion"/>
  </si>
  <si>
    <t>WISTRON_CQ</t>
    <phoneticPr fontId="3" type="noConversion"/>
  </si>
  <si>
    <t>9Z.NKKSW.2</t>
    <phoneticPr fontId="3" type="noConversion"/>
  </si>
  <si>
    <t>490.0TU07.0D**</t>
  </si>
  <si>
    <t>9Z.NKKBW.3</t>
    <phoneticPr fontId="3" type="noConversion"/>
  </si>
  <si>
    <t>490.0TU07.2D**</t>
  </si>
  <si>
    <t>9Z.NKKSW.4</t>
    <phoneticPr fontId="3" type="noConversion"/>
  </si>
  <si>
    <t>490.0TU07.4D**</t>
  </si>
  <si>
    <t>Darker Lilac Lavender Opaque</t>
    <phoneticPr fontId="3" type="noConversion"/>
  </si>
  <si>
    <t>9Z.NKKSW.6</t>
    <phoneticPr fontId="3" type="noConversion"/>
  </si>
  <si>
    <t>490.0TU07.8D**</t>
  </si>
  <si>
    <t>BOMBAY</t>
    <phoneticPr fontId="3" type="noConversion"/>
  </si>
  <si>
    <t>9Z.NKKBQ.M</t>
    <phoneticPr fontId="3" type="noConversion"/>
  </si>
  <si>
    <t>AE1G5**1110</t>
  </si>
  <si>
    <t>9Z.NKKSQ.N</t>
    <phoneticPr fontId="3" type="noConversion"/>
  </si>
  <si>
    <t>AE1G5**0110</t>
  </si>
  <si>
    <t>9Z.NKKBQ.P</t>
    <phoneticPr fontId="3" type="noConversion"/>
  </si>
  <si>
    <t>AE1G5**1120</t>
  </si>
  <si>
    <t>9Z.NKKSQ.Q</t>
    <phoneticPr fontId="3" type="noConversion"/>
  </si>
  <si>
    <t>AE1G5**0120</t>
  </si>
  <si>
    <t>Darker Sky blue Opaque</t>
    <phoneticPr fontId="3" type="noConversion"/>
  </si>
  <si>
    <t>9Z.NKKSQ.R</t>
    <phoneticPr fontId="3" type="noConversion"/>
  </si>
  <si>
    <t>AE1G5**0130</t>
  </si>
  <si>
    <t>9Z.NKKSQ.S</t>
    <phoneticPr fontId="3" type="noConversion"/>
  </si>
  <si>
    <t>AE1G5**0140</t>
  </si>
  <si>
    <t>9Z.NKKBQ.T</t>
    <phoneticPr fontId="3" type="noConversion"/>
  </si>
  <si>
    <t>AE1G5**1130</t>
  </si>
  <si>
    <t>9Z.NKKBQ.U</t>
    <phoneticPr fontId="3" type="noConversion"/>
  </si>
  <si>
    <t>AE1G5**1140</t>
  </si>
  <si>
    <t>Darker Forest Teal Opaque</t>
    <phoneticPr fontId="3" type="noConversion"/>
  </si>
  <si>
    <t>9Z.NKKBQ.V</t>
    <phoneticPr fontId="3" type="noConversion"/>
  </si>
  <si>
    <t>AE1G5**1150</t>
  </si>
  <si>
    <t>FOXCONN_WH</t>
    <phoneticPr fontId="8" type="noConversion"/>
  </si>
  <si>
    <t>9Z.P6S</t>
    <phoneticPr fontId="3" type="noConversion"/>
  </si>
  <si>
    <t>803181-xx1</t>
    <phoneticPr fontId="3" type="noConversion"/>
  </si>
  <si>
    <t>INVENTEC_CQ</t>
  </si>
  <si>
    <t>9Z.P7T</t>
    <phoneticPr fontId="3" type="noConversion"/>
  </si>
  <si>
    <t>L96909-xx1</t>
    <phoneticPr fontId="3" type="noConversion"/>
  </si>
  <si>
    <t>FOXCONN_WH</t>
  </si>
  <si>
    <t>L96909-xx1</t>
  </si>
  <si>
    <t>WISTRON_CQ</t>
  </si>
  <si>
    <t>QUANTA_TH</t>
  </si>
  <si>
    <t>INVENTEC_TH</t>
  </si>
  <si>
    <t>Flextronics_CZ</t>
  </si>
  <si>
    <t>FOXCONN_CZ</t>
  </si>
  <si>
    <t>FOXCONN_Juarez</t>
    <phoneticPr fontId="3" type="noConversion"/>
  </si>
  <si>
    <t>9Z.Q4D</t>
    <phoneticPr fontId="3" type="noConversion"/>
  </si>
  <si>
    <t>L96910-001</t>
  </si>
  <si>
    <t>9J.P8P</t>
    <phoneticPr fontId="3" type="noConversion"/>
  </si>
  <si>
    <t>M27527-xx1</t>
    <phoneticPr fontId="3" type="noConversion"/>
  </si>
  <si>
    <t>M27527-xx1</t>
  </si>
  <si>
    <t>9J.Q4M</t>
    <phoneticPr fontId="3" type="noConversion"/>
  </si>
  <si>
    <t>M27537-001</t>
  </si>
  <si>
    <t>HALLEY AI/PCR</t>
    <phoneticPr fontId="8" type="noConversion"/>
  </si>
  <si>
    <t>9J.P7T</t>
    <phoneticPr fontId="3" type="noConversion"/>
  </si>
  <si>
    <t>Copilot/PCR</t>
    <phoneticPr fontId="3" type="noConversion"/>
  </si>
  <si>
    <t>P10204-xx1</t>
    <phoneticPr fontId="3" type="noConversion"/>
  </si>
  <si>
    <t>P10204-xx1</t>
  </si>
  <si>
    <t>HALLEY PCR</t>
    <phoneticPr fontId="8" type="noConversion"/>
  </si>
  <si>
    <t>9J.Q4D</t>
    <phoneticPr fontId="3" type="noConversion"/>
  </si>
  <si>
    <t>85%PCR</t>
    <phoneticPr fontId="3" type="noConversion"/>
  </si>
  <si>
    <t>P10276-001</t>
  </si>
  <si>
    <t>CAPTAIN CRUNCH AI/PCR</t>
    <phoneticPr fontId="3" type="noConversion"/>
  </si>
  <si>
    <t>P10197-xx1</t>
    <phoneticPr fontId="3" type="noConversion"/>
  </si>
  <si>
    <t>P10197-xx1</t>
  </si>
  <si>
    <t>CAPTAIN CRUNCH PCR</t>
    <phoneticPr fontId="3" type="noConversion"/>
  </si>
  <si>
    <t>P10272-001</t>
  </si>
  <si>
    <t>QUANTA_CQ</t>
    <phoneticPr fontId="8" type="noConversion"/>
  </si>
  <si>
    <t>9Z.NE1BQ.Q</t>
    <phoneticPr fontId="3" type="noConversion"/>
  </si>
  <si>
    <t>AE0P5**1020</t>
  </si>
  <si>
    <t>9Z.NE1PQ.R</t>
    <phoneticPr fontId="3" type="noConversion"/>
  </si>
  <si>
    <t>AE0P5**0020</t>
  </si>
  <si>
    <t>9Z.NE1BQ.S</t>
    <phoneticPr fontId="3" type="noConversion"/>
  </si>
  <si>
    <t>AE0P5**1010</t>
  </si>
  <si>
    <t>9Z.NE1SQ.T</t>
    <phoneticPr fontId="3" type="noConversion"/>
  </si>
  <si>
    <t>AE0P5**0010</t>
  </si>
  <si>
    <t>9Z.NE1BQ.U</t>
    <phoneticPr fontId="3" type="noConversion"/>
  </si>
  <si>
    <t>AE0P5**1030</t>
  </si>
  <si>
    <t>9Z.NE1SQ.V</t>
    <phoneticPr fontId="3" type="noConversion"/>
  </si>
  <si>
    <t>AE0P5**0030</t>
  </si>
  <si>
    <t>Jet Black</t>
    <phoneticPr fontId="8" type="noConversion"/>
  </si>
  <si>
    <t>9Z.NE1SQ.X</t>
    <phoneticPr fontId="3" type="noConversion"/>
  </si>
  <si>
    <t>AE0P5**0040</t>
  </si>
  <si>
    <t>9Z.NE1BQ.Y</t>
    <phoneticPr fontId="3" type="noConversion"/>
  </si>
  <si>
    <t>AE0P5**1070</t>
  </si>
  <si>
    <t>9Z.NE1PQ.Z</t>
    <phoneticPr fontId="3" type="noConversion"/>
  </si>
  <si>
    <t>AE0P5**0070</t>
  </si>
  <si>
    <t>9Z.NHXBQ.2</t>
    <phoneticPr fontId="3" type="noConversion"/>
  </si>
  <si>
    <t>AEG7H**1020</t>
  </si>
  <si>
    <t>9Z.NHXPQ.3</t>
    <phoneticPr fontId="3" type="noConversion"/>
  </si>
  <si>
    <t>AEG7H**0020</t>
  </si>
  <si>
    <t>9Z.NKUBW.0</t>
    <phoneticPr fontId="3" type="noConversion"/>
  </si>
  <si>
    <t>490.0RA07.1D**</t>
  </si>
  <si>
    <t>9Z.NHXBW.Q</t>
    <phoneticPr fontId="3" type="noConversion"/>
  </si>
  <si>
    <t>490.0TG07.0D**</t>
  </si>
  <si>
    <t>9Z.NMJBW.6</t>
    <phoneticPr fontId="3" type="noConversion"/>
  </si>
  <si>
    <t>490.0TG07.2D**</t>
  </si>
  <si>
    <t>COMPAL_KS</t>
    <phoneticPr fontId="3" type="noConversion"/>
  </si>
  <si>
    <t>9Z.NHXBC.Q</t>
    <phoneticPr fontId="3" type="noConversion"/>
  </si>
  <si>
    <t>PK139AS1A**</t>
  </si>
  <si>
    <t>9Z.NMJBC.E</t>
    <phoneticPr fontId="3" type="noConversion"/>
  </si>
  <si>
    <t>PK139AS1B**</t>
  </si>
  <si>
    <t>SALUTE</t>
    <phoneticPr fontId="3" type="noConversion"/>
  </si>
  <si>
    <t>9Z.NNWBW.0</t>
    <phoneticPr fontId="3" type="noConversion"/>
  </si>
  <si>
    <t>490.0W707.1D**</t>
  </si>
  <si>
    <t>9Z.NNWPW.1</t>
    <phoneticPr fontId="3" type="noConversion"/>
  </si>
  <si>
    <t>490.0W707.0D**</t>
  </si>
  <si>
    <t>9Z.NNWBW.3</t>
    <phoneticPr fontId="3" type="noConversion"/>
  </si>
  <si>
    <t>490.0W707.3D**</t>
  </si>
  <si>
    <t>9Z.NNWPW.4</t>
    <phoneticPr fontId="3" type="noConversion"/>
  </si>
  <si>
    <t>490.0W707.2D**</t>
  </si>
  <si>
    <t>Powder Pink Opaque</t>
    <phoneticPr fontId="3" type="noConversion"/>
  </si>
  <si>
    <t>9Z.NNWBW.5</t>
    <phoneticPr fontId="3" type="noConversion"/>
  </si>
  <si>
    <t>490.0W707.5D**</t>
  </si>
  <si>
    <t>QUADRO/CODA</t>
    <phoneticPr fontId="3" type="noConversion"/>
  </si>
  <si>
    <t>HUAQIN_NT</t>
    <phoneticPr fontId="3" type="noConversion"/>
  </si>
  <si>
    <t>9Z.NNWBN.0</t>
    <phoneticPr fontId="3" type="noConversion"/>
  </si>
  <si>
    <t>HQ254030*****</t>
  </si>
  <si>
    <t>9Z.NNWPN.1</t>
    <phoneticPr fontId="3" type="noConversion"/>
  </si>
  <si>
    <t>9Z.NMEBQ.0</t>
    <phoneticPr fontId="3" type="noConversion"/>
  </si>
  <si>
    <t>AEX3D**0160</t>
  </si>
  <si>
    <t>Nightfall Black Opaque</t>
    <phoneticPr fontId="3" type="noConversion"/>
  </si>
  <si>
    <t>9Z.NMEBQ.1</t>
    <phoneticPr fontId="3" type="noConversion"/>
  </si>
  <si>
    <t>AEX3D**0120</t>
  </si>
  <si>
    <t>Slate Blue Opaque</t>
    <phoneticPr fontId="3" type="noConversion"/>
  </si>
  <si>
    <t>9Z.NMEBQ.2</t>
    <phoneticPr fontId="3" type="noConversion"/>
  </si>
  <si>
    <t>AEX3D**0140</t>
  </si>
  <si>
    <t>9Z.NKTBC.A</t>
    <phoneticPr fontId="3" type="noConversion"/>
  </si>
  <si>
    <t>PK133W62A**</t>
  </si>
  <si>
    <t>9Z.NKTBC.B</t>
    <phoneticPr fontId="3" type="noConversion"/>
  </si>
  <si>
    <t>PK133W62D**</t>
  </si>
  <si>
    <r>
      <t xml:space="preserve">Moonstone </t>
    </r>
    <r>
      <rPr>
        <sz val="11"/>
        <color rgb="FFFF0000"/>
        <rFont val="Calibri"/>
        <family val="2"/>
      </rPr>
      <t>Grey</t>
    </r>
  </si>
  <si>
    <t>9Z.NKTBC.G</t>
    <phoneticPr fontId="3" type="noConversion"/>
  </si>
  <si>
    <t>PK133W62E**</t>
  </si>
  <si>
    <t>9Z.NKUBW.Q</t>
    <phoneticPr fontId="3" type="noConversion"/>
  </si>
  <si>
    <t>490.0T407.2D**</t>
  </si>
  <si>
    <t>9Z.NKUBW.R</t>
    <phoneticPr fontId="3" type="noConversion"/>
  </si>
  <si>
    <t>490.0T407.4D**</t>
  </si>
  <si>
    <t>CADET/ENSTROM/CLIPPERX/PISTON</t>
    <phoneticPr fontId="3" type="noConversion"/>
  </si>
  <si>
    <t>9Z.NNRBW.0</t>
    <phoneticPr fontId="3" type="noConversion"/>
  </si>
  <si>
    <t>490.0W107.0D**</t>
  </si>
  <si>
    <t>Darker Atmospheric Blue Opaque</t>
    <phoneticPr fontId="3" type="noConversion"/>
  </si>
  <si>
    <t>9Z.NNRBW.1</t>
    <phoneticPr fontId="3" type="noConversion"/>
  </si>
  <si>
    <t>490.0W107.2D**</t>
  </si>
  <si>
    <r>
      <t xml:space="preserve">Darker Eclipse </t>
    </r>
    <r>
      <rPr>
        <sz val="11"/>
        <color rgb="FFFF0000"/>
        <rFont val="Calibri"/>
        <family val="2"/>
      </rPr>
      <t>Grey</t>
    </r>
    <r>
      <rPr>
        <sz val="11"/>
        <rFont val="Calibri"/>
        <family val="2"/>
      </rPr>
      <t xml:space="preserve"> Opaque</t>
    </r>
  </si>
  <si>
    <t>9Z.NNRBW.2</t>
    <phoneticPr fontId="3" type="noConversion"/>
  </si>
  <si>
    <t>490.0W107.4D**</t>
  </si>
  <si>
    <t>TURBINEX</t>
    <phoneticPr fontId="3" type="noConversion"/>
  </si>
  <si>
    <t>9Z.NNSBW.0</t>
    <phoneticPr fontId="3" type="noConversion"/>
  </si>
  <si>
    <t>490.0VY07.0D**</t>
  </si>
  <si>
    <t>TURBINE7</t>
    <phoneticPr fontId="3" type="noConversion"/>
  </si>
  <si>
    <t>9Z.NNTBW.0</t>
    <phoneticPr fontId="3" type="noConversion"/>
  </si>
  <si>
    <t>490.0W307.0D**</t>
  </si>
  <si>
    <t>TREKKERX</t>
    <phoneticPr fontId="3" type="noConversion"/>
  </si>
  <si>
    <t>9Z.NNSBQ.0</t>
    <phoneticPr fontId="3" type="noConversion"/>
  </si>
  <si>
    <t>AEG7J**1210</t>
  </si>
  <si>
    <t>TREKKER7</t>
    <phoneticPr fontId="3" type="noConversion"/>
  </si>
  <si>
    <t>9Z.NNTBQ.0</t>
    <phoneticPr fontId="3" type="noConversion"/>
  </si>
  <si>
    <t>AEG7J**0210</t>
  </si>
  <si>
    <t>BRUNOBEAR/THETIGER</t>
    <phoneticPr fontId="3" type="noConversion"/>
  </si>
  <si>
    <t>1 Zone W/O Numpad_Shadow Black</t>
    <phoneticPr fontId="3" type="noConversion"/>
  </si>
  <si>
    <t>9Z.NHQBC.E</t>
    <phoneticPr fontId="3" type="noConversion"/>
  </si>
  <si>
    <t>PK137II2I**</t>
  </si>
  <si>
    <t>4 Zone RGB W/O Numpad_Shadow Black</t>
    <phoneticPr fontId="3" type="noConversion"/>
  </si>
  <si>
    <t>9Z.NHQBC.F</t>
    <phoneticPr fontId="3" type="noConversion"/>
  </si>
  <si>
    <t>PK137II2J**</t>
  </si>
  <si>
    <t>1 Zone W Numpad_Shadow Black</t>
    <phoneticPr fontId="3" type="noConversion"/>
  </si>
  <si>
    <t>9Z.NHUBC.C</t>
    <phoneticPr fontId="3" type="noConversion"/>
  </si>
  <si>
    <t>PK137IF2E**</t>
  </si>
  <si>
    <t>4 Zone RGB W Numpad_Shadow Black</t>
    <phoneticPr fontId="3" type="noConversion"/>
  </si>
  <si>
    <t>9Z.NHUBC.D</t>
    <phoneticPr fontId="3" type="noConversion"/>
  </si>
  <si>
    <t>PK137IF2F**</t>
  </si>
  <si>
    <t>QUAKER</t>
    <phoneticPr fontId="3" type="noConversion"/>
  </si>
  <si>
    <t>9Z.NHQBC.G</t>
    <phoneticPr fontId="3" type="noConversion"/>
  </si>
  <si>
    <t>PK137II2L**</t>
  </si>
  <si>
    <t>4 Zone RGB W/O Numpad_Ceramic White</t>
    <phoneticPr fontId="3" type="noConversion"/>
  </si>
  <si>
    <t>9Z.NHQBC.L</t>
    <phoneticPr fontId="3" type="noConversion"/>
  </si>
  <si>
    <t>PK137II2P**</t>
  </si>
  <si>
    <t>VOCO</t>
    <phoneticPr fontId="3" type="noConversion"/>
  </si>
  <si>
    <t>9Z.NMXBQ.0</t>
    <phoneticPr fontId="3" type="noConversion"/>
  </si>
  <si>
    <t>AEG3Q**0010</t>
  </si>
  <si>
    <t>9Z.NMXBQ.1</t>
    <phoneticPr fontId="3" type="noConversion"/>
  </si>
  <si>
    <t>AEG3Q**0020</t>
  </si>
  <si>
    <t>RGB Per Key W/O Numpad_Shadow Black</t>
    <phoneticPr fontId="3" type="noConversion"/>
  </si>
  <si>
    <t>9Z.NMXBQ.2</t>
    <phoneticPr fontId="3" type="noConversion"/>
  </si>
  <si>
    <t>AEG3Q**1010</t>
  </si>
  <si>
    <t>RGB Per Key W/O Numpad_Ceramic White</t>
    <phoneticPr fontId="3" type="noConversion"/>
  </si>
  <si>
    <t>9Z.NMXBQ.3</t>
    <phoneticPr fontId="3" type="noConversion"/>
  </si>
  <si>
    <t>AEG3Q**1020</t>
  </si>
  <si>
    <t>VOCO2</t>
    <phoneticPr fontId="3" type="noConversion"/>
  </si>
  <si>
    <t>9Z.NMXBQ.4</t>
    <phoneticPr fontId="3" type="noConversion"/>
  </si>
  <si>
    <t>AEG3Q**2010</t>
  </si>
  <si>
    <t>9Z.NMXBQ.5</t>
    <phoneticPr fontId="3" type="noConversion"/>
  </si>
  <si>
    <t>AEG3Q**2020</t>
  </si>
  <si>
    <t>9Z.NMXBQ.6</t>
    <phoneticPr fontId="3" type="noConversion"/>
  </si>
  <si>
    <t>AEG3Q**3010</t>
  </si>
  <si>
    <t>DOJO</t>
    <phoneticPr fontId="3" type="noConversion"/>
  </si>
  <si>
    <t>9Z.NNBBV.0</t>
    <phoneticPr fontId="3" type="noConversion"/>
  </si>
  <si>
    <t>6037B02829**</t>
  </si>
  <si>
    <t>4 Zone RGB W Numpad_Ceramic White</t>
    <phoneticPr fontId="3" type="noConversion"/>
  </si>
  <si>
    <t>9Z.NNBBV.2</t>
    <phoneticPr fontId="3" type="noConversion"/>
  </si>
  <si>
    <t>6037B02830**</t>
  </si>
  <si>
    <t>RGB Per Key W Numpad_Shadow Black</t>
    <phoneticPr fontId="3" type="noConversion"/>
  </si>
  <si>
    <t>9Z.NNBBV.4</t>
    <phoneticPr fontId="3" type="noConversion"/>
  </si>
  <si>
    <t>6037B02828**</t>
  </si>
  <si>
    <t>RGB Per Key W Numpad_Ceramic White</t>
    <phoneticPr fontId="3" type="noConversion"/>
  </si>
  <si>
    <t>9Z.NNBBV.6</t>
    <phoneticPr fontId="3" type="noConversion"/>
  </si>
  <si>
    <t>6037B02831**</t>
  </si>
  <si>
    <t>HANNA/KHALILAH</t>
    <phoneticPr fontId="3" type="noConversion"/>
  </si>
  <si>
    <t>9Z.NNEBQ.0</t>
    <phoneticPr fontId="3" type="noConversion"/>
  </si>
  <si>
    <t>AEG3T**0010_1 Zone W Numpad_Shadow Black</t>
  </si>
  <si>
    <t>9Z.NNEBQ.2</t>
    <phoneticPr fontId="3" type="noConversion"/>
  </si>
  <si>
    <t>AEG3T**0010_4 Zone RGB W Numpad_Shadow Black</t>
  </si>
  <si>
    <t>1 Zone W Numpad_Ceramic White</t>
    <phoneticPr fontId="3" type="noConversion"/>
  </si>
  <si>
    <t>9Z.NNEBQ.4</t>
    <phoneticPr fontId="3" type="noConversion"/>
  </si>
  <si>
    <t>AEG3T**0010_1 Zone W Numpad_Ceramic White</t>
  </si>
  <si>
    <t>9Z.NNEBQ.6</t>
    <phoneticPr fontId="3" type="noConversion"/>
  </si>
  <si>
    <t>AEG3T**0010_4 Zone RGB W Numpad_Ceramic White</t>
  </si>
  <si>
    <t>Foxconn_LH</t>
    <phoneticPr fontId="8" type="noConversion"/>
  </si>
  <si>
    <t>9Z.P8C</t>
    <phoneticPr fontId="3" type="noConversion"/>
  </si>
  <si>
    <t>KBD HP 970 Programmable WL</t>
    <phoneticPr fontId="3" type="noConversion"/>
  </si>
  <si>
    <t>3Z729AA#ABA</t>
    <phoneticPr fontId="3" type="noConversion"/>
  </si>
  <si>
    <t>Foxconn_CZ</t>
    <phoneticPr fontId="8" type="noConversion"/>
  </si>
  <si>
    <t>3Z729AA#***</t>
    <phoneticPr fontId="3" type="noConversion"/>
  </si>
  <si>
    <t>Foxconn_US</t>
    <phoneticPr fontId="8" type="noConversion"/>
  </si>
  <si>
    <t>KBD HP 975 Dual-Mode WL</t>
    <phoneticPr fontId="3" type="noConversion"/>
  </si>
  <si>
    <t>3Z726AA#ABA</t>
    <phoneticPr fontId="3" type="noConversion"/>
  </si>
  <si>
    <t>3Z726AA#***</t>
    <phoneticPr fontId="3" type="noConversion"/>
  </si>
  <si>
    <t>Allen Chen</t>
    <phoneticPr fontId="3" type="noConversion"/>
  </si>
  <si>
    <t>9Z.Q4I88.HB1</t>
    <phoneticPr fontId="3" type="noConversion"/>
  </si>
  <si>
    <t>HP 920 Ergonomic Vertical Mouse NA</t>
    <phoneticPr fontId="3" type="noConversion"/>
  </si>
  <si>
    <t>6H1A4AA#ABA</t>
    <phoneticPr fontId="3" type="noConversion"/>
  </si>
  <si>
    <t>9Z.Q4I88.HB2</t>
    <phoneticPr fontId="3" type="noConversion"/>
  </si>
  <si>
    <t>HP 920 Ergonomic Vertical Mouse EURO</t>
    <phoneticPr fontId="3" type="noConversion"/>
  </si>
  <si>
    <t>6H1A4AA#ABB</t>
    <phoneticPr fontId="3" type="noConversion"/>
  </si>
  <si>
    <t>9Z.Q4I88.HB3</t>
    <phoneticPr fontId="3" type="noConversion"/>
  </si>
  <si>
    <t>HP 920 Ergonomic Vertical Mouse A/P</t>
    <phoneticPr fontId="3" type="noConversion"/>
  </si>
  <si>
    <t>6H1A4AA#UUF</t>
    <phoneticPr fontId="3" type="noConversion"/>
  </si>
  <si>
    <t>9Z.Q4I88.HA1</t>
    <phoneticPr fontId="3" type="noConversion"/>
  </si>
  <si>
    <t>HP 925 Ergonomic Vertical Mouse  NA</t>
    <phoneticPr fontId="3" type="noConversion"/>
  </si>
  <si>
    <t>6H1A5AA#ABA</t>
    <phoneticPr fontId="3" type="noConversion"/>
  </si>
  <si>
    <t>9Z.Q4I88.HA2</t>
    <phoneticPr fontId="3" type="noConversion"/>
  </si>
  <si>
    <t>HP 925 Ergonomic Vertical Mouse  EURO</t>
    <phoneticPr fontId="3" type="noConversion"/>
  </si>
  <si>
    <t>6H1A5AA#ABB</t>
    <phoneticPr fontId="3" type="noConversion"/>
  </si>
  <si>
    <t>9Z.Q4I88.HA3</t>
    <phoneticPr fontId="3" type="noConversion"/>
  </si>
  <si>
    <t>HP 925 Ergonomic Vertical Mouse  A/P</t>
    <phoneticPr fontId="3" type="noConversion"/>
  </si>
  <si>
    <t>6H1A5AA#UUF</t>
    <phoneticPr fontId="3" type="noConversion"/>
  </si>
  <si>
    <t>9Z.P8J</t>
    <phoneticPr fontId="3" type="noConversion"/>
  </si>
  <si>
    <t>HP 960 Ergo Wireless KBD</t>
    <phoneticPr fontId="3" type="noConversion"/>
  </si>
  <si>
    <t>7E755AA#ABA</t>
    <phoneticPr fontId="3" type="noConversion"/>
  </si>
  <si>
    <t>7E755AA#***</t>
    <phoneticPr fontId="3" type="noConversion"/>
  </si>
  <si>
    <t>HP 965 Ergo Wireless KBD</t>
    <phoneticPr fontId="3" type="noConversion"/>
  </si>
  <si>
    <t>7E756AA#ABA</t>
    <phoneticPr fontId="3" type="noConversion"/>
  </si>
  <si>
    <t>7E756AA#***</t>
    <phoneticPr fontId="3" type="noConversion"/>
  </si>
  <si>
    <t>9Z.NE0BV.F</t>
    <phoneticPr fontId="3" type="noConversion"/>
  </si>
  <si>
    <t>6037B01441**</t>
  </si>
  <si>
    <t>9Z.NE0SV.E</t>
    <phoneticPr fontId="3" type="noConversion"/>
  </si>
  <si>
    <t>6037B01434**</t>
  </si>
  <si>
    <t>COMPAL_KS</t>
    <phoneticPr fontId="8" type="noConversion"/>
  </si>
  <si>
    <t>9Z.NGHSC.0</t>
    <phoneticPr fontId="3" type="noConversion"/>
  </si>
  <si>
    <t>PK132H81A**</t>
  </si>
  <si>
    <t>9Z.NGHPC.2</t>
    <phoneticPr fontId="3" type="noConversion"/>
  </si>
  <si>
    <t>PK132H81E**</t>
  </si>
  <si>
    <t>9Z.NHXBV.A</t>
    <phoneticPr fontId="3" type="noConversion"/>
  </si>
  <si>
    <t>6037B02140**</t>
  </si>
  <si>
    <t>9Z.NHXNV.C</t>
    <phoneticPr fontId="3" type="noConversion"/>
  </si>
  <si>
    <t>6037B02142**</t>
  </si>
  <si>
    <t>9Z.NHXNV.D</t>
    <phoneticPr fontId="3" type="noConversion"/>
  </si>
  <si>
    <t>6037B02145**</t>
  </si>
  <si>
    <t>9Z.NNXNV.B</t>
    <phoneticPr fontId="3" type="noConversion"/>
  </si>
  <si>
    <t>6037B02956**</t>
  </si>
  <si>
    <t>9Z.NHXNV.G</t>
    <phoneticPr fontId="3" type="noConversion"/>
  </si>
  <si>
    <t>6037B02165**</t>
  </si>
  <si>
    <t>9Z.NHXBV.H</t>
    <phoneticPr fontId="3" type="noConversion"/>
  </si>
  <si>
    <t>6037B02164**</t>
  </si>
  <si>
    <t>9Z.NHXBV.8</t>
    <phoneticPr fontId="3" type="noConversion"/>
  </si>
  <si>
    <t>6037B02143**</t>
  </si>
  <si>
    <t>9Z.NHXPV.9</t>
    <phoneticPr fontId="3" type="noConversion"/>
  </si>
  <si>
    <t>6037B02144**</t>
  </si>
  <si>
    <t>9Z.NHXBV.T</t>
    <phoneticPr fontId="3" type="noConversion"/>
  </si>
  <si>
    <t>6037B02596**</t>
  </si>
  <si>
    <t>9Z.NNXBV.5</t>
    <phoneticPr fontId="3" type="noConversion"/>
  </si>
  <si>
    <t>6037B02955**</t>
  </si>
  <si>
    <t>9Z.NHXNV.V</t>
    <phoneticPr fontId="3" type="noConversion"/>
  </si>
  <si>
    <t>6037B02598**</t>
  </si>
  <si>
    <t>9Z.NNXNV.6</t>
    <phoneticPr fontId="3" type="noConversion"/>
  </si>
  <si>
    <t>6037B02957**</t>
  </si>
  <si>
    <t>Wisteria Lavender Pearl</t>
    <phoneticPr fontId="3" type="noConversion"/>
  </si>
  <si>
    <t>9Z.NMJBV.A</t>
    <phoneticPr fontId="3" type="noConversion"/>
  </si>
  <si>
    <t>6037B02652**</t>
  </si>
  <si>
    <t>Seafoam Teal Pearl</t>
    <phoneticPr fontId="3" type="noConversion"/>
  </si>
  <si>
    <t>9Z.NMJBV.B</t>
    <phoneticPr fontId="3" type="noConversion"/>
  </si>
  <si>
    <t>6037B02653**</t>
  </si>
  <si>
    <t>9Z.NMJBV.K</t>
    <phoneticPr fontId="3" type="noConversion"/>
  </si>
  <si>
    <t>6037B02773**</t>
  </si>
  <si>
    <t>9Z.NMJBV.M</t>
    <phoneticPr fontId="3" type="noConversion"/>
  </si>
  <si>
    <t>6037B02772**</t>
  </si>
  <si>
    <t>Masala Latte</t>
    <phoneticPr fontId="3" type="noConversion"/>
  </si>
  <si>
    <t>9Z.NNXNV.M</t>
    <phoneticPr fontId="3" type="noConversion"/>
  </si>
  <si>
    <t>6037B03018**</t>
  </si>
  <si>
    <t>Oceanic Blooms</t>
    <phoneticPr fontId="3" type="noConversion"/>
  </si>
  <si>
    <t>9Z.NNXNV.P</t>
    <phoneticPr fontId="3" type="noConversion"/>
  </si>
  <si>
    <t>6037B03021**</t>
  </si>
  <si>
    <t>9Z.NKUSV.A</t>
    <phoneticPr fontId="3" type="noConversion"/>
  </si>
  <si>
    <t>6037B02396**</t>
  </si>
  <si>
    <t>9Z.NKUBV.E</t>
    <phoneticPr fontId="3" type="noConversion"/>
  </si>
  <si>
    <t>6037B02392**</t>
  </si>
  <si>
    <t>9Z.NKUPV.F</t>
    <phoneticPr fontId="3" type="noConversion"/>
  </si>
  <si>
    <t>6037B02393**</t>
  </si>
  <si>
    <t>9Z.NKUBV.H</t>
    <phoneticPr fontId="3" type="noConversion"/>
  </si>
  <si>
    <t>6037B02401**</t>
  </si>
  <si>
    <t>9Z.NKUNV.J</t>
    <phoneticPr fontId="3" type="noConversion"/>
  </si>
  <si>
    <t>6037B02404**</t>
  </si>
  <si>
    <t>9Z.NKUBV.N</t>
    <phoneticPr fontId="3" type="noConversion"/>
  </si>
  <si>
    <t>6037B02621**</t>
  </si>
  <si>
    <t>9Z.NKUNV.S</t>
    <phoneticPr fontId="3" type="noConversion"/>
  </si>
  <si>
    <t>6037B02878**</t>
  </si>
  <si>
    <t>9Z.NKUBV.T</t>
    <phoneticPr fontId="3" type="noConversion"/>
  </si>
  <si>
    <t>6037B02877**</t>
  </si>
  <si>
    <t>9Z.NKUPV.U</t>
    <phoneticPr fontId="3" type="noConversion"/>
  </si>
  <si>
    <t>6037B02876**</t>
  </si>
  <si>
    <t>9Z.NKUBV.V</t>
    <phoneticPr fontId="3" type="noConversion"/>
  </si>
  <si>
    <t>6037B02951**</t>
  </si>
  <si>
    <t>9Z.NKUNV.W</t>
    <phoneticPr fontId="3" type="noConversion"/>
  </si>
  <si>
    <t>6037B02952**</t>
  </si>
  <si>
    <t>9Z.NKUNV.X</t>
    <phoneticPr fontId="3" type="noConversion"/>
  </si>
  <si>
    <t>6037B02989**</t>
  </si>
  <si>
    <t>Crepe Pink</t>
    <phoneticPr fontId="3" type="noConversion"/>
  </si>
  <si>
    <t>9Z.NKUNV.Y</t>
    <phoneticPr fontId="3" type="noConversion"/>
  </si>
  <si>
    <t>6037B02992**</t>
  </si>
  <si>
    <t>9Z.NHXNQ.L</t>
    <phoneticPr fontId="3" type="noConversion"/>
  </si>
  <si>
    <t>AE0PD**1040</t>
  </si>
  <si>
    <t>9Z.NHXBQ.N</t>
    <phoneticPr fontId="3" type="noConversion"/>
  </si>
  <si>
    <t>AE0PD**0020</t>
  </si>
  <si>
    <t>9Z.NHXPQ.P</t>
    <phoneticPr fontId="3" type="noConversion"/>
  </si>
  <si>
    <t>AE0PD**1020</t>
  </si>
  <si>
    <t>9Z.NHXBQ.Q</t>
    <phoneticPr fontId="3" type="noConversion"/>
  </si>
  <si>
    <t>AE0PD**0030</t>
  </si>
  <si>
    <t>9Z.NHXNQ.S</t>
    <phoneticPr fontId="3" type="noConversion"/>
  </si>
  <si>
    <t>AE0PD**1050</t>
  </si>
  <si>
    <t>9Z.NMJBQ.0</t>
    <phoneticPr fontId="3" type="noConversion"/>
  </si>
  <si>
    <t>AE0PD**0070</t>
  </si>
  <si>
    <r>
      <t xml:space="preserve">Seafoam Teal </t>
    </r>
    <r>
      <rPr>
        <sz val="11"/>
        <color rgb="FFFF0000"/>
        <rFont val="Calibri"/>
        <family val="2"/>
      </rPr>
      <t>Pearl</t>
    </r>
  </si>
  <si>
    <t>9Z.NMJBQ.2</t>
    <phoneticPr fontId="3" type="noConversion"/>
  </si>
  <si>
    <t>AE0PD**0060</t>
  </si>
  <si>
    <t>9Z.NMJBQ.F</t>
    <phoneticPr fontId="3" type="noConversion"/>
  </si>
  <si>
    <t>AE0PD**0080</t>
  </si>
  <si>
    <t>9Z.NMJBQ.H</t>
    <phoneticPr fontId="3" type="noConversion"/>
  </si>
  <si>
    <t>AE0PD**0090</t>
  </si>
  <si>
    <t>9Z.NNXNQ.0</t>
    <phoneticPr fontId="3" type="noConversion"/>
  </si>
  <si>
    <t>AE0PD**3030</t>
  </si>
  <si>
    <t>9Z.NNXBQ.1</t>
    <phoneticPr fontId="3" type="noConversion"/>
  </si>
  <si>
    <t>AE0PD**2010</t>
  </si>
  <si>
    <t>9Z.NNXPQ.2</t>
    <phoneticPr fontId="3" type="noConversion"/>
  </si>
  <si>
    <t>AE0PD**3010</t>
  </si>
  <si>
    <t>9Z.NNXBQ.3</t>
    <phoneticPr fontId="3" type="noConversion"/>
  </si>
  <si>
    <t>AE0PD**2020</t>
  </si>
  <si>
    <t>9Z.NNXNQ.4</t>
    <phoneticPr fontId="3" type="noConversion"/>
  </si>
  <si>
    <t>AE0PD**3040</t>
  </si>
  <si>
    <t>9Z.NNXBQ.7</t>
    <phoneticPr fontId="3" type="noConversion"/>
  </si>
  <si>
    <t>AE0PD**2060</t>
  </si>
  <si>
    <t>9Z.NNXBQ.8</t>
    <phoneticPr fontId="3" type="noConversion"/>
  </si>
  <si>
    <t>AE0PD**2050</t>
  </si>
  <si>
    <t>9Z.NNXBQ.A</t>
    <phoneticPr fontId="3" type="noConversion"/>
  </si>
  <si>
    <t>AE0PD**2070</t>
  </si>
  <si>
    <t>9Z.NNXBQ.9</t>
    <phoneticPr fontId="3" type="noConversion"/>
  </si>
  <si>
    <t>AE0PD**2080</t>
  </si>
  <si>
    <r>
      <t xml:space="preserve">Moonlight Blue </t>
    </r>
    <r>
      <rPr>
        <sz val="10"/>
        <color rgb="FFFF0000"/>
        <rFont val="Calibri"/>
        <family val="2"/>
      </rPr>
      <t>Opaque</t>
    </r>
  </si>
  <si>
    <t>9Z.NNXNQ.G</t>
    <phoneticPr fontId="3" type="noConversion"/>
  </si>
  <si>
    <t>AE0PD**3060</t>
  </si>
  <si>
    <t>9Z.NNXBQ.H</t>
    <phoneticPr fontId="3" type="noConversion"/>
  </si>
  <si>
    <t>AE0PD**2090</t>
    <phoneticPr fontId="3" type="noConversion"/>
  </si>
  <si>
    <t>9Z.NNXBQ.K</t>
    <phoneticPr fontId="3" type="noConversion"/>
  </si>
  <si>
    <t>AE0PD**20A0</t>
    <phoneticPr fontId="3" type="noConversion"/>
  </si>
  <si>
    <t>9Z.NNXBQ.R</t>
    <phoneticPr fontId="3" type="noConversion"/>
  </si>
  <si>
    <t>AE0PD**20B0</t>
    <phoneticPr fontId="3" type="noConversion"/>
  </si>
  <si>
    <t>QUANTA_TH</t>
    <phoneticPr fontId="8" type="noConversion"/>
  </si>
  <si>
    <t>2025 11</t>
    <phoneticPr fontId="3" type="noConversion"/>
  </si>
  <si>
    <t>2025 12</t>
    <phoneticPr fontId="3" type="noConversion"/>
  </si>
  <si>
    <t>2026 01</t>
  </si>
  <si>
    <t>2026 02</t>
  </si>
  <si>
    <t>2026 03</t>
  </si>
  <si>
    <t>2026 04</t>
  </si>
  <si>
    <t>2026 05</t>
  </si>
  <si>
    <t>2026 06</t>
  </si>
  <si>
    <t>2026 07</t>
  </si>
  <si>
    <t>2026 08</t>
  </si>
  <si>
    <t>2026 09</t>
  </si>
  <si>
    <t>2026 10</t>
  </si>
  <si>
    <t>Total Rebate in Q1 2026 (US$)</t>
    <phoneticPr fontId="3" type="noConversion"/>
  </si>
  <si>
    <t>Total Rebate in Q2 2026 (US$)</t>
  </si>
  <si>
    <t>Total Rebate in Q3 2026 (US$)</t>
  </si>
  <si>
    <t>Total Rebate in Q4 2026 (US$)</t>
  </si>
  <si>
    <t>FY26</t>
    <phoneticPr fontId="3" type="noConversion"/>
  </si>
  <si>
    <t>FY26</t>
  </si>
  <si>
    <t>9Z.NN0SQ.D</t>
    <phoneticPr fontId="3" type="noConversion"/>
  </si>
  <si>
    <t>AEX8W**6210</t>
    <phoneticPr fontId="3" type="noConversion"/>
  </si>
  <si>
    <t>9Z.NN0BQ.E</t>
    <phoneticPr fontId="3" type="noConversion"/>
  </si>
  <si>
    <t>AEX8W**7210</t>
  </si>
  <si>
    <t>9Z.NN0BQ.F</t>
    <phoneticPr fontId="3" type="noConversion"/>
  </si>
  <si>
    <t>AEX8W**8210</t>
  </si>
  <si>
    <t>9Z.NN0SQ.G</t>
    <phoneticPr fontId="3" type="noConversion"/>
  </si>
  <si>
    <t>AEX8W**6220</t>
    <phoneticPr fontId="3" type="noConversion"/>
  </si>
  <si>
    <t>9Z.NN0BQ.H</t>
    <phoneticPr fontId="3" type="noConversion"/>
  </si>
  <si>
    <t>AEX8W**7220</t>
    <phoneticPr fontId="3" type="noConversion"/>
  </si>
  <si>
    <t>9Z.NN0BQ.J</t>
    <phoneticPr fontId="3" type="noConversion"/>
  </si>
  <si>
    <t>AEX8W**8220</t>
    <phoneticPr fontId="3" type="noConversion"/>
  </si>
  <si>
    <t>9Z.NNFBV.A</t>
    <phoneticPr fontId="3" type="noConversion"/>
  </si>
  <si>
    <t>6037B03216**</t>
  </si>
  <si>
    <t>9Z.NNFBV.B</t>
    <phoneticPr fontId="3" type="noConversion"/>
  </si>
  <si>
    <t>6037B03219**</t>
  </si>
  <si>
    <t>9Z.NNFPV.G</t>
    <phoneticPr fontId="3" type="noConversion"/>
  </si>
  <si>
    <t>6037B03255**</t>
  </si>
  <si>
    <t>9Z.NNGBV.A</t>
    <phoneticPr fontId="3" type="noConversion"/>
  </si>
  <si>
    <t>6037B03222**</t>
  </si>
  <si>
    <t>9Z.NNGBV.B</t>
    <phoneticPr fontId="3" type="noConversion"/>
  </si>
  <si>
    <t>6037B03225**</t>
  </si>
  <si>
    <t>9Z.NNGPV.G</t>
    <phoneticPr fontId="3" type="noConversion"/>
  </si>
  <si>
    <t>6037B03253**</t>
  </si>
  <si>
    <t>9Z.NNFBV.C</t>
    <phoneticPr fontId="3" type="noConversion"/>
  </si>
  <si>
    <t>9Z.NNFBV.D</t>
    <phoneticPr fontId="3" type="noConversion"/>
  </si>
  <si>
    <t>9Z.NNFPV.H</t>
    <phoneticPr fontId="3" type="noConversion"/>
  </si>
  <si>
    <t>9Z.NNGBV.C</t>
    <phoneticPr fontId="3" type="noConversion"/>
  </si>
  <si>
    <t>9Z.NNGBV.D</t>
    <phoneticPr fontId="3" type="noConversion"/>
  </si>
  <si>
    <t>9Z.NNGPV.H</t>
    <phoneticPr fontId="3" type="noConversion"/>
  </si>
  <si>
    <t>9Z.NNFBV.E</t>
    <phoneticPr fontId="3" type="noConversion"/>
  </si>
  <si>
    <t>9Z.NNFBV.F</t>
    <phoneticPr fontId="3" type="noConversion"/>
  </si>
  <si>
    <t>9Z.NNFPV.J</t>
    <phoneticPr fontId="3" type="noConversion"/>
  </si>
  <si>
    <t>9Z.NNGBV.E</t>
    <phoneticPr fontId="3" type="noConversion"/>
  </si>
  <si>
    <t>9Z.NNGBV.F</t>
    <phoneticPr fontId="3" type="noConversion"/>
  </si>
  <si>
    <t>9Z.NNGPV.J</t>
    <phoneticPr fontId="3" type="noConversion"/>
  </si>
  <si>
    <t>Fetch/Freday</t>
  </si>
  <si>
    <t>Canvas Gray</t>
    <phoneticPr fontId="3" type="noConversion"/>
  </si>
  <si>
    <t>INVENTEC_CQ</t>
    <phoneticPr fontId="3" type="noConversion"/>
  </si>
  <si>
    <t>9Z.NNWBV.G</t>
    <phoneticPr fontId="3" type="noConversion"/>
  </si>
  <si>
    <t>6037B03107**</t>
  </si>
  <si>
    <t>Darker Meteor Silver</t>
    <phoneticPr fontId="3" type="noConversion"/>
  </si>
  <si>
    <t>9Z.NNWBV.N</t>
    <phoneticPr fontId="3" type="noConversion"/>
  </si>
  <si>
    <t>6037B03151**</t>
  </si>
  <si>
    <t>Iron Gray</t>
    <phoneticPr fontId="3" type="noConversion"/>
  </si>
  <si>
    <t>9Z.NNWBV.P</t>
    <phoneticPr fontId="3" type="noConversion"/>
  </si>
  <si>
    <t>6037B03143**</t>
  </si>
  <si>
    <t>9Z.NNWNV.H</t>
    <phoneticPr fontId="3" type="noConversion"/>
  </si>
  <si>
    <t>6037B03104**</t>
  </si>
  <si>
    <t>9Z.NNWNV.Q</t>
    <phoneticPr fontId="3" type="noConversion"/>
  </si>
  <si>
    <t>6037B03146**</t>
  </si>
  <si>
    <t>9Z.NNWNV.R</t>
    <phoneticPr fontId="3" type="noConversion"/>
  </si>
  <si>
    <t>6037B03164**</t>
  </si>
  <si>
    <t>Darker Concrete Gray</t>
    <phoneticPr fontId="3" type="noConversion"/>
  </si>
  <si>
    <t>9Z.NNWNV.S</t>
    <phoneticPr fontId="3" type="noConversion"/>
  </si>
  <si>
    <t>6037B03157**</t>
  </si>
  <si>
    <t>Aquatic Blue</t>
    <phoneticPr fontId="3" type="noConversion"/>
  </si>
  <si>
    <t>9Z.NNWNV.T</t>
    <phoneticPr fontId="3" type="noConversion"/>
  </si>
  <si>
    <t>6037B03160**</t>
  </si>
  <si>
    <t>Darker Aloe Green</t>
    <phoneticPr fontId="3" type="noConversion"/>
  </si>
  <si>
    <t>9Z.NNWNV.U</t>
    <phoneticPr fontId="3" type="noConversion"/>
  </si>
  <si>
    <t>6037B03163**</t>
  </si>
  <si>
    <t>Jenny Cheng</t>
    <phoneticPr fontId="3" type="noConversion"/>
  </si>
  <si>
    <t>Kramer</t>
  </si>
  <si>
    <t>Black</t>
    <phoneticPr fontId="8" type="noConversion"/>
  </si>
  <si>
    <t>Inventec_CQ</t>
  </si>
  <si>
    <t>P54190-xx1</t>
  </si>
  <si>
    <t>Foxconn_WH</t>
  </si>
  <si>
    <t>Wistron_CQ</t>
  </si>
  <si>
    <t>Quanta_TH</t>
  </si>
  <si>
    <t>Inventec_TH</t>
  </si>
  <si>
    <t>Foxconn_Juarez</t>
  </si>
  <si>
    <t>Newman</t>
  </si>
  <si>
    <t>P54192-001</t>
  </si>
  <si>
    <t>Foxconn_CZ</t>
  </si>
  <si>
    <t>Kramer/Newman</t>
  </si>
  <si>
    <t>Combo</t>
    <phoneticPr fontId="3" type="noConversion"/>
  </si>
  <si>
    <t>P54325-xx1</t>
  </si>
  <si>
    <t>SALUTE X</t>
    <phoneticPr fontId="3" type="noConversion"/>
  </si>
  <si>
    <t>DK Atmospheric Blue Opaque</t>
    <phoneticPr fontId="3" type="noConversion"/>
  </si>
  <si>
    <t>9Z.NPRBW.0</t>
    <phoneticPr fontId="3" type="noConversion"/>
  </si>
  <si>
    <t>490.0XT07.0D**</t>
    <phoneticPr fontId="3" type="noConversion"/>
  </si>
  <si>
    <t>DK Atmospheric Blue Opaque</t>
  </si>
  <si>
    <t>9Z.NPRPW.1</t>
    <phoneticPr fontId="3" type="noConversion"/>
  </si>
  <si>
    <t>490.0XT07.1D**</t>
    <phoneticPr fontId="3" type="noConversion"/>
  </si>
  <si>
    <t>HQ2540300****</t>
    <phoneticPr fontId="3" type="noConversion"/>
  </si>
  <si>
    <t>Starlit Blue</t>
    <phoneticPr fontId="3" type="noConversion"/>
  </si>
  <si>
    <t>9Z.NNWBN.7</t>
    <phoneticPr fontId="3" type="noConversion"/>
  </si>
  <si>
    <t>HQ2540301****</t>
    <phoneticPr fontId="3" type="noConversion"/>
  </si>
  <si>
    <t>QUADRO/CODA X</t>
    <phoneticPr fontId="3" type="noConversion"/>
  </si>
  <si>
    <t>Darker Deep Espresso Opaque</t>
    <phoneticPr fontId="3" type="noConversion"/>
  </si>
  <si>
    <t>9Z.NPRBN.3</t>
    <phoneticPr fontId="3" type="noConversion"/>
  </si>
  <si>
    <t>9Z.NPRBN.5</t>
    <phoneticPr fontId="3" type="noConversion"/>
  </si>
  <si>
    <t>DESO</t>
    <phoneticPr fontId="3" type="noConversion"/>
  </si>
  <si>
    <t>9Z.NPRBN.A</t>
    <phoneticPr fontId="3" type="noConversion"/>
  </si>
  <si>
    <t>9Z.NPRBN.B</t>
    <phoneticPr fontId="3" type="noConversion"/>
  </si>
  <si>
    <t>Darker Starlit Blue</t>
    <phoneticPr fontId="3" type="noConversion"/>
  </si>
  <si>
    <t>9Z.NNWBN.V</t>
    <phoneticPr fontId="3" type="noConversion"/>
  </si>
  <si>
    <t>Darker Sahara Gold</t>
    <phoneticPr fontId="3" type="noConversion"/>
  </si>
  <si>
    <t>9Z.NNWBN.W</t>
    <phoneticPr fontId="3" type="noConversion"/>
  </si>
  <si>
    <t>ESA</t>
    <phoneticPr fontId="3" type="noConversion"/>
  </si>
  <si>
    <t>9Z.NPFBN.0</t>
    <phoneticPr fontId="3" type="noConversion"/>
  </si>
  <si>
    <t>9Z.NPFBN.1</t>
    <phoneticPr fontId="3" type="noConversion"/>
  </si>
  <si>
    <t>9Z.NPFBN.6</t>
    <phoneticPr fontId="3" type="noConversion"/>
  </si>
  <si>
    <t>Darker Sahara Silver</t>
    <phoneticPr fontId="3" type="noConversion"/>
  </si>
  <si>
    <t>9Z.NPFBN.7</t>
    <phoneticPr fontId="3" type="noConversion"/>
  </si>
  <si>
    <t>Graham</t>
    <phoneticPr fontId="3" type="noConversion"/>
  </si>
  <si>
    <t>Darker Eclipse Gray</t>
    <phoneticPr fontId="3" type="noConversion"/>
  </si>
  <si>
    <t>9Z.NPDBN.0</t>
    <phoneticPr fontId="3" type="noConversion"/>
  </si>
  <si>
    <t>Graham</t>
  </si>
  <si>
    <t>Darker Silk Sand Opaque</t>
    <phoneticPr fontId="3" type="noConversion"/>
  </si>
  <si>
    <t>9Z.NPDBN.1</t>
    <phoneticPr fontId="3" type="noConversion"/>
  </si>
  <si>
    <t>Darker Stone Blue Opaque</t>
    <phoneticPr fontId="3" type="noConversion"/>
  </si>
  <si>
    <t>9Z.NPDBN.2</t>
    <phoneticPr fontId="3" type="noConversion"/>
  </si>
  <si>
    <t>Chiharu</t>
    <phoneticPr fontId="3" type="noConversion"/>
  </si>
  <si>
    <t>9Z.NPEBW.0</t>
    <phoneticPr fontId="3" type="noConversion"/>
  </si>
  <si>
    <t>490.0XH07.3D**</t>
    <phoneticPr fontId="3" type="noConversion"/>
  </si>
  <si>
    <t>Darker Meteor Silver Opaque</t>
    <phoneticPr fontId="3" type="noConversion"/>
  </si>
  <si>
    <t>9Z.NPEBW.1</t>
    <phoneticPr fontId="3" type="noConversion"/>
  </si>
  <si>
    <t>490.0XH07.1D**</t>
    <phoneticPr fontId="3" type="noConversion"/>
  </si>
  <si>
    <t>9Z.NPEBW.2</t>
    <phoneticPr fontId="3" type="noConversion"/>
  </si>
  <si>
    <t>490.0XH07.2D**</t>
    <phoneticPr fontId="3" type="noConversion"/>
  </si>
  <si>
    <t>Soft Gray</t>
    <phoneticPr fontId="3" type="noConversion"/>
  </si>
  <si>
    <t>9Z.NPEBW.4</t>
    <phoneticPr fontId="3" type="noConversion"/>
  </si>
  <si>
    <t>490.0XH07.0D**</t>
    <phoneticPr fontId="3" type="noConversion"/>
  </si>
  <si>
    <t>9Z.NPEBW.5</t>
    <phoneticPr fontId="3" type="noConversion"/>
  </si>
  <si>
    <t>490.0XH07.4D**</t>
    <phoneticPr fontId="3" type="noConversion"/>
  </si>
  <si>
    <t>TurbineU</t>
    <phoneticPr fontId="3" type="noConversion"/>
  </si>
  <si>
    <t>9Z.NNTBW.1</t>
    <phoneticPr fontId="3" type="noConversion"/>
  </si>
  <si>
    <t>490.0VZ07.1D**</t>
    <phoneticPr fontId="3" type="noConversion"/>
  </si>
  <si>
    <t>9Z.NNSBQ.2</t>
    <phoneticPr fontId="3" type="noConversion"/>
  </si>
  <si>
    <t>AEG7J**3220</t>
    <phoneticPr fontId="3" type="noConversion"/>
  </si>
  <si>
    <t>HANNA Refresh</t>
    <phoneticPr fontId="3" type="noConversion"/>
  </si>
  <si>
    <t>9Z.NQ3BQ.2</t>
    <phoneticPr fontId="3" type="noConversion"/>
  </si>
  <si>
    <t>AEG3W**0010_1 ZONE W NUMPAD_SHADOW BLACK</t>
  </si>
  <si>
    <t>9Z.NQ3BQ.3</t>
    <phoneticPr fontId="3" type="noConversion"/>
  </si>
  <si>
    <t>AEG3W**1010_4 ZONE RGB W NUMPAD_SHADOW BLACK</t>
  </si>
  <si>
    <t>9Z.NQ3BQ.4</t>
    <phoneticPr fontId="3" type="noConversion"/>
  </si>
  <si>
    <t>AEG3W**0020_1 ZONE W NUMPAD_CERAMIC WHITE</t>
  </si>
  <si>
    <t>9Z.NQ3BQ.5</t>
    <phoneticPr fontId="3" type="noConversion"/>
  </si>
  <si>
    <t>AEG3W**0020_4 ZONE RGB W NUMPAD_CERAMIC WHITE</t>
  </si>
  <si>
    <t>Porcari/Aquarius</t>
    <phoneticPr fontId="3" type="noConversion"/>
  </si>
  <si>
    <t>9Z.NPHBV.0</t>
    <phoneticPr fontId="3" type="noConversion"/>
  </si>
  <si>
    <t>6037B03113**</t>
    <phoneticPr fontId="3" type="noConversion"/>
  </si>
  <si>
    <t>9Z.NPHBV.1</t>
    <phoneticPr fontId="3" type="noConversion"/>
  </si>
  <si>
    <t>6037B03109**</t>
    <phoneticPr fontId="3" type="noConversion"/>
  </si>
  <si>
    <t>9Z.NPHBV.2</t>
    <phoneticPr fontId="3" type="noConversion"/>
  </si>
  <si>
    <t>6037B03111**</t>
    <phoneticPr fontId="3" type="noConversion"/>
  </si>
  <si>
    <t>9Z.NQ3BV.0</t>
    <phoneticPr fontId="3" type="noConversion"/>
  </si>
  <si>
    <t>6037B03248**</t>
  </si>
  <si>
    <t>9Z.NQ3BV.1</t>
    <phoneticPr fontId="3" type="noConversion"/>
  </si>
  <si>
    <t>6037B03246**</t>
  </si>
  <si>
    <t>ABE</t>
    <phoneticPr fontId="3" type="noConversion"/>
  </si>
  <si>
    <t>9Z.NNWBV.9</t>
    <phoneticPr fontId="3" type="noConversion"/>
  </si>
  <si>
    <t>6037B03098**</t>
    <phoneticPr fontId="3" type="noConversion"/>
  </si>
  <si>
    <t>9Z.NNWBV.J</t>
    <phoneticPr fontId="3" type="noConversion"/>
  </si>
  <si>
    <t>6037B03121**</t>
    <phoneticPr fontId="3" type="noConversion"/>
  </si>
  <si>
    <t>9Z.NNWBV.K</t>
    <phoneticPr fontId="3" type="noConversion"/>
  </si>
  <si>
    <t>6037B03127**</t>
    <phoneticPr fontId="3" type="noConversion"/>
  </si>
  <si>
    <t>Darker Nouvelle Silver</t>
    <phoneticPr fontId="3" type="noConversion"/>
  </si>
  <si>
    <t>9Z.NNWBV.X</t>
    <phoneticPr fontId="3" type="noConversion"/>
  </si>
  <si>
    <t>6037B03181**</t>
    <phoneticPr fontId="3" type="noConversion"/>
  </si>
  <si>
    <t>9Z.NNWBV.Z</t>
    <phoneticPr fontId="3" type="noConversion"/>
  </si>
  <si>
    <t>6037B03203**</t>
    <phoneticPr fontId="3" type="noConversion"/>
  </si>
  <si>
    <t>9Z.NNWNV.A</t>
    <phoneticPr fontId="3" type="noConversion"/>
  </si>
  <si>
    <t>6037B03102**</t>
    <phoneticPr fontId="3" type="noConversion"/>
  </si>
  <si>
    <t>9Z.NNWNV.B</t>
    <phoneticPr fontId="3" type="noConversion"/>
  </si>
  <si>
    <t>6037B03124**</t>
    <phoneticPr fontId="3" type="noConversion"/>
  </si>
  <si>
    <t>9Z.NNWNV.C</t>
    <phoneticPr fontId="3" type="noConversion"/>
  </si>
  <si>
    <t>6037B03130**</t>
    <phoneticPr fontId="3" type="noConversion"/>
  </si>
  <si>
    <t>9Z.NNWNV.L</t>
    <phoneticPr fontId="3" type="noConversion"/>
  </si>
  <si>
    <t>6037B03118**</t>
    <phoneticPr fontId="3" type="noConversion"/>
  </si>
  <si>
    <t>Cashmere White</t>
    <phoneticPr fontId="3" type="noConversion"/>
  </si>
  <si>
    <t>9Z.NNWNV.M</t>
    <phoneticPr fontId="3" type="noConversion"/>
  </si>
  <si>
    <t>6037B03154**</t>
    <phoneticPr fontId="3" type="noConversion"/>
  </si>
  <si>
    <t>9Z.NNWNV.Y</t>
    <phoneticPr fontId="3" type="noConversion"/>
  </si>
  <si>
    <t>6037B03184**</t>
    <phoneticPr fontId="3" type="noConversion"/>
  </si>
  <si>
    <t>9Z.NPRNV.2</t>
    <phoneticPr fontId="3" type="noConversion"/>
  </si>
  <si>
    <t>6037B03202**</t>
    <phoneticPr fontId="3" type="noConversion"/>
  </si>
  <si>
    <t>BANTIE</t>
    <phoneticPr fontId="3" type="noConversion"/>
  </si>
  <si>
    <t>9Z.NPFBQ.0</t>
    <phoneticPr fontId="3" type="noConversion"/>
  </si>
  <si>
    <t>AE0PE**1030</t>
    <phoneticPr fontId="3" type="noConversion"/>
  </si>
  <si>
    <t>9Z.NPFBQ.1</t>
    <phoneticPr fontId="3" type="noConversion"/>
  </si>
  <si>
    <t>AE0PE**1010</t>
    <phoneticPr fontId="3" type="noConversion"/>
  </si>
  <si>
    <t>9Z.NPFBQ.2</t>
    <phoneticPr fontId="3" type="noConversion"/>
  </si>
  <si>
    <t>AE0PE**1020</t>
    <phoneticPr fontId="3" type="noConversion"/>
  </si>
  <si>
    <t>9Z.NPFNQ.3</t>
    <phoneticPr fontId="3" type="noConversion"/>
  </si>
  <si>
    <t>AE0PE**0030</t>
    <phoneticPr fontId="3" type="noConversion"/>
  </si>
  <si>
    <t>9Z.NPFNQ.4</t>
    <phoneticPr fontId="3" type="noConversion"/>
  </si>
  <si>
    <t>AE0PE**0040</t>
    <phoneticPr fontId="3" type="noConversion"/>
  </si>
  <si>
    <t>9Z.NPFNQ.5</t>
    <phoneticPr fontId="3" type="noConversion"/>
  </si>
  <si>
    <t>AE0PE**0020</t>
    <phoneticPr fontId="3" type="noConversion"/>
  </si>
  <si>
    <t>9Z.NPFBQ.6</t>
    <phoneticPr fontId="3" type="noConversion"/>
  </si>
  <si>
    <t>AE0PE**1050</t>
    <phoneticPr fontId="3" type="noConversion"/>
  </si>
  <si>
    <t>9Z.NPFNQ.8</t>
    <phoneticPr fontId="3" type="noConversion"/>
  </si>
  <si>
    <t>AE0PE**0010</t>
    <phoneticPr fontId="3" type="noConversion"/>
  </si>
  <si>
    <t>Nouvelle Silver</t>
    <phoneticPr fontId="3" type="noConversion"/>
  </si>
  <si>
    <t>9Z.NPFBQ.A</t>
    <phoneticPr fontId="3" type="noConversion"/>
  </si>
  <si>
    <t>AE0PE**1040</t>
    <phoneticPr fontId="3" type="noConversion"/>
  </si>
  <si>
    <t>9Z.NPFNQ.B</t>
    <phoneticPr fontId="3" type="noConversion"/>
  </si>
  <si>
    <t>AE0PE**0050</t>
    <phoneticPr fontId="3" type="noConversion"/>
  </si>
  <si>
    <t>9Z.NPFNQ.D</t>
    <phoneticPr fontId="3" type="noConversion"/>
  </si>
  <si>
    <t>AE0PE**1060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</si>
</sst>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_-* #,##0.00_-;\-* #,##0.00_-;_-* &quot;-&quot;??_-;_-@_-"/>
    <numFmt numFmtId="165" formatCode="[$$-409]#,##0.00"/>
    <numFmt numFmtId="166" formatCode="_-* #,##0_-;\-* #,##0_-;_-* &quot;-&quot;??_-;_-@_-"/>
    <numFmt numFmtId="167" formatCode="#,##0_ "/>
    <numFmt numFmtId="168" formatCode="0_);[Red]\(0\)"/>
    <numFmt numFmtId="169" formatCode="0_ "/>
    <numFmt numFmtId="170" formatCode="&quot;$&quot;#,##0.00"/>
  </numFmts>
  <fonts count="44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indexed="8"/>
      <name val="新細明體"/>
      <family val="1"/>
      <charset val="136"/>
    </font>
    <font>
      <b/>
      <sz val="12"/>
      <name val="Calibri"/>
      <family val="2"/>
    </font>
    <font>
      <sz val="9"/>
      <name val="新細明體"/>
      <family val="1"/>
      <charset val="136"/>
    </font>
    <font>
      <sz val="12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</font>
    <font>
      <b/>
      <sz val="12"/>
      <color rgb="FF3333FF"/>
      <name val="Calibri"/>
      <family val="2"/>
    </font>
    <font>
      <sz val="11"/>
      <color rgb="FF3333FF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color theme="1"/>
      <name val="Arial"/>
      <family val="2"/>
    </font>
    <font>
      <sz val="10"/>
      <name val="Arial"/>
      <family val="2"/>
    </font>
    <font>
      <sz val="11"/>
      <name val="新細明體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alibri"/>
      <family val="2"/>
    </font>
    <font>
      <sz val="10"/>
      <color rgb="FF3333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165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165" fontId="8" fillId="0" borderId="0"/>
    <xf numFmtId="164" fontId="4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/>
  </cellStyleXfs>
  <cellXfs count="478">
    <xf numFmtId="165" fontId="0" fillId="0" borderId="0" xfId="0">
      <alignment vertical="center"/>
    </xf>
    <xf numFmtId="165" fontId="5" fillId="0" borderId="0" xfId="0" applyFont="1">
      <alignment vertical="center"/>
    </xf>
    <xf numFmtId="165" fontId="5" fillId="0" borderId="0" xfId="0" applyFont="1" applyAlignment="1">
      <alignment horizontal="center" vertical="center"/>
    </xf>
    <xf numFmtId="8" fontId="5" fillId="0" borderId="0" xfId="0" applyNumberFormat="1" applyFont="1">
      <alignment vertical="center"/>
    </xf>
    <xf numFmtId="165" fontId="6" fillId="0" borderId="0" xfId="0" applyFont="1" applyAlignment="1">
      <alignment horizontal="center" vertical="center"/>
    </xf>
    <xf numFmtId="38" fontId="6" fillId="0" borderId="0" xfId="0" applyNumberFormat="1" applyFont="1" applyAlignment="1">
      <alignment horizontal="right" vertical="center"/>
    </xf>
    <xf numFmtId="8" fontId="6" fillId="0" borderId="0" xfId="0" applyNumberFormat="1" applyFont="1">
      <alignment vertical="center"/>
    </xf>
    <xf numFmtId="165" fontId="12" fillId="0" borderId="0" xfId="0" applyFont="1" applyAlignment="1">
      <alignment horizontal="center" vertical="center"/>
    </xf>
    <xf numFmtId="165" fontId="5" fillId="0" borderId="7" xfId="0" applyFont="1" applyBorder="1" applyAlignment="1">
      <alignment horizontal="center" vertical="center"/>
    </xf>
    <xf numFmtId="165" fontId="12" fillId="0" borderId="12" xfId="0" applyFont="1" applyBorder="1" applyAlignment="1">
      <alignment horizontal="center" vertical="center"/>
    </xf>
    <xf numFmtId="165" fontId="18" fillId="0" borderId="13" xfId="0" applyFont="1" applyBorder="1" applyAlignment="1">
      <alignment horizontal="center" vertical="center"/>
    </xf>
    <xf numFmtId="165" fontId="5" fillId="0" borderId="14" xfId="0" applyFont="1" applyBorder="1">
      <alignment vertical="center"/>
    </xf>
    <xf numFmtId="165" fontId="5" fillId="0" borderId="17" xfId="0" applyFont="1" applyBorder="1">
      <alignment vertical="center"/>
    </xf>
    <xf numFmtId="38" fontId="6" fillId="0" borderId="13" xfId="0" applyNumberFormat="1" applyFont="1" applyBorder="1" applyAlignment="1">
      <alignment horizontal="right" vertical="center"/>
    </xf>
    <xf numFmtId="165" fontId="19" fillId="0" borderId="0" xfId="0" applyFont="1">
      <alignment vertical="center"/>
    </xf>
    <xf numFmtId="165" fontId="12" fillId="0" borderId="13" xfId="0" applyFont="1" applyBorder="1" applyAlignment="1">
      <alignment horizontal="center" vertical="center"/>
    </xf>
    <xf numFmtId="165" fontId="6" fillId="0" borderId="2" xfId="0" applyFont="1" applyBorder="1">
      <alignment vertical="center"/>
    </xf>
    <xf numFmtId="165" fontId="20" fillId="0" borderId="2" xfId="0" applyFont="1" applyBorder="1" applyAlignment="1">
      <alignment vertical="center" wrapText="1"/>
    </xf>
    <xf numFmtId="165" fontId="6" fillId="0" borderId="11" xfId="0" applyFont="1" applyBorder="1">
      <alignment vertical="center"/>
    </xf>
    <xf numFmtId="165" fontId="7" fillId="0" borderId="9" xfId="0" applyFont="1" applyBorder="1" applyAlignment="1">
      <alignment horizontal="center" vertical="center"/>
    </xf>
    <xf numFmtId="8" fontId="5" fillId="0" borderId="22" xfId="0" applyNumberFormat="1" applyFont="1" applyBorder="1" applyAlignment="1">
      <alignment horizontal="center" vertical="center"/>
    </xf>
    <xf numFmtId="8" fontId="6" fillId="0" borderId="22" xfId="0" applyNumberFormat="1" applyFont="1" applyBorder="1" applyAlignment="1">
      <alignment horizontal="center" vertical="center"/>
    </xf>
    <xf numFmtId="8" fontId="5" fillId="0" borderId="21" xfId="0" applyNumberFormat="1" applyFont="1" applyBorder="1" applyAlignment="1">
      <alignment horizontal="center" vertical="center"/>
    </xf>
    <xf numFmtId="8" fontId="5" fillId="0" borderId="23" xfId="0" applyNumberFormat="1" applyFont="1" applyBorder="1" applyAlignment="1">
      <alignment horizontal="center" vertical="center"/>
    </xf>
    <xf numFmtId="8" fontId="6" fillId="0" borderId="23" xfId="0" applyNumberFormat="1" applyFont="1" applyBorder="1" applyAlignment="1">
      <alignment horizontal="center" vertical="center"/>
    </xf>
    <xf numFmtId="8" fontId="6" fillId="0" borderId="21" xfId="0" applyNumberFormat="1" applyFont="1" applyBorder="1" applyAlignment="1">
      <alignment horizontal="center" vertical="center"/>
    </xf>
    <xf numFmtId="8" fontId="5" fillId="0" borderId="13" xfId="0" applyNumberFormat="1" applyFont="1" applyBorder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165" fontId="5" fillId="0" borderId="13" xfId="0" applyFont="1" applyBorder="1">
      <alignment vertical="center"/>
    </xf>
    <xf numFmtId="165" fontId="19" fillId="0" borderId="5" xfId="0" applyFont="1" applyBorder="1" applyAlignment="1">
      <alignment horizontal="center" vertical="center" wrapText="1"/>
    </xf>
    <xf numFmtId="165" fontId="21" fillId="0" borderId="16" xfId="0" applyFont="1" applyBorder="1" applyAlignment="1">
      <alignment horizontal="center" vertical="center"/>
    </xf>
    <xf numFmtId="165" fontId="19" fillId="0" borderId="5" xfId="0" applyFont="1" applyBorder="1" applyAlignment="1">
      <alignment horizontal="center" vertical="center"/>
    </xf>
    <xf numFmtId="2" fontId="5" fillId="0" borderId="0" xfId="0" applyNumberFormat="1" applyFont="1">
      <alignment vertical="center"/>
    </xf>
    <xf numFmtId="2" fontId="6" fillId="0" borderId="2" xfId="0" applyNumberFormat="1" applyFont="1" applyBorder="1">
      <alignment vertical="center"/>
    </xf>
    <xf numFmtId="2" fontId="20" fillId="0" borderId="2" xfId="0" applyNumberFormat="1" applyFont="1" applyBorder="1" applyAlignment="1">
      <alignment vertical="center" wrapText="1"/>
    </xf>
    <xf numFmtId="2" fontId="6" fillId="0" borderId="11" xfId="0" applyNumberFormat="1" applyFont="1" applyBorder="1">
      <alignment vertical="center"/>
    </xf>
    <xf numFmtId="2" fontId="5" fillId="0" borderId="13" xfId="0" applyNumberFormat="1" applyFont="1" applyBorder="1">
      <alignment vertical="center"/>
    </xf>
    <xf numFmtId="165" fontId="12" fillId="5" borderId="22" xfId="0" applyFont="1" applyFill="1" applyBorder="1" applyAlignment="1">
      <alignment horizontal="center" vertical="center"/>
    </xf>
    <xf numFmtId="165" fontId="12" fillId="5" borderId="23" xfId="0" applyFont="1" applyFill="1" applyBorder="1" applyAlignment="1">
      <alignment horizontal="center" vertical="center"/>
    </xf>
    <xf numFmtId="165" fontId="12" fillId="4" borderId="22" xfId="0" applyFont="1" applyFill="1" applyBorder="1" applyAlignment="1">
      <alignment horizontal="center" vertical="center"/>
    </xf>
    <xf numFmtId="165" fontId="19" fillId="0" borderId="9" xfId="0" applyFont="1" applyBorder="1" applyAlignment="1">
      <alignment horizontal="center" vertical="center" wrapText="1"/>
    </xf>
    <xf numFmtId="165" fontId="19" fillId="0" borderId="7" xfId="0" applyFont="1" applyBorder="1" applyAlignment="1">
      <alignment horizontal="center" vertical="center" wrapText="1"/>
    </xf>
    <xf numFmtId="165" fontId="12" fillId="5" borderId="10" xfId="0" applyFont="1" applyFill="1" applyBorder="1" applyAlignment="1">
      <alignment horizontal="center" vertical="center"/>
    </xf>
    <xf numFmtId="165" fontId="12" fillId="5" borderId="2" xfId="0" applyFont="1" applyFill="1" applyBorder="1" applyAlignment="1">
      <alignment horizontal="center" vertical="center"/>
    </xf>
    <xf numFmtId="165" fontId="12" fillId="4" borderId="2" xfId="0" applyFont="1" applyFill="1" applyBorder="1" applyAlignment="1">
      <alignment horizontal="center" vertical="center"/>
    </xf>
    <xf numFmtId="165" fontId="24" fillId="8" borderId="0" xfId="0" applyFont="1" applyFill="1">
      <alignment vertical="center"/>
    </xf>
    <xf numFmtId="165" fontId="23" fillId="0" borderId="0" xfId="0" applyFont="1" applyAlignment="1"/>
    <xf numFmtId="165" fontId="25" fillId="9" borderId="16" xfId="0" applyFont="1" applyFill="1" applyBorder="1" applyAlignment="1">
      <alignment horizontal="center" vertical="center"/>
    </xf>
    <xf numFmtId="165" fontId="25" fillId="9" borderId="15" xfId="0" applyFont="1" applyFill="1" applyBorder="1" applyAlignment="1">
      <alignment horizontal="center" vertical="center"/>
    </xf>
    <xf numFmtId="165" fontId="25" fillId="9" borderId="15" xfId="0" applyFont="1" applyFill="1" applyBorder="1" applyAlignment="1">
      <alignment horizontal="center" vertical="center" wrapText="1"/>
    </xf>
    <xf numFmtId="165" fontId="26" fillId="0" borderId="0" xfId="0" applyFont="1" applyAlignment="1">
      <alignment horizontal="center" vertical="center"/>
    </xf>
    <xf numFmtId="165" fontId="26" fillId="0" borderId="4" xfId="0" applyFont="1" applyBorder="1" applyAlignment="1">
      <alignment horizontal="center" vertical="center"/>
    </xf>
    <xf numFmtId="165" fontId="26" fillId="0" borderId="23" xfId="0" applyFont="1" applyBorder="1" applyAlignment="1">
      <alignment horizontal="center" vertical="center"/>
    </xf>
    <xf numFmtId="165" fontId="26" fillId="0" borderId="15" xfId="0" applyFont="1" applyBorder="1" applyAlignment="1">
      <alignment horizontal="center" vertical="center"/>
    </xf>
    <xf numFmtId="165" fontId="26" fillId="2" borderId="23" xfId="0" applyFont="1" applyFill="1" applyBorder="1" applyAlignment="1">
      <alignment horizontal="center" vertical="center"/>
    </xf>
    <xf numFmtId="165" fontId="26" fillId="2" borderId="4" xfId="0" applyFont="1" applyFill="1" applyBorder="1" applyAlignment="1">
      <alignment horizontal="center" vertical="center"/>
    </xf>
    <xf numFmtId="17" fontId="27" fillId="9" borderId="30" xfId="0" applyNumberFormat="1" applyFont="1" applyFill="1" applyBorder="1" applyAlignment="1">
      <alignment horizontal="center" vertical="center"/>
    </xf>
    <xf numFmtId="165" fontId="19" fillId="0" borderId="6" xfId="0" applyFont="1" applyBorder="1" applyAlignment="1">
      <alignment horizontal="center" vertical="center" wrapText="1"/>
    </xf>
    <xf numFmtId="165" fontId="12" fillId="0" borderId="15" xfId="0" applyFont="1" applyBorder="1" applyAlignment="1">
      <alignment horizontal="center" vertical="center"/>
    </xf>
    <xf numFmtId="165" fontId="5" fillId="0" borderId="30" xfId="0" applyFont="1" applyBorder="1">
      <alignment vertical="center"/>
    </xf>
    <xf numFmtId="165" fontId="19" fillId="0" borderId="30" xfId="0" applyFont="1" applyBorder="1">
      <alignment vertical="center"/>
    </xf>
    <xf numFmtId="165" fontId="22" fillId="0" borderId="9" xfId="0" applyFont="1" applyBorder="1" applyAlignment="1">
      <alignment horizontal="center" vertical="center"/>
    </xf>
    <xf numFmtId="165" fontId="12" fillId="0" borderId="15" xfId="0" applyFont="1" applyBorder="1" applyAlignment="1">
      <alignment horizontal="center" vertical="center" wrapText="1"/>
    </xf>
    <xf numFmtId="165" fontId="7" fillId="0" borderId="0" xfId="0" applyFont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165" fontId="15" fillId="0" borderId="22" xfId="0" applyFont="1" applyBorder="1">
      <alignment vertical="center"/>
    </xf>
    <xf numFmtId="165" fontId="14" fillId="0" borderId="0" xfId="0" applyFont="1">
      <alignment vertical="center"/>
    </xf>
    <xf numFmtId="165" fontId="5" fillId="0" borderId="22" xfId="0" applyFont="1" applyBorder="1">
      <alignment vertical="center"/>
    </xf>
    <xf numFmtId="165" fontId="15" fillId="0" borderId="21" xfId="0" applyFont="1" applyBorder="1">
      <alignment vertical="center"/>
    </xf>
    <xf numFmtId="165" fontId="14" fillId="0" borderId="9" xfId="0" applyFont="1" applyBorder="1">
      <alignment vertical="center"/>
    </xf>
    <xf numFmtId="165" fontId="22" fillId="0" borderId="0" xfId="0" applyFont="1" applyAlignment="1">
      <alignment horizontal="left" vertical="center"/>
    </xf>
    <xf numFmtId="165" fontId="22" fillId="0" borderId="0" xfId="0" applyFont="1" applyAlignment="1">
      <alignment horizontal="left" vertical="center" wrapText="1"/>
    </xf>
    <xf numFmtId="165" fontId="6" fillId="0" borderId="22" xfId="0" applyFont="1" applyBorder="1">
      <alignment vertical="center"/>
    </xf>
    <xf numFmtId="165" fontId="14" fillId="0" borderId="10" xfId="0" applyFont="1" applyBorder="1">
      <alignment vertical="center"/>
    </xf>
    <xf numFmtId="165" fontId="5" fillId="0" borderId="2" xfId="0" applyFont="1" applyBorder="1">
      <alignment vertical="center"/>
    </xf>
    <xf numFmtId="165" fontId="5" fillId="0" borderId="23" xfId="0" applyFont="1" applyBorder="1">
      <alignment vertical="center"/>
    </xf>
    <xf numFmtId="165" fontId="5" fillId="0" borderId="11" xfId="0" applyFont="1" applyBorder="1">
      <alignment vertical="center"/>
    </xf>
    <xf numFmtId="165" fontId="14" fillId="0" borderId="2" xfId="0" applyFont="1" applyBorder="1">
      <alignment vertical="center"/>
    </xf>
    <xf numFmtId="165" fontId="5" fillId="0" borderId="1" xfId="0" applyFont="1" applyBorder="1">
      <alignment vertical="center"/>
    </xf>
    <xf numFmtId="165" fontId="5" fillId="0" borderId="0" xfId="0" applyFont="1" applyAlignment="1">
      <alignment vertical="center" wrapText="1"/>
    </xf>
    <xf numFmtId="165" fontId="6" fillId="0" borderId="2" xfId="0" applyFont="1" applyBorder="1" applyAlignment="1">
      <alignment vertical="center" wrapText="1"/>
    </xf>
    <xf numFmtId="165" fontId="15" fillId="0" borderId="2" xfId="0" applyFont="1" applyBorder="1">
      <alignment vertical="center"/>
    </xf>
    <xf numFmtId="49" fontId="5" fillId="0" borderId="22" xfId="0" applyNumberFormat="1" applyFont="1" applyBorder="1">
      <alignment vertical="center"/>
    </xf>
    <xf numFmtId="165" fontId="16" fillId="0" borderId="2" xfId="2" applyFont="1" applyBorder="1"/>
    <xf numFmtId="165" fontId="13" fillId="0" borderId="2" xfId="2" applyFont="1" applyBorder="1"/>
    <xf numFmtId="49" fontId="5" fillId="0" borderId="23" xfId="0" applyNumberFormat="1" applyFont="1" applyBorder="1">
      <alignment vertical="center"/>
    </xf>
    <xf numFmtId="165" fontId="13" fillId="0" borderId="11" xfId="2" applyFont="1" applyBorder="1"/>
    <xf numFmtId="165" fontId="12" fillId="0" borderId="2" xfId="2" applyFont="1" applyBorder="1"/>
    <xf numFmtId="165" fontId="12" fillId="0" borderId="2" xfId="0" applyFont="1" applyBorder="1">
      <alignment vertical="center"/>
    </xf>
    <xf numFmtId="165" fontId="12" fillId="0" borderId="11" xfId="0" applyFont="1" applyBorder="1">
      <alignment vertical="center"/>
    </xf>
    <xf numFmtId="165" fontId="5" fillId="0" borderId="2" xfId="0" applyFont="1" applyBorder="1" applyAlignment="1">
      <alignment vertical="center" wrapText="1"/>
    </xf>
    <xf numFmtId="165" fontId="5" fillId="0" borderId="11" xfId="0" applyFont="1" applyBorder="1" applyAlignment="1">
      <alignment vertical="center" wrapText="1"/>
    </xf>
    <xf numFmtId="165" fontId="6" fillId="0" borderId="10" xfId="0" applyFont="1" applyBorder="1" applyAlignment="1">
      <alignment vertical="center" wrapText="1"/>
    </xf>
    <xf numFmtId="165" fontId="6" fillId="0" borderId="0" xfId="0" applyFont="1">
      <alignment vertical="center"/>
    </xf>
    <xf numFmtId="165" fontId="6" fillId="0" borderId="1" xfId="0" applyFont="1" applyBorder="1">
      <alignment vertical="center"/>
    </xf>
    <xf numFmtId="2" fontId="14" fillId="0" borderId="0" xfId="0" applyNumberFormat="1" applyFont="1">
      <alignment vertical="center"/>
    </xf>
    <xf numFmtId="2" fontId="14" fillId="0" borderId="9" xfId="0" applyNumberFormat="1" applyFont="1" applyBorder="1">
      <alignment vertical="center"/>
    </xf>
    <xf numFmtId="2" fontId="5" fillId="0" borderId="1" xfId="0" applyNumberFormat="1" applyFont="1" applyBorder="1">
      <alignment vertical="center"/>
    </xf>
    <xf numFmtId="1" fontId="22" fillId="0" borderId="0" xfId="0" applyNumberFormat="1" applyFont="1" applyAlignment="1">
      <alignment horizontal="center" vertical="center"/>
    </xf>
    <xf numFmtId="165" fontId="22" fillId="0" borderId="0" xfId="0" applyFont="1" applyAlignment="1">
      <alignment horizontal="center" vertical="center"/>
    </xf>
    <xf numFmtId="165" fontId="22" fillId="0" borderId="0" xfId="0" applyFont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" fontId="5" fillId="0" borderId="0" xfId="0" applyNumberFormat="1" applyFont="1">
      <alignment vertical="center"/>
    </xf>
    <xf numFmtId="1" fontId="5" fillId="0" borderId="0" xfId="0" applyNumberFormat="1" applyFont="1" applyAlignment="1">
      <alignment vertical="center" wrapText="1"/>
    </xf>
    <xf numFmtId="1" fontId="5" fillId="0" borderId="1" xfId="0" applyNumberFormat="1" applyFont="1" applyBorder="1">
      <alignment vertical="center"/>
    </xf>
    <xf numFmtId="2" fontId="14" fillId="0" borderId="10" xfId="0" applyNumberFormat="1" applyFont="1" applyBorder="1">
      <alignment vertical="center"/>
    </xf>
    <xf numFmtId="2" fontId="5" fillId="0" borderId="2" xfId="0" applyNumberFormat="1" applyFont="1" applyBorder="1">
      <alignment vertical="center"/>
    </xf>
    <xf numFmtId="2" fontId="5" fillId="0" borderId="11" xfId="0" applyNumberFormat="1" applyFont="1" applyBorder="1">
      <alignment vertical="center"/>
    </xf>
    <xf numFmtId="2" fontId="14" fillId="0" borderId="2" xfId="0" applyNumberFormat="1" applyFont="1" applyBorder="1">
      <alignment vertical="center"/>
    </xf>
    <xf numFmtId="2" fontId="15" fillId="0" borderId="2" xfId="0" applyNumberFormat="1" applyFont="1" applyBorder="1">
      <alignment vertical="center"/>
    </xf>
    <xf numFmtId="2" fontId="13" fillId="0" borderId="2" xfId="2" applyNumberFormat="1" applyFont="1" applyBorder="1"/>
    <xf numFmtId="2" fontId="12" fillId="0" borderId="2" xfId="2" applyNumberFormat="1" applyFont="1" applyBorder="1"/>
    <xf numFmtId="165" fontId="9" fillId="0" borderId="2" xfId="2" applyFont="1" applyBorder="1"/>
    <xf numFmtId="2" fontId="9" fillId="0" borderId="2" xfId="2" applyNumberFormat="1" applyFont="1" applyBorder="1"/>
    <xf numFmtId="2" fontId="5" fillId="0" borderId="2" xfId="0" applyNumberFormat="1" applyFont="1" applyBorder="1" applyAlignment="1">
      <alignment vertical="center" wrapText="1"/>
    </xf>
    <xf numFmtId="2" fontId="5" fillId="0" borderId="11" xfId="0" applyNumberFormat="1" applyFont="1" applyBorder="1" applyAlignment="1">
      <alignment vertical="center" wrapText="1"/>
    </xf>
    <xf numFmtId="165" fontId="28" fillId="0" borderId="0" xfId="0" applyFont="1" applyAlignment="1">
      <alignment horizontal="left" vertical="center" indent="1"/>
    </xf>
    <xf numFmtId="165" fontId="29" fillId="0" borderId="0" xfId="0" applyFont="1" applyAlignment="1">
      <alignment horizontal="left" vertical="center" indent="1"/>
    </xf>
    <xf numFmtId="165" fontId="25" fillId="9" borderId="21" xfId="0" applyFont="1" applyFill="1" applyBorder="1" applyAlignment="1">
      <alignment horizontal="center" vertical="center"/>
    </xf>
    <xf numFmtId="165" fontId="12" fillId="4" borderId="1" xfId="0" applyFont="1" applyFill="1" applyBorder="1" applyAlignment="1">
      <alignment horizontal="center" vertical="center"/>
    </xf>
    <xf numFmtId="8" fontId="6" fillId="0" borderId="8" xfId="0" applyNumberFormat="1" applyFont="1" applyBorder="1" applyAlignment="1">
      <alignment horizontal="center" vertical="center"/>
    </xf>
    <xf numFmtId="8" fontId="6" fillId="0" borderId="3" xfId="0" applyNumberFormat="1" applyFont="1" applyBorder="1" applyAlignment="1">
      <alignment horizontal="center" vertical="center"/>
    </xf>
    <xf numFmtId="165" fontId="14" fillId="0" borderId="8" xfId="0" applyFont="1" applyBorder="1">
      <alignment vertical="center"/>
    </xf>
    <xf numFmtId="165" fontId="12" fillId="0" borderId="3" xfId="0" applyFont="1" applyBorder="1">
      <alignment vertical="center"/>
    </xf>
    <xf numFmtId="165" fontId="12" fillId="0" borderId="4" xfId="0" applyFont="1" applyBorder="1">
      <alignment vertical="center"/>
    </xf>
    <xf numFmtId="165" fontId="13" fillId="0" borderId="21" xfId="2" applyFont="1" applyBorder="1"/>
    <xf numFmtId="165" fontId="13" fillId="0" borderId="22" xfId="2" applyFont="1" applyBorder="1"/>
    <xf numFmtId="165" fontId="13" fillId="0" borderId="23" xfId="2" applyFont="1" applyBorder="1"/>
    <xf numFmtId="2" fontId="14" fillId="0" borderId="21" xfId="0" applyNumberFormat="1" applyFont="1" applyBorder="1">
      <alignment vertical="center"/>
    </xf>
    <xf numFmtId="2" fontId="12" fillId="0" borderId="22" xfId="0" applyNumberFormat="1" applyFont="1" applyBorder="1">
      <alignment vertical="center"/>
    </xf>
    <xf numFmtId="2" fontId="12" fillId="0" borderId="23" xfId="0" applyNumberFormat="1" applyFont="1" applyBorder="1">
      <alignment vertical="center"/>
    </xf>
    <xf numFmtId="165" fontId="14" fillId="0" borderId="21" xfId="0" applyFont="1" applyBorder="1">
      <alignment vertical="center"/>
    </xf>
    <xf numFmtId="165" fontId="12" fillId="0" borderId="22" xfId="0" applyFont="1" applyBorder="1">
      <alignment vertical="center"/>
    </xf>
    <xf numFmtId="165" fontId="12" fillId="0" borderId="23" xfId="0" applyFont="1" applyBorder="1">
      <alignment vertical="center"/>
    </xf>
    <xf numFmtId="165" fontId="5" fillId="0" borderId="4" xfId="0" applyFont="1" applyBorder="1">
      <alignment vertical="center"/>
    </xf>
    <xf numFmtId="2" fontId="5" fillId="0" borderId="23" xfId="0" applyNumberFormat="1" applyFont="1" applyBorder="1">
      <alignment vertical="center"/>
    </xf>
    <xf numFmtId="8" fontId="13" fillId="3" borderId="30" xfId="0" applyNumberFormat="1" applyFont="1" applyFill="1" applyBorder="1" applyAlignment="1">
      <alignment horizontal="center" vertical="center" wrapText="1"/>
    </xf>
    <xf numFmtId="8" fontId="13" fillId="7" borderId="30" xfId="0" applyNumberFormat="1" applyFont="1" applyFill="1" applyBorder="1" applyAlignment="1">
      <alignment horizontal="center" vertical="center" wrapText="1"/>
    </xf>
    <xf numFmtId="8" fontId="21" fillId="6" borderId="30" xfId="0" applyNumberFormat="1" applyFont="1" applyFill="1" applyBorder="1" applyAlignment="1">
      <alignment horizontal="center" vertical="center" wrapText="1"/>
    </xf>
    <xf numFmtId="8" fontId="13" fillId="11" borderId="30" xfId="0" applyNumberFormat="1" applyFont="1" applyFill="1" applyBorder="1" applyAlignment="1">
      <alignment horizontal="center" vertical="center" wrapText="1"/>
    </xf>
    <xf numFmtId="8" fontId="13" fillId="12" borderId="30" xfId="0" applyNumberFormat="1" applyFont="1" applyFill="1" applyBorder="1" applyAlignment="1">
      <alignment horizontal="center" vertical="center" wrapText="1"/>
    </xf>
    <xf numFmtId="165" fontId="5" fillId="0" borderId="31" xfId="0" applyFont="1" applyBorder="1">
      <alignment vertical="center"/>
    </xf>
    <xf numFmtId="165" fontId="5" fillId="0" borderId="32" xfId="0" applyFont="1" applyBorder="1">
      <alignment vertical="center"/>
    </xf>
    <xf numFmtId="165" fontId="30" fillId="0" borderId="16" xfId="0" applyFont="1" applyBorder="1" applyAlignment="1">
      <alignment horizontal="center" vertical="center"/>
    </xf>
    <xf numFmtId="165" fontId="24" fillId="0" borderId="15" xfId="0" applyFont="1" applyBorder="1" applyAlignment="1">
      <alignment horizontal="center" vertical="center"/>
    </xf>
    <xf numFmtId="165" fontId="24" fillId="0" borderId="15" xfId="0" applyFont="1" applyBorder="1" applyAlignment="1">
      <alignment horizontal="center" vertical="center" wrapText="1"/>
    </xf>
    <xf numFmtId="165" fontId="30" fillId="0" borderId="21" xfId="0" applyFont="1" applyBorder="1" applyAlignment="1">
      <alignment horizontal="center" vertical="center"/>
    </xf>
    <xf numFmtId="165" fontId="24" fillId="0" borderId="8" xfId="0" applyFont="1" applyBorder="1" applyAlignment="1">
      <alignment horizontal="center" vertical="center"/>
    </xf>
    <xf numFmtId="165" fontId="24" fillId="0" borderId="8" xfId="0" applyFont="1" applyBorder="1" applyAlignment="1">
      <alignment horizontal="center" vertical="center" wrapText="1"/>
    </xf>
    <xf numFmtId="165" fontId="30" fillId="2" borderId="16" xfId="0" applyFont="1" applyFill="1" applyBorder="1" applyAlignment="1">
      <alignment horizontal="center" vertical="center"/>
    </xf>
    <xf numFmtId="165" fontId="24" fillId="0" borderId="0" xfId="0" applyFont="1" applyAlignment="1">
      <alignment horizontal="center" vertical="center"/>
    </xf>
    <xf numFmtId="165" fontId="12" fillId="13" borderId="30" xfId="0" applyFont="1" applyFill="1" applyBorder="1" applyAlignment="1">
      <alignment horizontal="center" vertical="center" wrapText="1"/>
    </xf>
    <xf numFmtId="165" fontId="31" fillId="0" borderId="0" xfId="0" applyFont="1" applyAlignment="1">
      <alignment horizontal="left" vertical="center" indent="4"/>
    </xf>
    <xf numFmtId="8" fontId="21" fillId="2" borderId="30" xfId="0" applyNumberFormat="1" applyFont="1" applyFill="1" applyBorder="1" applyAlignment="1">
      <alignment horizontal="center" vertical="center" wrapText="1"/>
    </xf>
    <xf numFmtId="38" fontId="13" fillId="11" borderId="30" xfId="0" applyNumberFormat="1" applyFont="1" applyFill="1" applyBorder="1" applyAlignment="1">
      <alignment horizontal="center" vertical="center" wrapText="1"/>
    </xf>
    <xf numFmtId="38" fontId="13" fillId="3" borderId="30" xfId="0" applyNumberFormat="1" applyFont="1" applyFill="1" applyBorder="1" applyAlignment="1">
      <alignment horizontal="center" vertical="center" wrapText="1"/>
    </xf>
    <xf numFmtId="38" fontId="13" fillId="12" borderId="30" xfId="0" applyNumberFormat="1" applyFont="1" applyFill="1" applyBorder="1" applyAlignment="1">
      <alignment horizontal="center" vertical="center" wrapText="1"/>
    </xf>
    <xf numFmtId="38" fontId="13" fillId="7" borderId="30" xfId="0" applyNumberFormat="1" applyFont="1" applyFill="1" applyBorder="1" applyAlignment="1">
      <alignment horizontal="center" vertical="center" wrapText="1"/>
    </xf>
    <xf numFmtId="165" fontId="21" fillId="0" borderId="30" xfId="0" applyFont="1" applyBorder="1" applyAlignment="1">
      <alignment horizontal="center" vertical="center"/>
    </xf>
    <xf numFmtId="2" fontId="21" fillId="0" borderId="30" xfId="0" applyNumberFormat="1" applyFont="1" applyBorder="1" applyAlignment="1">
      <alignment horizontal="center" vertical="center"/>
    </xf>
    <xf numFmtId="8" fontId="21" fillId="7" borderId="13" xfId="0" applyNumberFormat="1" applyFont="1" applyFill="1" applyBorder="1" applyAlignment="1">
      <alignment horizontal="center" vertical="center" wrapText="1"/>
    </xf>
    <xf numFmtId="165" fontId="5" fillId="0" borderId="33" xfId="0" applyFont="1" applyBorder="1">
      <alignment vertical="center"/>
    </xf>
    <xf numFmtId="8" fontId="6" fillId="0" borderId="13" xfId="0" applyNumberFormat="1" applyFont="1" applyBorder="1">
      <alignment vertical="center"/>
    </xf>
    <xf numFmtId="8" fontId="5" fillId="0" borderId="13" xfId="0" applyNumberFormat="1" applyFont="1" applyBorder="1">
      <alignment vertical="center"/>
    </xf>
    <xf numFmtId="167" fontId="5" fillId="0" borderId="11" xfId="0" applyNumberFormat="1" applyFont="1" applyBorder="1">
      <alignment vertical="center"/>
    </xf>
    <xf numFmtId="8" fontId="6" fillId="0" borderId="1" xfId="0" applyNumberFormat="1" applyFont="1" applyBorder="1">
      <alignment vertical="center"/>
    </xf>
    <xf numFmtId="38" fontId="6" fillId="0" borderId="11" xfId="0" applyNumberFormat="1" applyFont="1" applyBorder="1" applyAlignment="1">
      <alignment horizontal="right" vertical="center"/>
    </xf>
    <xf numFmtId="167" fontId="5" fillId="0" borderId="2" xfId="0" applyNumberFormat="1" applyFont="1" applyBorder="1">
      <alignment vertical="center"/>
    </xf>
    <xf numFmtId="38" fontId="6" fillId="0" borderId="2" xfId="0" applyNumberFormat="1" applyFont="1" applyBorder="1" applyAlignment="1">
      <alignment horizontal="right" vertical="center"/>
    </xf>
    <xf numFmtId="8" fontId="19" fillId="0" borderId="0" xfId="0" applyNumberFormat="1" applyFont="1">
      <alignment vertical="center"/>
    </xf>
    <xf numFmtId="165" fontId="6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8" fontId="6" fillId="0" borderId="9" xfId="0" applyNumberFormat="1" applyFont="1" applyBorder="1">
      <alignment vertical="center"/>
    </xf>
    <xf numFmtId="38" fontId="6" fillId="0" borderId="10" xfId="0" applyNumberFormat="1" applyFont="1" applyBorder="1" applyAlignment="1">
      <alignment horizontal="right" vertical="center"/>
    </xf>
    <xf numFmtId="0" fontId="6" fillId="0" borderId="0" xfId="0" applyNumberFormat="1" applyFont="1" applyAlignment="1">
      <alignment horizontal="center" vertical="center"/>
    </xf>
    <xf numFmtId="165" fontId="5" fillId="0" borderId="9" xfId="0" applyFont="1" applyBorder="1">
      <alignment vertical="center"/>
    </xf>
    <xf numFmtId="165" fontId="5" fillId="0" borderId="10" xfId="0" applyFont="1" applyBorder="1">
      <alignment vertical="center"/>
    </xf>
    <xf numFmtId="165" fontId="5" fillId="0" borderId="12" xfId="0" applyFont="1" applyBorder="1">
      <alignment vertical="center"/>
    </xf>
    <xf numFmtId="38" fontId="6" fillId="0" borderId="12" xfId="0" applyNumberFormat="1" applyFont="1" applyBorder="1" applyAlignment="1">
      <alignment horizontal="right" vertical="center"/>
    </xf>
    <xf numFmtId="8" fontId="6" fillId="0" borderId="16" xfId="0" applyNumberFormat="1" applyFont="1" applyBorder="1" applyAlignment="1">
      <alignment horizontal="center" vertical="center"/>
    </xf>
    <xf numFmtId="165" fontId="14" fillId="0" borderId="12" xfId="0" applyFont="1" applyBorder="1">
      <alignment vertical="center"/>
    </xf>
    <xf numFmtId="2" fontId="5" fillId="0" borderId="12" xfId="0" applyNumberFormat="1" applyFont="1" applyBorder="1" applyAlignment="1">
      <alignment horizontal="center" vertical="center"/>
    </xf>
    <xf numFmtId="165" fontId="5" fillId="0" borderId="12" xfId="0" applyFont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/>
    </xf>
    <xf numFmtId="166" fontId="6" fillId="0" borderId="2" xfId="1" applyNumberFormat="1" applyFont="1" applyFill="1" applyBorder="1" applyAlignment="1">
      <alignment horizontal="center"/>
    </xf>
    <xf numFmtId="165" fontId="5" fillId="0" borderId="2" xfId="2" applyFont="1" applyBorder="1" applyAlignment="1">
      <alignment vertical="center"/>
    </xf>
    <xf numFmtId="0" fontId="5" fillId="0" borderId="2" xfId="2" applyNumberFormat="1" applyFont="1" applyBorder="1" applyAlignment="1">
      <alignment horizontal="center" vertical="center"/>
    </xf>
    <xf numFmtId="165" fontId="6" fillId="0" borderId="2" xfId="2" applyFont="1" applyBorder="1" applyAlignment="1">
      <alignment horizontal="center" vertical="center"/>
    </xf>
    <xf numFmtId="165" fontId="5" fillId="0" borderId="2" xfId="2" applyFont="1" applyBorder="1"/>
    <xf numFmtId="165" fontId="14" fillId="0" borderId="2" xfId="2" applyFont="1" applyBorder="1"/>
    <xf numFmtId="165" fontId="5" fillId="0" borderId="21" xfId="2" applyFont="1" applyBorder="1" applyAlignment="1">
      <alignment vertical="center"/>
    </xf>
    <xf numFmtId="0" fontId="5" fillId="0" borderId="10" xfId="2" applyNumberFormat="1" applyFont="1" applyBorder="1" applyAlignment="1">
      <alignment horizontal="center" vertical="center"/>
    </xf>
    <xf numFmtId="165" fontId="6" fillId="0" borderId="10" xfId="2" applyFont="1" applyBorder="1" applyAlignment="1">
      <alignment horizontal="center" vertical="center"/>
    </xf>
    <xf numFmtId="165" fontId="5" fillId="0" borderId="10" xfId="2" applyFont="1" applyBorder="1" applyAlignment="1">
      <alignment vertical="center"/>
    </xf>
    <xf numFmtId="0" fontId="5" fillId="0" borderId="10" xfId="0" applyNumberFormat="1" applyFont="1" applyBorder="1" applyAlignment="1">
      <alignment horizontal="center" vertical="center"/>
    </xf>
    <xf numFmtId="165" fontId="14" fillId="0" borderId="16" xfId="0" applyFont="1" applyBorder="1">
      <alignment vertical="center"/>
    </xf>
    <xf numFmtId="0" fontId="5" fillId="0" borderId="15" xfId="0" applyNumberFormat="1" applyFont="1" applyBorder="1" applyAlignment="1">
      <alignment horizontal="center" vertical="center"/>
    </xf>
    <xf numFmtId="165" fontId="5" fillId="0" borderId="16" xfId="0" applyFont="1" applyBorder="1" applyAlignment="1">
      <alignment horizontal="center" vertical="center"/>
    </xf>
    <xf numFmtId="38" fontId="6" fillId="0" borderId="2" xfId="2" applyNumberFormat="1" applyFont="1" applyBorder="1" applyAlignment="1">
      <alignment horizontal="right"/>
    </xf>
    <xf numFmtId="38" fontId="11" fillId="0" borderId="2" xfId="2" applyNumberFormat="1" applyFont="1" applyBorder="1" applyAlignment="1">
      <alignment horizontal="right"/>
    </xf>
    <xf numFmtId="165" fontId="6" fillId="0" borderId="2" xfId="2" applyFont="1" applyBorder="1"/>
    <xf numFmtId="0" fontId="5" fillId="0" borderId="22" xfId="0" applyNumberFormat="1" applyFont="1" applyBorder="1" applyAlignment="1">
      <alignment horizontal="center" vertical="center"/>
    </xf>
    <xf numFmtId="165" fontId="6" fillId="0" borderId="2" xfId="2" applyFont="1" applyBorder="1" applyAlignment="1">
      <alignment vertical="center"/>
    </xf>
    <xf numFmtId="166" fontId="6" fillId="0" borderId="11" xfId="1" applyNumberFormat="1" applyFont="1" applyFill="1" applyBorder="1" applyAlignment="1">
      <alignment horizontal="center"/>
    </xf>
    <xf numFmtId="167" fontId="5" fillId="0" borderId="10" xfId="0" applyNumberFormat="1" applyFont="1" applyBorder="1">
      <alignment vertical="center"/>
    </xf>
    <xf numFmtId="0" fontId="6" fillId="0" borderId="2" xfId="2" applyNumberFormat="1" applyFont="1" applyBorder="1" applyAlignment="1">
      <alignment horizontal="center" vertical="center"/>
    </xf>
    <xf numFmtId="165" fontId="5" fillId="0" borderId="2" xfId="2" applyFont="1" applyBorder="1" applyAlignment="1">
      <alignment horizontal="center" vertical="center"/>
    </xf>
    <xf numFmtId="165" fontId="20" fillId="0" borderId="2" xfId="2" applyFont="1" applyBorder="1"/>
    <xf numFmtId="165" fontId="6" fillId="0" borderId="11" xfId="2" applyFont="1" applyBorder="1"/>
    <xf numFmtId="0" fontId="6" fillId="0" borderId="11" xfId="2" applyNumberFormat="1" applyFont="1" applyBorder="1" applyAlignment="1">
      <alignment horizontal="center" vertical="center"/>
    </xf>
    <xf numFmtId="165" fontId="5" fillId="0" borderId="11" xfId="2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center" vertical="center"/>
    </xf>
    <xf numFmtId="165" fontId="14" fillId="0" borderId="2" xfId="2" applyFont="1" applyBorder="1" applyAlignment="1">
      <alignment vertical="center"/>
    </xf>
    <xf numFmtId="38" fontId="11" fillId="0" borderId="11" xfId="1" applyNumberFormat="1" applyFont="1" applyFill="1" applyBorder="1" applyAlignment="1">
      <alignment horizontal="right"/>
    </xf>
    <xf numFmtId="38" fontId="11" fillId="0" borderId="2" xfId="1" applyNumberFormat="1" applyFont="1" applyFill="1" applyBorder="1" applyAlignment="1">
      <alignment horizontal="right"/>
    </xf>
    <xf numFmtId="165" fontId="6" fillId="0" borderId="11" xfId="2" applyFont="1" applyBorder="1" applyAlignment="1">
      <alignment horizontal="center" vertical="center"/>
    </xf>
    <xf numFmtId="49" fontId="6" fillId="0" borderId="2" xfId="2" applyNumberFormat="1" applyFont="1" applyBorder="1" applyAlignment="1">
      <alignment horizontal="center" vertical="center"/>
    </xf>
    <xf numFmtId="165" fontId="6" fillId="0" borderId="2" xfId="2" applyFont="1" applyBorder="1" applyAlignment="1">
      <alignment horizontal="center"/>
    </xf>
    <xf numFmtId="49" fontId="5" fillId="0" borderId="22" xfId="0" applyNumberFormat="1" applyFont="1" applyBorder="1" applyAlignment="1">
      <alignment horizontal="center" vertical="center"/>
    </xf>
    <xf numFmtId="165" fontId="5" fillId="0" borderId="2" xfId="2" applyFont="1" applyBorder="1" applyAlignment="1">
      <alignment horizontal="center"/>
    </xf>
    <xf numFmtId="165" fontId="6" fillId="0" borderId="22" xfId="2" applyFont="1" applyBorder="1"/>
    <xf numFmtId="0" fontId="6" fillId="0" borderId="22" xfId="2" applyNumberFormat="1" applyFont="1" applyBorder="1"/>
    <xf numFmtId="38" fontId="11" fillId="0" borderId="10" xfId="1" applyNumberFormat="1" applyFont="1" applyFill="1" applyBorder="1" applyAlignment="1">
      <alignment horizontal="right"/>
    </xf>
    <xf numFmtId="165" fontId="5" fillId="0" borderId="10" xfId="2" applyFont="1" applyBorder="1"/>
    <xf numFmtId="165" fontId="6" fillId="0" borderId="10" xfId="2" applyFont="1" applyBorder="1"/>
    <xf numFmtId="49" fontId="6" fillId="0" borderId="10" xfId="2" applyNumberFormat="1" applyFont="1" applyBorder="1" applyAlignment="1">
      <alignment horizontal="center" vertical="center"/>
    </xf>
    <xf numFmtId="165" fontId="5" fillId="0" borderId="10" xfId="2" applyFont="1" applyBorder="1" applyAlignment="1">
      <alignment horizontal="center"/>
    </xf>
    <xf numFmtId="0" fontId="5" fillId="0" borderId="21" xfId="0" applyNumberFormat="1" applyFont="1" applyBorder="1" applyAlignment="1">
      <alignment horizontal="center" vertical="center"/>
    </xf>
    <xf numFmtId="165" fontId="19" fillId="0" borderId="1" xfId="0" applyFont="1" applyBorder="1">
      <alignment vertic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2" xfId="0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165" fontId="5" fillId="0" borderId="10" xfId="0" applyFont="1" applyBorder="1" applyAlignment="1">
      <alignment horizontal="center" vertical="center"/>
    </xf>
    <xf numFmtId="8" fontId="5" fillId="0" borderId="1" xfId="0" applyNumberFormat="1" applyFont="1" applyBorder="1">
      <alignment vertical="center"/>
    </xf>
    <xf numFmtId="165" fontId="5" fillId="0" borderId="22" xfId="0" applyFont="1" applyBorder="1" applyAlignment="1">
      <alignment horizontal="center" vertical="center"/>
    </xf>
    <xf numFmtId="8" fontId="5" fillId="0" borderId="9" xfId="0" applyNumberFormat="1" applyFont="1" applyBorder="1">
      <alignment vertical="center"/>
    </xf>
    <xf numFmtId="165" fontId="5" fillId="0" borderId="23" xfId="0" applyFont="1" applyBorder="1" applyAlignment="1">
      <alignment horizontal="center" vertical="center"/>
    </xf>
    <xf numFmtId="165" fontId="5" fillId="0" borderId="21" xfId="0" applyFont="1" applyBorder="1">
      <alignment vertical="center"/>
    </xf>
    <xf numFmtId="165" fontId="5" fillId="0" borderId="21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9" fontId="5" fillId="0" borderId="21" xfId="0" applyNumberFormat="1" applyFont="1" applyBorder="1" applyAlignment="1">
      <alignment horizontal="center" vertical="center"/>
    </xf>
    <xf numFmtId="166" fontId="11" fillId="0" borderId="2" xfId="1" applyNumberFormat="1" applyFont="1" applyFill="1" applyBorder="1" applyAlignment="1">
      <alignment horizontal="center"/>
    </xf>
    <xf numFmtId="165" fontId="5" fillId="0" borderId="37" xfId="0" applyFont="1" applyBorder="1">
      <alignment vertical="center"/>
    </xf>
    <xf numFmtId="167" fontId="5" fillId="0" borderId="37" xfId="0" applyNumberFormat="1" applyFont="1" applyBorder="1">
      <alignment vertical="center"/>
    </xf>
    <xf numFmtId="8" fontId="5" fillId="0" borderId="31" xfId="0" applyNumberFormat="1" applyFont="1" applyBorder="1">
      <alignment vertical="center"/>
    </xf>
    <xf numFmtId="38" fontId="6" fillId="0" borderId="37" xfId="0" applyNumberFormat="1" applyFont="1" applyBorder="1" applyAlignment="1">
      <alignment horizontal="right" vertical="center"/>
    </xf>
    <xf numFmtId="8" fontId="5" fillId="0" borderId="31" xfId="0" applyNumberFormat="1" applyFont="1" applyBorder="1" applyAlignment="1">
      <alignment horizontal="center" vertical="center"/>
    </xf>
    <xf numFmtId="8" fontId="5" fillId="0" borderId="38" xfId="0" applyNumberFormat="1" applyFont="1" applyBorder="1" applyAlignment="1">
      <alignment horizontal="center" vertical="center"/>
    </xf>
    <xf numFmtId="165" fontId="32" fillId="0" borderId="0" xfId="0" applyFont="1" applyAlignment="1">
      <alignment horizontal="center" vertical="center"/>
    </xf>
    <xf numFmtId="165" fontId="33" fillId="0" borderId="0" xfId="0" applyFont="1" applyAlignment="1">
      <alignment horizontal="center" vertical="center"/>
    </xf>
    <xf numFmtId="165" fontId="32" fillId="0" borderId="0" xfId="0" applyFont="1">
      <alignment vertical="center"/>
    </xf>
    <xf numFmtId="170" fontId="6" fillId="0" borderId="31" xfId="0" applyNumberFormat="1" applyFont="1" applyBorder="1">
      <alignment vertical="center"/>
    </xf>
    <xf numFmtId="170" fontId="5" fillId="0" borderId="31" xfId="0" applyNumberFormat="1" applyFont="1" applyBorder="1">
      <alignment vertical="center"/>
    </xf>
    <xf numFmtId="170" fontId="6" fillId="0" borderId="30" xfId="0" applyNumberFormat="1" applyFont="1" applyBorder="1">
      <alignment vertical="center"/>
    </xf>
    <xf numFmtId="38" fontId="6" fillId="0" borderId="30" xfId="0" applyNumberFormat="1" applyFont="1" applyBorder="1" applyAlignment="1">
      <alignment horizontal="right" vertical="center"/>
    </xf>
    <xf numFmtId="167" fontId="5" fillId="0" borderId="30" xfId="0" applyNumberFormat="1" applyFont="1" applyBorder="1">
      <alignment vertical="center"/>
    </xf>
    <xf numFmtId="170" fontId="5" fillId="0" borderId="30" xfId="0" applyNumberFormat="1" applyFont="1" applyBorder="1">
      <alignment vertical="center"/>
    </xf>
    <xf numFmtId="38" fontId="19" fillId="0" borderId="30" xfId="0" applyNumberFormat="1" applyFont="1" applyBorder="1" applyAlignment="1">
      <alignment horizontal="right" vertical="center"/>
    </xf>
    <xf numFmtId="167" fontId="19" fillId="0" borderId="30" xfId="0" applyNumberFormat="1" applyFont="1" applyBorder="1">
      <alignment vertical="center"/>
    </xf>
    <xf numFmtId="38" fontId="11" fillId="0" borderId="30" xfId="1" applyNumberFormat="1" applyFont="1" applyFill="1" applyBorder="1" applyAlignment="1">
      <alignment horizontal="right"/>
    </xf>
    <xf numFmtId="166" fontId="6" fillId="0" borderId="30" xfId="1" applyNumberFormat="1" applyFont="1" applyFill="1" applyBorder="1" applyAlignment="1">
      <alignment horizontal="center"/>
    </xf>
    <xf numFmtId="166" fontId="11" fillId="0" borderId="30" xfId="1" applyNumberFormat="1" applyFont="1" applyFill="1" applyBorder="1" applyAlignment="1">
      <alignment horizontal="right"/>
    </xf>
    <xf numFmtId="38" fontId="11" fillId="0" borderId="30" xfId="2" applyNumberFormat="1" applyFont="1" applyBorder="1" applyAlignment="1">
      <alignment horizontal="right"/>
    </xf>
    <xf numFmtId="166" fontId="6" fillId="0" borderId="30" xfId="0" applyNumberFormat="1" applyFont="1" applyBorder="1" applyAlignment="1">
      <alignment horizontal="right" vertical="center"/>
    </xf>
    <xf numFmtId="38" fontId="6" fillId="0" borderId="30" xfId="2" applyNumberFormat="1" applyFont="1" applyBorder="1" applyAlignment="1">
      <alignment horizontal="right"/>
    </xf>
    <xf numFmtId="166" fontId="6" fillId="0" borderId="30" xfId="1" applyNumberFormat="1" applyFont="1" applyFill="1" applyBorder="1" applyAlignment="1">
      <alignment horizontal="right"/>
    </xf>
    <xf numFmtId="167" fontId="6" fillId="0" borderId="30" xfId="0" applyNumberFormat="1" applyFont="1" applyBorder="1">
      <alignment vertical="center"/>
    </xf>
    <xf numFmtId="38" fontId="5" fillId="0" borderId="30" xfId="0" applyNumberFormat="1" applyFont="1" applyBorder="1">
      <alignment vertical="center"/>
    </xf>
    <xf numFmtId="38" fontId="19" fillId="0" borderId="30" xfId="0" applyNumberFormat="1" applyFont="1" applyBorder="1">
      <alignment vertical="center"/>
    </xf>
    <xf numFmtId="38" fontId="5" fillId="0" borderId="30" xfId="0" applyNumberFormat="1" applyFont="1" applyBorder="1" applyAlignment="1">
      <alignment horizontal="right" vertical="center"/>
    </xf>
    <xf numFmtId="38" fontId="6" fillId="0" borderId="30" xfId="1" applyNumberFormat="1" applyFont="1" applyFill="1" applyBorder="1" applyAlignment="1">
      <alignment horizontal="right"/>
    </xf>
    <xf numFmtId="165" fontId="6" fillId="0" borderId="2" xfId="0" applyFont="1" applyBorder="1" applyAlignment="1">
      <alignment horizontal="left" vertical="center" wrapText="1"/>
    </xf>
    <xf numFmtId="165" fontId="0" fillId="0" borderId="0" xfId="0" applyAlignment="1">
      <alignment vertical="center" wrapText="1"/>
    </xf>
    <xf numFmtId="38" fontId="6" fillId="0" borderId="30" xfId="1" applyNumberFormat="1" applyFont="1" applyFill="1" applyBorder="1" applyAlignment="1">
      <alignment horizontal="center"/>
    </xf>
    <xf numFmtId="38" fontId="6" fillId="0" borderId="40" xfId="2" applyNumberFormat="1" applyFont="1" applyBorder="1" applyAlignment="1">
      <alignment horizontal="right"/>
    </xf>
    <xf numFmtId="38" fontId="6" fillId="0" borderId="39" xfId="2" applyNumberFormat="1" applyFont="1" applyBorder="1" applyAlignment="1">
      <alignment horizontal="right"/>
    </xf>
    <xf numFmtId="165" fontId="21" fillId="2" borderId="16" xfId="0" applyFont="1" applyFill="1" applyBorder="1" applyAlignment="1">
      <alignment horizontal="center" vertical="center" wrapText="1"/>
    </xf>
    <xf numFmtId="165" fontId="21" fillId="6" borderId="30" xfId="0" applyFont="1" applyFill="1" applyBorder="1" applyAlignment="1">
      <alignment horizontal="center" vertical="center" wrapText="1"/>
    </xf>
    <xf numFmtId="165" fontId="12" fillId="14" borderId="30" xfId="0" applyFont="1" applyFill="1" applyBorder="1" applyAlignment="1">
      <alignment horizontal="center" vertical="center"/>
    </xf>
    <xf numFmtId="165" fontId="12" fillId="0" borderId="10" xfId="0" applyFont="1" applyBorder="1" applyAlignment="1">
      <alignment horizontal="center" vertical="center"/>
    </xf>
    <xf numFmtId="165" fontId="12" fillId="15" borderId="0" xfId="0" applyFont="1" applyFill="1" applyAlignment="1">
      <alignment horizontal="center" vertical="center"/>
    </xf>
    <xf numFmtId="165" fontId="12" fillId="15" borderId="1" xfId="0" applyFont="1" applyFill="1" applyBorder="1" applyAlignment="1">
      <alignment horizontal="center" vertical="center"/>
    </xf>
    <xf numFmtId="165" fontId="12" fillId="0" borderId="9" xfId="0" applyFont="1" applyBorder="1" applyAlignment="1">
      <alignment horizontal="center" vertical="center"/>
    </xf>
    <xf numFmtId="165" fontId="21" fillId="0" borderId="42" xfId="0" applyFont="1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8" fontId="21" fillId="7" borderId="9" xfId="0" applyNumberFormat="1" applyFont="1" applyFill="1" applyBorder="1" applyAlignment="1">
      <alignment horizontal="center" vertical="center" wrapText="1"/>
    </xf>
    <xf numFmtId="8" fontId="21" fillId="2" borderId="42" xfId="0" applyNumberFormat="1" applyFont="1" applyFill="1" applyBorder="1" applyAlignment="1">
      <alignment horizontal="center" vertical="center" wrapText="1"/>
    </xf>
    <xf numFmtId="165" fontId="21" fillId="6" borderId="42" xfId="0" applyFont="1" applyFill="1" applyBorder="1" applyAlignment="1">
      <alignment horizontal="center" vertical="center" wrapText="1"/>
    </xf>
    <xf numFmtId="8" fontId="21" fillId="6" borderId="42" xfId="0" applyNumberFormat="1" applyFont="1" applyFill="1" applyBorder="1" applyAlignment="1">
      <alignment horizontal="center" vertical="center" wrapText="1"/>
    </xf>
    <xf numFmtId="38" fontId="13" fillId="3" borderId="42" xfId="0" applyNumberFormat="1" applyFont="1" applyFill="1" applyBorder="1" applyAlignment="1">
      <alignment horizontal="center" vertical="center" wrapText="1"/>
    </xf>
    <xf numFmtId="8" fontId="13" fillId="3" borderId="42" xfId="0" applyNumberFormat="1" applyFont="1" applyFill="1" applyBorder="1" applyAlignment="1">
      <alignment horizontal="center" vertical="center" wrapText="1"/>
    </xf>
    <xf numFmtId="38" fontId="13" fillId="11" borderId="42" xfId="0" applyNumberFormat="1" applyFont="1" applyFill="1" applyBorder="1" applyAlignment="1">
      <alignment horizontal="center" vertical="center" wrapText="1"/>
    </xf>
    <xf numFmtId="8" fontId="13" fillId="11" borderId="42" xfId="0" applyNumberFormat="1" applyFont="1" applyFill="1" applyBorder="1" applyAlignment="1">
      <alignment horizontal="center" vertical="center" wrapText="1"/>
    </xf>
    <xf numFmtId="38" fontId="13" fillId="12" borderId="42" xfId="0" applyNumberFormat="1" applyFont="1" applyFill="1" applyBorder="1" applyAlignment="1">
      <alignment horizontal="center" vertical="center" wrapText="1"/>
    </xf>
    <xf numFmtId="8" fontId="13" fillId="12" borderId="42" xfId="0" applyNumberFormat="1" applyFont="1" applyFill="1" applyBorder="1" applyAlignment="1">
      <alignment horizontal="center" vertical="center" wrapText="1"/>
    </xf>
    <xf numFmtId="38" fontId="13" fillId="7" borderId="42" xfId="0" applyNumberFormat="1" applyFont="1" applyFill="1" applyBorder="1" applyAlignment="1">
      <alignment horizontal="center" vertical="center" wrapText="1"/>
    </xf>
    <xf numFmtId="8" fontId="13" fillId="7" borderId="42" xfId="0" applyNumberFormat="1" applyFont="1" applyFill="1" applyBorder="1" applyAlignment="1">
      <alignment horizontal="center" vertical="center" wrapText="1"/>
    </xf>
    <xf numFmtId="165" fontId="14" fillId="0" borderId="30" xfId="0" applyFont="1" applyBorder="1">
      <alignment vertical="center"/>
    </xf>
    <xf numFmtId="2" fontId="14" fillId="0" borderId="30" xfId="0" applyNumberFormat="1" applyFont="1" applyBorder="1">
      <alignment vertical="center"/>
    </xf>
    <xf numFmtId="8" fontId="5" fillId="0" borderId="30" xfId="0" applyNumberFormat="1" applyFont="1" applyBorder="1" applyAlignment="1">
      <alignment horizontal="center" vertical="center"/>
    </xf>
    <xf numFmtId="8" fontId="5" fillId="0" borderId="30" xfId="0" applyNumberFormat="1" applyFont="1" applyBorder="1">
      <alignment vertical="center"/>
    </xf>
    <xf numFmtId="2" fontId="5" fillId="0" borderId="30" xfId="0" applyNumberFormat="1" applyFont="1" applyBorder="1">
      <alignment vertical="center"/>
    </xf>
    <xf numFmtId="8" fontId="6" fillId="0" borderId="30" xfId="0" applyNumberFormat="1" applyFont="1" applyBorder="1" applyAlignment="1">
      <alignment horizontal="center" vertical="center"/>
    </xf>
    <xf numFmtId="8" fontId="6" fillId="0" borderId="30" xfId="0" applyNumberFormat="1" applyFont="1" applyBorder="1">
      <alignment vertical="center"/>
    </xf>
    <xf numFmtId="165" fontId="22" fillId="0" borderId="30" xfId="0" applyFont="1" applyBorder="1" applyAlignment="1">
      <alignment horizontal="left" vertical="center"/>
    </xf>
    <xf numFmtId="1" fontId="22" fillId="0" borderId="30" xfId="0" applyNumberFormat="1" applyFont="1" applyBorder="1" applyAlignment="1">
      <alignment horizontal="center" vertical="center"/>
    </xf>
    <xf numFmtId="165" fontId="22" fillId="0" borderId="30" xfId="0" applyFont="1" applyBorder="1" applyAlignment="1">
      <alignment horizontal="center" vertical="center"/>
    </xf>
    <xf numFmtId="165" fontId="22" fillId="0" borderId="30" xfId="0" applyFont="1" applyBorder="1" applyAlignment="1">
      <alignment horizontal="left" vertical="center" wrapText="1"/>
    </xf>
    <xf numFmtId="165" fontId="22" fillId="0" borderId="30" xfId="0" applyFont="1" applyBorder="1" applyAlignment="1">
      <alignment horizontal="center" vertical="center" wrapText="1"/>
    </xf>
    <xf numFmtId="1" fontId="22" fillId="0" borderId="30" xfId="0" applyNumberFormat="1" applyFont="1" applyBorder="1" applyAlignment="1">
      <alignment horizontal="center" vertical="center" wrapText="1"/>
    </xf>
    <xf numFmtId="1" fontId="5" fillId="0" borderId="30" xfId="0" applyNumberFormat="1" applyFont="1" applyBorder="1">
      <alignment vertical="center"/>
    </xf>
    <xf numFmtId="165" fontId="5" fillId="0" borderId="30" xfId="0" applyFont="1" applyBorder="1" applyAlignment="1">
      <alignment vertical="center" wrapText="1"/>
    </xf>
    <xf numFmtId="1" fontId="5" fillId="0" borderId="30" xfId="0" applyNumberFormat="1" applyFont="1" applyBorder="1" applyAlignment="1">
      <alignment vertical="center" wrapText="1"/>
    </xf>
    <xf numFmtId="166" fontId="11" fillId="0" borderId="30" xfId="1" applyNumberFormat="1" applyFont="1" applyFill="1" applyBorder="1" applyAlignment="1">
      <alignment horizontal="center"/>
    </xf>
    <xf numFmtId="165" fontId="5" fillId="0" borderId="30" xfId="0" applyFont="1" applyBorder="1" applyAlignment="1">
      <alignment horizontal="center" vertical="center"/>
    </xf>
    <xf numFmtId="169" fontId="5" fillId="0" borderId="30" xfId="0" applyNumberFormat="1" applyFont="1" applyBorder="1" applyAlignment="1">
      <alignment horizontal="center" vertical="center"/>
    </xf>
    <xf numFmtId="0" fontId="5" fillId="0" borderId="30" xfId="0" applyNumberFormat="1" applyFont="1" applyBorder="1" applyAlignment="1">
      <alignment horizontal="center" vertical="center"/>
    </xf>
    <xf numFmtId="2" fontId="5" fillId="0" borderId="30" xfId="0" applyNumberFormat="1" applyFont="1" applyBorder="1" applyAlignment="1">
      <alignment horizontal="center" vertical="center"/>
    </xf>
    <xf numFmtId="165" fontId="15" fillId="0" borderId="30" xfId="0" applyFont="1" applyBorder="1">
      <alignment vertical="center"/>
    </xf>
    <xf numFmtId="2" fontId="15" fillId="0" borderId="30" xfId="0" applyNumberFormat="1" applyFont="1" applyBorder="1">
      <alignment vertical="center"/>
    </xf>
    <xf numFmtId="165" fontId="6" fillId="0" borderId="30" xfId="0" applyFont="1" applyBorder="1">
      <alignment vertical="center"/>
    </xf>
    <xf numFmtId="2" fontId="6" fillId="0" borderId="30" xfId="0" applyNumberFormat="1" applyFont="1" applyBorder="1">
      <alignment vertical="center"/>
    </xf>
    <xf numFmtId="165" fontId="6" fillId="0" borderId="30" xfId="2" applyFont="1" applyBorder="1"/>
    <xf numFmtId="165" fontId="5" fillId="0" borderId="30" xfId="2" applyFont="1" applyBorder="1" applyAlignment="1">
      <alignment horizontal="center"/>
    </xf>
    <xf numFmtId="49" fontId="6" fillId="0" borderId="30" xfId="2" applyNumberFormat="1" applyFont="1" applyBorder="1" applyAlignment="1">
      <alignment horizontal="center" vertical="center"/>
    </xf>
    <xf numFmtId="165" fontId="5" fillId="0" borderId="30" xfId="2" applyFont="1" applyBorder="1"/>
    <xf numFmtId="165" fontId="5" fillId="0" borderId="30" xfId="2" applyFont="1" applyBorder="1" applyAlignment="1">
      <alignment horizontal="center" vertical="center"/>
    </xf>
    <xf numFmtId="165" fontId="20" fillId="0" borderId="30" xfId="2" applyFont="1" applyBorder="1"/>
    <xf numFmtId="0" fontId="6" fillId="0" borderId="30" xfId="2" applyNumberFormat="1" applyFont="1" applyBorder="1"/>
    <xf numFmtId="165" fontId="6" fillId="0" borderId="30" xfId="2" applyFont="1" applyBorder="1" applyAlignment="1">
      <alignment horizontal="center"/>
    </xf>
    <xf numFmtId="0" fontId="6" fillId="0" borderId="30" xfId="2" applyNumberFormat="1" applyFont="1" applyBorder="1" applyAlignment="1">
      <alignment horizontal="center" vertical="center"/>
    </xf>
    <xf numFmtId="165" fontId="6" fillId="0" borderId="30" xfId="2" applyFont="1" applyBorder="1" applyAlignment="1">
      <alignment horizontal="center" vertical="center"/>
    </xf>
    <xf numFmtId="165" fontId="13" fillId="0" borderId="30" xfId="2" applyFont="1" applyBorder="1"/>
    <xf numFmtId="2" fontId="13" fillId="0" borderId="30" xfId="2" applyNumberFormat="1" applyFont="1" applyBorder="1"/>
    <xf numFmtId="165" fontId="6" fillId="0" borderId="30" xfId="2" applyFont="1" applyBorder="1" applyAlignment="1">
      <alignment vertical="center"/>
    </xf>
    <xf numFmtId="165" fontId="5" fillId="0" borderId="30" xfId="2" applyFont="1" applyBorder="1" applyAlignment="1">
      <alignment vertical="center"/>
    </xf>
    <xf numFmtId="0" fontId="5" fillId="0" borderId="30" xfId="2" applyNumberFormat="1" applyFont="1" applyBorder="1" applyAlignment="1">
      <alignment horizontal="center" vertical="center"/>
    </xf>
    <xf numFmtId="165" fontId="12" fillId="0" borderId="30" xfId="0" applyFont="1" applyBorder="1">
      <alignment vertical="center"/>
    </xf>
    <xf numFmtId="165" fontId="9" fillId="0" borderId="30" xfId="2" applyFont="1" applyBorder="1"/>
    <xf numFmtId="2" fontId="9" fillId="0" borderId="30" xfId="2" applyNumberFormat="1" applyFont="1" applyBorder="1"/>
    <xf numFmtId="165" fontId="14" fillId="0" borderId="30" xfId="2" applyFont="1" applyBorder="1"/>
    <xf numFmtId="165" fontId="12" fillId="0" borderId="30" xfId="2" applyFont="1" applyBorder="1"/>
    <xf numFmtId="2" fontId="12" fillId="0" borderId="30" xfId="2" applyNumberFormat="1" applyFont="1" applyBorder="1"/>
    <xf numFmtId="2" fontId="5" fillId="0" borderId="30" xfId="0" applyNumberFormat="1" applyFont="1" applyBorder="1" applyAlignment="1">
      <alignment vertical="center" wrapText="1"/>
    </xf>
    <xf numFmtId="165" fontId="6" fillId="0" borderId="30" xfId="0" applyFont="1" applyBorder="1" applyAlignment="1">
      <alignment vertical="center" wrapText="1"/>
    </xf>
    <xf numFmtId="165" fontId="6" fillId="0" borderId="30" xfId="0" applyFont="1" applyBorder="1" applyAlignment="1">
      <alignment horizontal="center" vertical="center" wrapText="1"/>
    </xf>
    <xf numFmtId="2" fontId="6" fillId="0" borderId="30" xfId="0" applyNumberFormat="1" applyFont="1" applyBorder="1" applyAlignment="1">
      <alignment horizontal="center" vertical="center" wrapText="1"/>
    </xf>
    <xf numFmtId="165" fontId="6" fillId="0" borderId="30" xfId="0" applyFont="1" applyBorder="1" applyAlignment="1">
      <alignment horizontal="left" vertical="center" wrapText="1"/>
    </xf>
    <xf numFmtId="165" fontId="20" fillId="0" borderId="30" xfId="0" applyFont="1" applyBorder="1" applyAlignment="1">
      <alignment vertical="center" wrapText="1"/>
    </xf>
    <xf numFmtId="165" fontId="21" fillId="0" borderId="21" xfId="0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30" xfId="0" applyNumberFormat="1" applyFont="1" applyBorder="1">
      <alignment vertical="center"/>
    </xf>
    <xf numFmtId="0" fontId="6" fillId="0" borderId="30" xfId="0" applyNumberFormat="1" applyFont="1" applyBorder="1" applyAlignment="1">
      <alignment horizontal="center" vertical="center"/>
    </xf>
    <xf numFmtId="165" fontId="5" fillId="0" borderId="44" xfId="0" applyFont="1" applyBorder="1">
      <alignment vertical="center"/>
    </xf>
    <xf numFmtId="165" fontId="19" fillId="0" borderId="44" xfId="0" applyFont="1" applyBorder="1">
      <alignment vertical="center"/>
    </xf>
    <xf numFmtId="165" fontId="12" fillId="5" borderId="9" xfId="0" applyFont="1" applyFill="1" applyBorder="1" applyAlignment="1">
      <alignment horizontal="center" vertical="center"/>
    </xf>
    <xf numFmtId="165" fontId="12" fillId="5" borderId="0" xfId="0" applyFont="1" applyFill="1" applyAlignment="1">
      <alignment horizontal="center" vertical="center"/>
    </xf>
    <xf numFmtId="165" fontId="12" fillId="5" borderId="1" xfId="0" applyFont="1" applyFill="1" applyBorder="1" applyAlignment="1">
      <alignment horizontal="center" vertical="center"/>
    </xf>
    <xf numFmtId="165" fontId="12" fillId="4" borderId="0" xfId="0" applyFont="1" applyFill="1" applyAlignment="1">
      <alignment horizontal="center" vertical="center"/>
    </xf>
    <xf numFmtId="8" fontId="21" fillId="4" borderId="30" xfId="0" applyNumberFormat="1" applyFont="1" applyFill="1" applyBorder="1" applyAlignment="1">
      <alignment horizontal="center" vertical="center" wrapText="1"/>
    </xf>
    <xf numFmtId="8" fontId="5" fillId="0" borderId="30" xfId="0" applyNumberFormat="1" applyFont="1" applyBorder="1" applyAlignment="1">
      <alignment horizontal="right" vertical="center"/>
    </xf>
    <xf numFmtId="8" fontId="6" fillId="0" borderId="30" xfId="0" applyNumberFormat="1" applyFont="1" applyBorder="1" applyAlignment="1">
      <alignment horizontal="right" vertical="center"/>
    </xf>
    <xf numFmtId="38" fontId="22" fillId="0" borderId="30" xfId="0" applyNumberFormat="1" applyFont="1" applyBorder="1" applyAlignment="1">
      <alignment horizontal="right" vertical="center"/>
    </xf>
    <xf numFmtId="165" fontId="22" fillId="0" borderId="30" xfId="0" applyFont="1" applyBorder="1">
      <alignment vertical="center"/>
    </xf>
    <xf numFmtId="165" fontId="5" fillId="0" borderId="30" xfId="0" applyFont="1" applyBorder="1" applyAlignment="1">
      <alignment horizontal="left" vertical="center"/>
    </xf>
    <xf numFmtId="165" fontId="5" fillId="0" borderId="30" xfId="0" applyFont="1" applyBorder="1" applyAlignment="1">
      <alignment horizontal="left" vertical="center" wrapText="1"/>
    </xf>
    <xf numFmtId="165" fontId="12" fillId="14" borderId="15" xfId="0" applyFont="1" applyFill="1" applyBorder="1" applyAlignment="1">
      <alignment horizontal="center" vertical="center"/>
    </xf>
    <xf numFmtId="0" fontId="35" fillId="16" borderId="0" xfId="0" applyNumberFormat="1" applyFont="1" applyFill="1" applyAlignment="1">
      <alignment horizontal="center" vertical="center"/>
    </xf>
    <xf numFmtId="165" fontId="35" fillId="16" borderId="0" xfId="0" applyFont="1" applyFill="1" applyAlignment="1">
      <alignment horizontal="center" vertical="center"/>
    </xf>
    <xf numFmtId="165" fontId="35" fillId="16" borderId="4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0" fillId="0" borderId="0" xfId="0" applyAlignment="1">
      <alignment horizontal="left" vertical="center"/>
    </xf>
    <xf numFmtId="0" fontId="0" fillId="0" borderId="45" xfId="0" applyNumberFormat="1" applyBorder="1" applyAlignment="1">
      <alignment horizontal="center" vertical="center"/>
    </xf>
    <xf numFmtId="165" fontId="0" fillId="0" borderId="46" xfId="0" applyBorder="1">
      <alignment vertical="center"/>
    </xf>
    <xf numFmtId="0" fontId="0" fillId="0" borderId="32" xfId="0" applyNumberFormat="1" applyBorder="1" applyAlignment="1">
      <alignment horizontal="center" vertical="center"/>
    </xf>
    <xf numFmtId="0" fontId="28" fillId="0" borderId="0" xfId="0" applyNumberFormat="1" applyFont="1" applyAlignment="1">
      <alignment horizontal="center" vertical="center"/>
    </xf>
    <xf numFmtId="165" fontId="37" fillId="0" borderId="0" xfId="0" applyFont="1">
      <alignment vertical="center"/>
    </xf>
    <xf numFmtId="0" fontId="39" fillId="0" borderId="0" xfId="5" applyFont="1"/>
    <xf numFmtId="49" fontId="5" fillId="0" borderId="0" xfId="0" applyNumberFormat="1" applyFont="1">
      <alignment vertical="center"/>
    </xf>
    <xf numFmtId="168" fontId="5" fillId="0" borderId="30" xfId="0" applyNumberFormat="1" applyFont="1" applyBorder="1">
      <alignment vertical="center"/>
    </xf>
    <xf numFmtId="168" fontId="6" fillId="0" borderId="30" xfId="0" applyNumberFormat="1" applyFont="1" applyBorder="1" applyAlignment="1">
      <alignment horizontal="right" vertical="center"/>
    </xf>
    <xf numFmtId="168" fontId="5" fillId="0" borderId="30" xfId="0" applyNumberFormat="1" applyFont="1" applyBorder="1" applyAlignment="1">
      <alignment horizontal="right" vertical="center"/>
    </xf>
    <xf numFmtId="168" fontId="11" fillId="0" borderId="30" xfId="1" applyNumberFormat="1" applyFont="1" applyFill="1" applyBorder="1" applyAlignment="1">
      <alignment horizontal="right"/>
    </xf>
    <xf numFmtId="168" fontId="11" fillId="0" borderId="30" xfId="2" applyNumberFormat="1" applyFont="1" applyBorder="1" applyAlignment="1">
      <alignment horizontal="right"/>
    </xf>
    <xf numFmtId="168" fontId="6" fillId="0" borderId="30" xfId="2" applyNumberFormat="1" applyFont="1" applyBorder="1" applyAlignment="1">
      <alignment horizontal="right"/>
    </xf>
    <xf numFmtId="168" fontId="6" fillId="0" borderId="30" xfId="1" applyNumberFormat="1" applyFont="1" applyFill="1" applyBorder="1" applyAlignment="1">
      <alignment horizontal="center"/>
    </xf>
    <xf numFmtId="168" fontId="6" fillId="0" borderId="30" xfId="1" applyNumberFormat="1" applyFont="1" applyFill="1" applyBorder="1" applyAlignment="1">
      <alignment horizontal="right"/>
    </xf>
    <xf numFmtId="38" fontId="6" fillId="0" borderId="30" xfId="0" applyNumberFormat="1" applyFont="1" applyBorder="1">
      <alignment vertical="center"/>
    </xf>
    <xf numFmtId="38" fontId="6" fillId="0" borderId="30" xfId="1" applyNumberFormat="1" applyFont="1" applyFill="1" applyBorder="1" applyAlignment="1"/>
    <xf numFmtId="38" fontId="6" fillId="0" borderId="30" xfId="2" applyNumberFormat="1" applyFont="1" applyBorder="1"/>
    <xf numFmtId="38" fontId="11" fillId="0" borderId="30" xfId="2" applyNumberFormat="1" applyFont="1" applyBorder="1"/>
    <xf numFmtId="38" fontId="11" fillId="0" borderId="30" xfId="1" applyNumberFormat="1" applyFont="1" applyFill="1" applyBorder="1" applyAlignment="1"/>
    <xf numFmtId="165" fontId="43" fillId="0" borderId="9" xfId="0" applyFont="1" applyBorder="1" applyAlignment="1">
      <alignment horizontal="center" vertical="center" wrapText="1"/>
    </xf>
    <xf numFmtId="165" fontId="1" fillId="0" borderId="41" xfId="0" applyFont="1" applyBorder="1">
      <alignment vertical="center"/>
    </xf>
    <xf numFmtId="165" fontId="1" fillId="0" borderId="45" xfId="0" applyFont="1" applyBorder="1">
      <alignment vertical="center"/>
    </xf>
    <xf numFmtId="165" fontId="1" fillId="0" borderId="47" xfId="0" applyFont="1" applyBorder="1">
      <alignment vertical="center"/>
    </xf>
    <xf numFmtId="165" fontId="1" fillId="0" borderId="41" xfId="0" applyFont="1" applyBorder="1" applyAlignment="1">
      <alignment vertical="center" wrapText="1"/>
    </xf>
    <xf numFmtId="165" fontId="1" fillId="0" borderId="32" xfId="0" applyFont="1" applyBorder="1">
      <alignment vertical="center"/>
    </xf>
    <xf numFmtId="165" fontId="1" fillId="0" borderId="0" xfId="0" applyFont="1" applyAlignment="1">
      <alignment horizontal="left" vertical="center" indent="4"/>
    </xf>
    <xf numFmtId="8" fontId="21" fillId="17" borderId="42" xfId="0" applyNumberFormat="1" applyFont="1" applyFill="1" applyBorder="1" applyAlignment="1">
      <alignment horizontal="center" vertical="center" wrapText="1"/>
    </xf>
    <xf numFmtId="8" fontId="6" fillId="12" borderId="30" xfId="0" applyNumberFormat="1" applyFont="1" applyFill="1" applyBorder="1" applyAlignment="1">
      <alignment horizontal="center" vertical="center"/>
    </xf>
    <xf numFmtId="165" fontId="5" fillId="12" borderId="30" xfId="0" applyFont="1" applyFill="1" applyBorder="1">
      <alignment vertical="center"/>
    </xf>
    <xf numFmtId="8" fontId="6" fillId="12" borderId="30" xfId="0" applyNumberFormat="1" applyFont="1" applyFill="1" applyBorder="1">
      <alignment vertical="center"/>
    </xf>
    <xf numFmtId="8" fontId="5" fillId="12" borderId="30" xfId="0" applyNumberFormat="1" applyFont="1" applyFill="1" applyBorder="1" applyAlignment="1">
      <alignment horizontal="center" vertical="center"/>
    </xf>
    <xf numFmtId="165" fontId="5" fillId="12" borderId="30" xfId="0" applyFont="1" applyFill="1" applyBorder="1" applyAlignment="1">
      <alignment horizontal="center" vertical="center"/>
    </xf>
    <xf numFmtId="8" fontId="5" fillId="12" borderId="30" xfId="0" applyNumberFormat="1" applyFont="1" applyFill="1" applyBorder="1">
      <alignment vertical="center"/>
    </xf>
    <xf numFmtId="8" fontId="6" fillId="12" borderId="30" xfId="0" applyNumberFormat="1" applyFont="1" applyFill="1" applyBorder="1" applyAlignment="1">
      <alignment horizontal="right" vertical="center"/>
    </xf>
    <xf numFmtId="8" fontId="5" fillId="12" borderId="30" xfId="0" applyNumberFormat="1" applyFont="1" applyFill="1" applyBorder="1" applyAlignment="1">
      <alignment horizontal="right" vertical="center"/>
    </xf>
    <xf numFmtId="8" fontId="22" fillId="0" borderId="30" xfId="0" applyNumberFormat="1" applyFont="1" applyBorder="1" applyAlignment="1">
      <alignment horizontal="center" vertical="center"/>
    </xf>
    <xf numFmtId="168" fontId="6" fillId="0" borderId="30" xfId="1" applyNumberFormat="1" applyFont="1" applyFill="1" applyBorder="1" applyAlignment="1">
      <alignment vertical="center"/>
    </xf>
    <xf numFmtId="165" fontId="17" fillId="10" borderId="21" xfId="0" applyFont="1" applyFill="1" applyBorder="1" applyAlignment="1">
      <alignment horizontal="center" vertical="center"/>
    </xf>
    <xf numFmtId="165" fontId="17" fillId="10" borderId="22" xfId="0" applyFont="1" applyFill="1" applyBorder="1" applyAlignment="1">
      <alignment horizontal="center" vertical="center"/>
    </xf>
    <xf numFmtId="165" fontId="17" fillId="10" borderId="23" xfId="0" applyFont="1" applyFill="1" applyBorder="1" applyAlignment="1">
      <alignment horizontal="center" vertical="center"/>
    </xf>
    <xf numFmtId="165" fontId="17" fillId="10" borderId="6" xfId="0" applyFont="1" applyFill="1" applyBorder="1" applyAlignment="1">
      <alignment horizontal="center" vertical="center"/>
    </xf>
    <xf numFmtId="165" fontId="17" fillId="10" borderId="41" xfId="0" applyFont="1" applyFill="1" applyBorder="1" applyAlignment="1">
      <alignment horizontal="center" vertical="center"/>
    </xf>
    <xf numFmtId="165" fontId="17" fillId="10" borderId="43" xfId="0" applyFont="1" applyFill="1" applyBorder="1" applyAlignment="1">
      <alignment horizontal="center" vertical="center"/>
    </xf>
    <xf numFmtId="165" fontId="17" fillId="0" borderId="30" xfId="0" applyFont="1" applyBorder="1" applyAlignment="1">
      <alignment horizontal="center" vertical="center"/>
    </xf>
    <xf numFmtId="165" fontId="12" fillId="15" borderId="22" xfId="0" applyFont="1" applyFill="1" applyBorder="1" applyAlignment="1">
      <alignment horizontal="center" vertical="center"/>
    </xf>
    <xf numFmtId="165" fontId="0" fillId="0" borderId="22" xfId="0" applyBorder="1" applyAlignment="1">
      <alignment horizontal="center" vertical="center"/>
    </xf>
    <xf numFmtId="165" fontId="0" fillId="0" borderId="23" xfId="0" applyBorder="1" applyAlignment="1">
      <alignment horizontal="center" vertical="center"/>
    </xf>
    <xf numFmtId="165" fontId="12" fillId="0" borderId="30" xfId="0" applyFont="1" applyBorder="1" applyAlignment="1">
      <alignment horizontal="center" vertical="center"/>
    </xf>
    <xf numFmtId="165" fontId="34" fillId="0" borderId="30" xfId="0" applyFont="1" applyBorder="1" applyAlignment="1">
      <alignment horizontal="center" vertical="center"/>
    </xf>
    <xf numFmtId="165" fontId="12" fillId="5" borderId="21" xfId="0" applyFont="1" applyFill="1" applyBorder="1" applyAlignment="1">
      <alignment horizontal="center" vertical="center"/>
    </xf>
    <xf numFmtId="165" fontId="12" fillId="5" borderId="22" xfId="0" applyFont="1" applyFill="1" applyBorder="1" applyAlignment="1">
      <alignment horizontal="center" vertical="center"/>
    </xf>
    <xf numFmtId="165" fontId="12" fillId="5" borderId="23" xfId="0" applyFont="1" applyFill="1" applyBorder="1" applyAlignment="1">
      <alignment horizontal="center" vertical="center"/>
    </xf>
    <xf numFmtId="168" fontId="12" fillId="0" borderId="30" xfId="0" applyNumberFormat="1" applyFont="1" applyBorder="1" applyAlignment="1">
      <alignment horizontal="center" vertical="center"/>
    </xf>
    <xf numFmtId="168" fontId="17" fillId="0" borderId="30" xfId="0" applyNumberFormat="1" applyFont="1" applyBorder="1" applyAlignment="1">
      <alignment horizontal="center" vertical="center"/>
    </xf>
    <xf numFmtId="168" fontId="12" fillId="0" borderId="30" xfId="0" quotePrefix="1" applyNumberFormat="1" applyFont="1" applyBorder="1" applyAlignment="1">
      <alignment horizontal="center" vertical="center"/>
    </xf>
    <xf numFmtId="165" fontId="17" fillId="0" borderId="30" xfId="0" applyFont="1" applyBorder="1" applyAlignment="1">
      <alignment horizontal="center" vertical="center" wrapText="1"/>
    </xf>
    <xf numFmtId="0" fontId="0" fillId="0" borderId="3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0" fillId="0" borderId="31" xfId="0" applyBorder="1" applyAlignment="1">
      <alignment horizontal="left" vertical="center" wrapText="1"/>
    </xf>
    <xf numFmtId="165" fontId="0" fillId="0" borderId="0" xfId="0" applyAlignment="1">
      <alignment horizontal="left" vertical="center" wrapText="1"/>
    </xf>
    <xf numFmtId="165" fontId="1" fillId="0" borderId="45" xfId="0" applyFont="1" applyBorder="1" applyAlignment="1">
      <alignment horizontal="left" vertical="center" wrapText="1"/>
    </xf>
    <xf numFmtId="165" fontId="1" fillId="0" borderId="46" xfId="0" applyFont="1" applyBorder="1" applyAlignment="1">
      <alignment horizontal="left" vertical="center" wrapText="1"/>
    </xf>
    <xf numFmtId="165" fontId="26" fillId="0" borderId="30" xfId="0" applyFont="1" applyBorder="1" applyAlignment="1">
      <alignment horizontal="center" vertical="center"/>
    </xf>
    <xf numFmtId="165" fontId="26" fillId="0" borderId="21" xfId="0" applyFont="1" applyBorder="1" applyAlignment="1">
      <alignment horizontal="center" vertical="center"/>
    </xf>
    <xf numFmtId="165" fontId="26" fillId="0" borderId="22" xfId="0" applyFont="1" applyBorder="1" applyAlignment="1">
      <alignment horizontal="center" vertical="center"/>
    </xf>
    <xf numFmtId="165" fontId="26" fillId="0" borderId="28" xfId="0" applyFont="1" applyBorder="1" applyAlignment="1">
      <alignment horizontal="center" vertical="center"/>
    </xf>
    <xf numFmtId="165" fontId="26" fillId="0" borderId="29" xfId="0" applyFont="1" applyBorder="1" applyAlignment="1">
      <alignment horizontal="center" vertical="center" wrapText="1"/>
    </xf>
    <xf numFmtId="165" fontId="26" fillId="0" borderId="22" xfId="0" applyFont="1" applyBorder="1" applyAlignment="1">
      <alignment horizontal="center" vertical="center" wrapText="1"/>
    </xf>
    <xf numFmtId="165" fontId="26" fillId="0" borderId="23" xfId="0" applyFont="1" applyBorder="1" applyAlignment="1">
      <alignment horizontal="center" vertical="center" wrapText="1"/>
    </xf>
    <xf numFmtId="165" fontId="12" fillId="0" borderId="10" xfId="0" applyFont="1" applyBorder="1" applyAlignment="1">
      <alignment horizontal="center" vertical="center"/>
    </xf>
    <xf numFmtId="165" fontId="12" fillId="0" borderId="2" xfId="0" applyFont="1" applyBorder="1" applyAlignment="1">
      <alignment horizontal="center" vertical="center"/>
    </xf>
    <xf numFmtId="165" fontId="12" fillId="0" borderId="11" xfId="0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168" fontId="17" fillId="0" borderId="24" xfId="0" applyNumberFormat="1" applyFont="1" applyBorder="1" applyAlignment="1">
      <alignment horizontal="center" vertical="center"/>
    </xf>
    <xf numFmtId="168" fontId="17" fillId="0" borderId="26" xfId="0" applyNumberFormat="1" applyFont="1" applyBorder="1" applyAlignment="1">
      <alignment horizontal="center" vertical="center"/>
    </xf>
    <xf numFmtId="165" fontId="12" fillId="0" borderId="25" xfId="0" applyFont="1" applyBorder="1" applyAlignment="1">
      <alignment horizontal="center" vertical="center"/>
    </xf>
    <xf numFmtId="165" fontId="12" fillId="0" borderId="27" xfId="0" applyFont="1" applyBorder="1" applyAlignment="1">
      <alignment horizontal="center" vertical="center"/>
    </xf>
    <xf numFmtId="165" fontId="12" fillId="0" borderId="24" xfId="0" applyFont="1" applyBorder="1" applyAlignment="1">
      <alignment horizontal="center" vertical="center"/>
    </xf>
    <xf numFmtId="165" fontId="17" fillId="0" borderId="26" xfId="0" applyFont="1" applyBorder="1" applyAlignment="1">
      <alignment horizontal="center" vertical="center"/>
    </xf>
    <xf numFmtId="165" fontId="17" fillId="0" borderId="21" xfId="0" applyFont="1" applyBorder="1" applyAlignment="1">
      <alignment horizontal="center" vertical="center"/>
    </xf>
    <xf numFmtId="165" fontId="17" fillId="0" borderId="22" xfId="0" applyFont="1" applyBorder="1" applyAlignment="1">
      <alignment horizontal="center" vertical="center"/>
    </xf>
    <xf numFmtId="165" fontId="17" fillId="0" borderId="23" xfId="0" applyFont="1" applyBorder="1" applyAlignment="1">
      <alignment horizontal="center" vertical="center"/>
    </xf>
    <xf numFmtId="165" fontId="12" fillId="5" borderId="8" xfId="0" applyFont="1" applyFill="1" applyBorder="1" applyAlignment="1">
      <alignment horizontal="center" vertical="center"/>
    </xf>
    <xf numFmtId="165" fontId="12" fillId="5" borderId="3" xfId="0" applyFont="1" applyFill="1" applyBorder="1" applyAlignment="1">
      <alignment horizontal="center" vertical="center"/>
    </xf>
    <xf numFmtId="165" fontId="12" fillId="5" borderId="4" xfId="0" applyFont="1" applyFill="1" applyBorder="1" applyAlignment="1">
      <alignment horizontal="center" vertical="center"/>
    </xf>
    <xf numFmtId="165" fontId="12" fillId="0" borderId="21" xfId="0" applyFont="1" applyBorder="1" applyAlignment="1">
      <alignment horizontal="center" vertical="center"/>
    </xf>
    <xf numFmtId="165" fontId="12" fillId="0" borderId="22" xfId="0" applyFont="1" applyBorder="1" applyAlignment="1">
      <alignment horizontal="center" vertical="center"/>
    </xf>
    <xf numFmtId="165" fontId="12" fillId="0" borderId="23" xfId="0" applyFont="1" applyBorder="1" applyAlignment="1">
      <alignment horizontal="center" vertical="center"/>
    </xf>
    <xf numFmtId="168" fontId="17" fillId="0" borderId="10" xfId="0" applyNumberFormat="1" applyFont="1" applyBorder="1" applyAlignment="1">
      <alignment horizontal="center" vertical="center"/>
    </xf>
    <xf numFmtId="168" fontId="17" fillId="0" borderId="2" xfId="0" applyNumberFormat="1" applyFont="1" applyBorder="1" applyAlignment="1">
      <alignment horizontal="center" vertical="center"/>
    </xf>
    <xf numFmtId="168" fontId="17" fillId="0" borderId="11" xfId="0" applyNumberFormat="1" applyFont="1" applyBorder="1" applyAlignment="1">
      <alignment horizontal="center" vertical="center"/>
    </xf>
    <xf numFmtId="165" fontId="12" fillId="0" borderId="18" xfId="0" applyFont="1" applyBorder="1" applyAlignment="1">
      <alignment horizontal="center" vertical="center"/>
    </xf>
    <xf numFmtId="165" fontId="12" fillId="0" borderId="19" xfId="0" applyFont="1" applyBorder="1" applyAlignment="1">
      <alignment horizontal="center" vertical="center"/>
    </xf>
    <xf numFmtId="165" fontId="12" fillId="0" borderId="20" xfId="0" applyFont="1" applyBorder="1" applyAlignment="1">
      <alignment horizontal="center" vertical="center"/>
    </xf>
    <xf numFmtId="165" fontId="17" fillId="0" borderId="21" xfId="0" applyFont="1" applyBorder="1" applyAlignment="1">
      <alignment horizontal="center" vertical="center" wrapText="1"/>
    </xf>
    <xf numFmtId="165" fontId="17" fillId="0" borderId="23" xfId="0" applyFont="1" applyBorder="1" applyAlignment="1">
      <alignment horizontal="center" vertical="center" wrapText="1"/>
    </xf>
    <xf numFmtId="168" fontId="17" fillId="0" borderId="25" xfId="0" applyNumberFormat="1" applyFont="1" applyBorder="1" applyAlignment="1">
      <alignment horizontal="center" vertical="center"/>
    </xf>
    <xf numFmtId="168" fontId="17" fillId="0" borderId="27" xfId="0" applyNumberFormat="1" applyFont="1" applyBorder="1" applyAlignment="1">
      <alignment horizontal="center" vertical="center"/>
    </xf>
    <xf numFmtId="165" fontId="12" fillId="4" borderId="36" xfId="0" applyFont="1" applyFill="1" applyBorder="1" applyAlignment="1">
      <alignment vertical="center"/>
    </xf>
    <xf numFmtId="165" fontId="0" fillId="0" borderId="35" xfId="0" applyBorder="1" applyAlignment="1">
      <alignment vertical="center"/>
    </xf>
    <xf numFmtId="165" fontId="0" fillId="0" borderId="34" xfId="0" applyBorder="1" applyAlignment="1">
      <alignment vertical="center"/>
    </xf>
    <xf numFmtId="165" fontId="12" fillId="4" borderId="21" xfId="0" applyFont="1" applyFill="1" applyBorder="1" applyAlignment="1">
      <alignment vertical="center"/>
    </xf>
    <xf numFmtId="165" fontId="0" fillId="0" borderId="22" xfId="0" applyBorder="1" applyAlignment="1">
      <alignment vertical="center"/>
    </xf>
    <xf numFmtId="165" fontId="0" fillId="0" borderId="23" xfId="0" applyBorder="1" applyAlignment="1">
      <alignment vertical="center"/>
    </xf>
  </cellXfs>
  <cellStyles count="6">
    <cellStyle name="Normal 2 3 2" xfId="5" xr:uid="{00000000-0005-0000-0000-000000000000}"/>
    <cellStyle name="一般" xfId="0" builtinId="0"/>
    <cellStyle name="一般_Rebate summary - 20150318 工作檔" xfId="2" xr:uid="{00000000-0005-0000-0000-000002000000}"/>
    <cellStyle name="千分位" xfId="1" builtinId="3"/>
    <cellStyle name="千分位 2" xfId="3" xr:uid="{00000000-0005-0000-0000-000004000000}"/>
    <cellStyle name="常规 2_(20120720)DV 系列 Breakdown" xfId="4" xr:uid="{00000000-0005-0000-0000-000005000000}"/>
  </cellStyles>
  <dxfs count="2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66FF"/>
      <color rgb="FF3333FF"/>
      <color rgb="FFCCFFFF"/>
      <color rgb="FFCCFFCC"/>
      <color rgb="FF00CC00"/>
      <color rgb="FFFFFF99"/>
      <color rgb="FF92D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7036220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61ACC-4FA7-4DB6-AE0E-6A94FFFB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5153025"/>
          <a:ext cx="2064804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2729920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DD7A0-B603-4231-8EB1-5DF3AF73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2250" y="5529574"/>
          <a:ext cx="3137152" cy="69030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463550</xdr:colOff>
          <xdr:row>11</xdr:row>
          <xdr:rowOff>647700</xdr:rowOff>
        </xdr:from>
        <xdr:to>
          <xdr:col>1</xdr:col>
          <xdr:colOff>1384300</xdr:colOff>
          <xdr:row>14</xdr:row>
          <xdr:rowOff>12700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1866900</xdr:colOff>
          <xdr:row>11</xdr:row>
          <xdr:rowOff>641350</xdr:rowOff>
        </xdr:from>
        <xdr:to>
          <xdr:col>1</xdr:col>
          <xdr:colOff>2781300</xdr:colOff>
          <xdr:row>14</xdr:row>
          <xdr:rowOff>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10</xdr:row>
          <xdr:rowOff>82550</xdr:rowOff>
        </xdr:from>
        <xdr:to>
          <xdr:col>1</xdr:col>
          <xdr:colOff>3384550</xdr:colOff>
          <xdr:row>11</xdr:row>
          <xdr:rowOff>381000</xdr:rowOff>
        </xdr:to>
        <xdr:sp macro="" textlink="">
          <xdr:nvSpPr>
            <xdr:cNvPr id="11268" name="Object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4972051</xdr:colOff>
      <xdr:row>14</xdr:row>
      <xdr:rowOff>1673225</xdr:rowOff>
    </xdr:from>
    <xdr:to>
      <xdr:col>2</xdr:col>
      <xdr:colOff>7032410</xdr:colOff>
      <xdr:row>14</xdr:row>
      <xdr:rowOff>2057428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00A26AC-1E5A-49B8-8BCD-014D565A6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797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3</xdr:col>
      <xdr:colOff>2792</xdr:colOff>
      <xdr:row>14</xdr:row>
      <xdr:rowOff>2726110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ACD082B-64A5-4120-9EC2-42E1A23C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82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___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.xls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opLeftCell="A12" zoomScale="73" workbookViewId="0">
      <selection activeCell="C22" sqref="C22"/>
    </sheetView>
  </sheetViews>
  <sheetFormatPr defaultRowHeight="17.100000000000001"/>
  <cols>
    <col min="1" max="1" width="8.625" style="371"/>
    <col min="2" max="2" width="46.375" customWidth="1"/>
    <col min="3" max="3" width="114.375" customWidth="1"/>
    <col min="4" max="4" width="5.125" customWidth="1"/>
    <col min="6" max="6" width="22.375" bestFit="1" customWidth="1"/>
  </cols>
  <sheetData>
    <row r="1" spans="1:3">
      <c r="A1" s="368" t="s">
        <v>0</v>
      </c>
      <c r="B1" s="369" t="s">
        <v>1</v>
      </c>
      <c r="C1" s="370" t="s">
        <v>2</v>
      </c>
    </row>
    <row r="2" spans="1:3">
      <c r="A2" s="371">
        <v>1</v>
      </c>
      <c r="B2" s="372" t="s">
        <v>3</v>
      </c>
      <c r="C2" s="394"/>
    </row>
    <row r="3" spans="1:3">
      <c r="A3" s="371">
        <v>2</v>
      </c>
      <c r="B3" s="372" t="s">
        <v>4</v>
      </c>
      <c r="C3" s="394"/>
    </row>
    <row r="4" spans="1:3">
      <c r="A4" s="373">
        <v>3</v>
      </c>
      <c r="B4" s="395" t="s">
        <v>5</v>
      </c>
      <c r="C4" s="374"/>
    </row>
    <row r="5" spans="1:3">
      <c r="A5" s="430">
        <v>4</v>
      </c>
      <c r="B5" s="432" t="s">
        <v>6</v>
      </c>
      <c r="C5" s="396" t="s">
        <v>7</v>
      </c>
    </row>
    <row r="6" spans="1:3">
      <c r="A6" s="431"/>
      <c r="B6" s="433"/>
      <c r="C6" s="394" t="s">
        <v>8</v>
      </c>
    </row>
    <row r="7" spans="1:3">
      <c r="A7" s="431"/>
      <c r="B7" s="433"/>
      <c r="C7" s="394" t="s">
        <v>9</v>
      </c>
    </row>
    <row r="8" spans="1:3">
      <c r="A8" s="431"/>
      <c r="B8" s="433"/>
      <c r="C8" s="394" t="s">
        <v>10</v>
      </c>
    </row>
    <row r="9" spans="1:3">
      <c r="A9" s="431"/>
      <c r="B9" s="433"/>
      <c r="C9" s="394" t="s">
        <v>11</v>
      </c>
    </row>
    <row r="10" spans="1:3">
      <c r="A10" s="431"/>
      <c r="B10" s="433"/>
      <c r="C10" s="394" t="s">
        <v>12</v>
      </c>
    </row>
    <row r="11" spans="1:3">
      <c r="A11" s="431"/>
      <c r="B11" s="433"/>
      <c r="C11" s="394" t="s">
        <v>13</v>
      </c>
    </row>
    <row r="12" spans="1:3" ht="87">
      <c r="A12" s="431"/>
      <c r="B12" s="433"/>
      <c r="C12" s="397" t="s">
        <v>14</v>
      </c>
    </row>
    <row r="13" spans="1:3">
      <c r="A13" s="431"/>
      <c r="B13" s="433"/>
      <c r="C13" s="394" t="s">
        <v>15</v>
      </c>
    </row>
    <row r="14" spans="1:3">
      <c r="A14" s="431"/>
      <c r="B14" s="433"/>
      <c r="C14" s="394" t="s">
        <v>16</v>
      </c>
    </row>
    <row r="15" spans="1:3" ht="231.95">
      <c r="A15" s="431"/>
      <c r="B15" s="433"/>
      <c r="C15" s="397" t="s">
        <v>17</v>
      </c>
    </row>
    <row r="16" spans="1:3">
      <c r="A16" s="431"/>
      <c r="B16" s="433"/>
      <c r="C16" s="394" t="s">
        <v>18</v>
      </c>
    </row>
    <row r="17" spans="1:3" ht="29.1">
      <c r="A17" s="431"/>
      <c r="B17" s="433"/>
      <c r="C17" s="397" t="s">
        <v>19</v>
      </c>
    </row>
    <row r="18" spans="1:3">
      <c r="A18" s="431"/>
      <c r="B18" s="433"/>
      <c r="C18" s="394" t="s">
        <v>20</v>
      </c>
    </row>
    <row r="19" spans="1:3">
      <c r="A19" s="431"/>
      <c r="B19" s="433"/>
      <c r="C19" s="394" t="s">
        <v>21</v>
      </c>
    </row>
    <row r="20" spans="1:3">
      <c r="A20" s="431"/>
      <c r="B20" s="433"/>
      <c r="C20" s="394" t="s">
        <v>22</v>
      </c>
    </row>
    <row r="21" spans="1:3">
      <c r="A21" s="431"/>
      <c r="B21" s="433"/>
      <c r="C21" s="394" t="s">
        <v>23</v>
      </c>
    </row>
    <row r="22" spans="1:3" ht="29.1">
      <c r="A22" s="431"/>
      <c r="B22" s="433"/>
      <c r="C22" s="397" t="s">
        <v>24</v>
      </c>
    </row>
    <row r="23" spans="1:3">
      <c r="A23" s="373">
        <v>5</v>
      </c>
      <c r="B23" s="395" t="s">
        <v>25</v>
      </c>
      <c r="C23" s="374"/>
    </row>
    <row r="24" spans="1:3" ht="20.100000000000001" customHeight="1">
      <c r="A24" s="373">
        <v>6</v>
      </c>
      <c r="B24" s="434" t="s">
        <v>26</v>
      </c>
      <c r="C24" s="435"/>
    </row>
    <row r="25" spans="1:3">
      <c r="A25" s="373">
        <v>7</v>
      </c>
      <c r="B25" s="395" t="s">
        <v>27</v>
      </c>
      <c r="C25" s="374"/>
    </row>
    <row r="26" spans="1:3">
      <c r="A26" s="373">
        <v>8</v>
      </c>
      <c r="B26" s="395" t="s">
        <v>28</v>
      </c>
      <c r="C26" s="374"/>
    </row>
    <row r="27" spans="1:3">
      <c r="A27" s="375">
        <v>9</v>
      </c>
      <c r="B27" s="398" t="s">
        <v>29</v>
      </c>
      <c r="C27" s="374"/>
    </row>
    <row r="28" spans="1:3">
      <c r="B28" s="399"/>
    </row>
    <row r="29" spans="1:3">
      <c r="B29" s="399"/>
    </row>
    <row r="30" spans="1:3">
      <c r="B30" s="399"/>
    </row>
    <row r="31" spans="1:3">
      <c r="B31" s="399"/>
    </row>
    <row r="32" spans="1:3">
      <c r="B32" s="399"/>
    </row>
    <row r="33" spans="2:2">
      <c r="B33" s="399"/>
    </row>
    <row r="34" spans="2:2">
      <c r="B34" s="399"/>
    </row>
    <row r="35" spans="2:2">
      <c r="B35" s="399"/>
    </row>
    <row r="36" spans="2:2">
      <c r="B36" s="399"/>
    </row>
    <row r="37" spans="2:2">
      <c r="B37" s="399"/>
    </row>
    <row r="39" spans="2:2">
      <c r="B39" s="152"/>
    </row>
    <row r="40" spans="2:2">
      <c r="B40" s="152"/>
    </row>
    <row r="41" spans="2:2">
      <c r="B41" s="152"/>
    </row>
    <row r="42" spans="2:2">
      <c r="B42" s="399"/>
    </row>
    <row r="47" spans="2:2">
      <c r="B47" s="399"/>
    </row>
    <row r="48" spans="2:2">
      <c r="B48" s="399"/>
    </row>
    <row r="49" spans="1:4">
      <c r="B49" s="399"/>
    </row>
    <row r="50" spans="1:4">
      <c r="B50" s="117"/>
    </row>
    <row r="51" spans="1:4">
      <c r="B51" s="116"/>
    </row>
    <row r="52" spans="1:4">
      <c r="B52" s="116"/>
    </row>
    <row r="53" spans="1:4">
      <c r="A53" s="376"/>
      <c r="B53" s="116"/>
      <c r="C53" s="116"/>
      <c r="D53" s="116"/>
    </row>
  </sheetData>
  <mergeCells count="3">
    <mergeCell ref="A5:A22"/>
    <mergeCell ref="B5:B22"/>
    <mergeCell ref="B24:C24"/>
  </mergeCells>
  <phoneticPr fontId="3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1265" r:id="rId4">
          <objectPr defaultSize="0" r:id="rId5">
            <anchor moveWithCells="1">
              <from>
                <xdr:col>1</xdr:col>
                <xdr:colOff>463550</xdr:colOff>
                <xdr:row>11</xdr:row>
                <xdr:rowOff>647700</xdr:rowOff>
              </from>
              <to>
                <xdr:col>1</xdr:col>
                <xdr:colOff>1384300</xdr:colOff>
                <xdr:row>14</xdr:row>
                <xdr:rowOff>12700</xdr:rowOff>
              </to>
            </anchor>
          </objectPr>
        </oleObject>
      </mc:Choice>
      <mc:Fallback>
        <oleObject progId="Worksheet" dvAspect="DVASPECT_ICON" shapeId="11265" r:id="rId4"/>
      </mc:Fallback>
    </mc:AlternateContent>
    <mc:AlternateContent xmlns:mc="http://schemas.openxmlformats.org/markup-compatibility/2006">
      <mc:Choice Requires="x14">
        <oleObject progId="Worksheet" dvAspect="DVASPECT_ICON" shapeId="11266" r:id="rId6">
          <objectPr defaultSize="0" r:id="rId7">
            <anchor moveWithCells="1">
              <from>
                <xdr:col>1</xdr:col>
                <xdr:colOff>1866900</xdr:colOff>
                <xdr:row>11</xdr:row>
                <xdr:rowOff>641350</xdr:rowOff>
              </from>
              <to>
                <xdr:col>1</xdr:col>
                <xdr:colOff>2781300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126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1268" r:id="rId8">
          <objectPr defaultSize="0" autoPict="0" r:id="rId9">
            <anchor moveWithCells="1">
              <from>
                <xdr:col>1</xdr:col>
                <xdr:colOff>139700</xdr:colOff>
                <xdr:row>10</xdr:row>
                <xdr:rowOff>82550</xdr:rowOff>
              </from>
              <to>
                <xdr:col>1</xdr:col>
                <xdr:colOff>3384550</xdr:colOff>
                <xdr:row>11</xdr:row>
                <xdr:rowOff>381000</xdr:rowOff>
              </to>
            </anchor>
          </objectPr>
        </oleObject>
      </mc:Choice>
      <mc:Fallback>
        <oleObject progId="Packager Shell Object" dvAspect="DVASPECT_ICON" shapeId="11268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28"/>
  <sheetViews>
    <sheetView zoomScale="80" zoomScaleNormal="80" workbookViewId="0">
      <selection activeCell="C4" sqref="C4"/>
    </sheetView>
  </sheetViews>
  <sheetFormatPr defaultRowHeight="17.100000000000001"/>
  <cols>
    <col min="2" max="2" width="21.5" customWidth="1"/>
    <col min="3" max="3" width="17.125" customWidth="1"/>
    <col min="4" max="4" width="14.375" customWidth="1"/>
    <col min="5" max="5" width="12.375" customWidth="1"/>
    <col min="6" max="6" width="18.375" customWidth="1"/>
  </cols>
  <sheetData>
    <row r="2" spans="2:8" ht="17.45" thickBot="1"/>
    <row r="3" spans="2:8" ht="17.45" thickBot="1">
      <c r="B3" s="149" t="s">
        <v>30</v>
      </c>
      <c r="C3" s="144" t="s">
        <v>31</v>
      </c>
      <c r="D3" s="144" t="s">
        <v>32</v>
      </c>
      <c r="E3" s="145" t="s">
        <v>33</v>
      </c>
      <c r="F3" s="144" t="s">
        <v>34</v>
      </c>
      <c r="H3" s="150"/>
    </row>
    <row r="4" spans="2:8" ht="17.45" thickBot="1">
      <c r="B4" s="143" t="s">
        <v>35</v>
      </c>
      <c r="C4" s="144">
        <f>'FY23'!AO1</f>
        <v>571985.43000000005</v>
      </c>
      <c r="D4" s="144">
        <f>'FY23'!AQ1</f>
        <v>502301.86000000004</v>
      </c>
      <c r="E4" s="145">
        <f>'FY23'!AS1</f>
        <v>478294.01</v>
      </c>
      <c r="F4" s="144">
        <f>SUM(C4:E4)</f>
        <v>1552581.3</v>
      </c>
    </row>
    <row r="5" spans="2:8" ht="17.45" thickBot="1">
      <c r="B5" s="143" t="s">
        <v>36</v>
      </c>
      <c r="C5" s="144">
        <v>0</v>
      </c>
      <c r="D5" s="144">
        <v>0</v>
      </c>
      <c r="E5" s="145">
        <v>0</v>
      </c>
      <c r="F5" s="144">
        <f t="shared" ref="F5:F6" si="0">SUM(C5:E5)</f>
        <v>0</v>
      </c>
    </row>
    <row r="6" spans="2:8" ht="17.45" thickBot="1">
      <c r="B6" s="146" t="s">
        <v>37</v>
      </c>
      <c r="C6" s="147">
        <v>0</v>
      </c>
      <c r="D6" s="147">
        <v>0</v>
      </c>
      <c r="E6" s="148">
        <v>0</v>
      </c>
      <c r="F6" s="144">
        <f t="shared" si="0"/>
        <v>0</v>
      </c>
      <c r="H6" t="s">
        <v>38</v>
      </c>
    </row>
    <row r="7" spans="2:8" ht="17.45" thickBot="1">
      <c r="B7" s="143" t="s">
        <v>39</v>
      </c>
      <c r="C7" s="144">
        <f>SUM(C4:C6)</f>
        <v>571985.43000000005</v>
      </c>
      <c r="D7" s="144">
        <f t="shared" ref="D7:F7" si="1">SUM(D4:D6)</f>
        <v>502301.86000000004</v>
      </c>
      <c r="E7" s="144">
        <f t="shared" si="1"/>
        <v>478294.01</v>
      </c>
      <c r="F7" s="144">
        <f t="shared" si="1"/>
        <v>1552581.3</v>
      </c>
    </row>
    <row r="8" spans="2:8">
      <c r="H8" t="s">
        <v>40</v>
      </c>
    </row>
    <row r="9" spans="2:8" ht="17.45" thickBot="1"/>
    <row r="10" spans="2:8" ht="17.45" thickBot="1">
      <c r="B10" s="149" t="s">
        <v>30</v>
      </c>
      <c r="C10" s="144" t="s">
        <v>41</v>
      </c>
      <c r="D10" s="144" t="s">
        <v>42</v>
      </c>
      <c r="E10" s="145" t="s">
        <v>43</v>
      </c>
      <c r="F10" s="144" t="s">
        <v>44</v>
      </c>
      <c r="H10" t="s">
        <v>45</v>
      </c>
    </row>
    <row r="11" spans="2:8" ht="17.45" thickBot="1">
      <c r="B11" s="143" t="s">
        <v>35</v>
      </c>
      <c r="C11" s="144">
        <f>'FY23'!AU1</f>
        <v>527397.12000000011</v>
      </c>
      <c r="D11" s="144">
        <f>'FY23'!AW1</f>
        <v>775016.34000000008</v>
      </c>
      <c r="E11" s="145">
        <f>'FY23'!AY1</f>
        <v>683472.59</v>
      </c>
      <c r="F11" s="144">
        <f>SUM(C11:E11)</f>
        <v>1985886.0500000003</v>
      </c>
    </row>
    <row r="12" spans="2:8" ht="17.45" thickBot="1">
      <c r="B12" s="143" t="s">
        <v>36</v>
      </c>
      <c r="C12" s="144">
        <v>0</v>
      </c>
      <c r="D12" s="144">
        <v>0</v>
      </c>
      <c r="E12" s="145">
        <v>0</v>
      </c>
      <c r="F12" s="144">
        <f t="shared" ref="F12:F13" si="2">SUM(C12:E12)</f>
        <v>0</v>
      </c>
      <c r="H12" t="s">
        <v>46</v>
      </c>
    </row>
    <row r="13" spans="2:8" ht="17.45" thickBot="1">
      <c r="B13" s="146" t="s">
        <v>37</v>
      </c>
      <c r="C13" s="147">
        <v>0</v>
      </c>
      <c r="D13" s="147">
        <v>0</v>
      </c>
      <c r="E13" s="148">
        <v>0</v>
      </c>
      <c r="F13" s="144">
        <f t="shared" si="2"/>
        <v>0</v>
      </c>
    </row>
    <row r="14" spans="2:8" ht="17.45" thickBot="1">
      <c r="B14" s="143" t="s">
        <v>39</v>
      </c>
      <c r="C14" s="144">
        <f>SUM(C11:C13)</f>
        <v>527397.12000000011</v>
      </c>
      <c r="D14" s="144">
        <f t="shared" ref="D14:F14" si="3">SUM(D11:D13)</f>
        <v>775016.34000000008</v>
      </c>
      <c r="E14" s="144">
        <f t="shared" si="3"/>
        <v>683472.59</v>
      </c>
      <c r="F14" s="144">
        <f t="shared" si="3"/>
        <v>1985886.0500000003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149" t="s">
        <v>30</v>
      </c>
      <c r="C17" s="144" t="s">
        <v>49</v>
      </c>
      <c r="D17" s="144" t="s">
        <v>50</v>
      </c>
      <c r="E17" s="145" t="s">
        <v>51</v>
      </c>
      <c r="F17" s="144" t="s">
        <v>52</v>
      </c>
      <c r="H17" t="s">
        <v>53</v>
      </c>
    </row>
    <row r="18" spans="2:8" ht="17.45" thickBot="1">
      <c r="B18" s="143" t="s">
        <v>35</v>
      </c>
      <c r="C18" s="144">
        <f>'FY23'!BA1</f>
        <v>949563.1100000001</v>
      </c>
      <c r="D18" s="144">
        <f>'FY23'!BC1</f>
        <v>844037.71000000008</v>
      </c>
      <c r="E18" s="145">
        <f>'FY23'!BE1</f>
        <v>805668.24000000011</v>
      </c>
      <c r="F18" s="144">
        <f>SUM(C18:E18)</f>
        <v>2599269.0600000005</v>
      </c>
    </row>
    <row r="19" spans="2:8" ht="17.45" thickBot="1">
      <c r="B19" s="143" t="s">
        <v>36</v>
      </c>
      <c r="C19" s="144">
        <v>2052.5100000000002</v>
      </c>
      <c r="D19" s="144">
        <v>0</v>
      </c>
      <c r="E19" s="145">
        <v>0</v>
      </c>
      <c r="F19" s="144">
        <f t="shared" ref="F19:F20" si="4">SUM(C19:E19)</f>
        <v>2052.5100000000002</v>
      </c>
    </row>
    <row r="20" spans="2:8" ht="17.45" thickBot="1">
      <c r="B20" s="146" t="s">
        <v>37</v>
      </c>
      <c r="C20" s="147">
        <v>0</v>
      </c>
      <c r="D20" s="147">
        <v>0</v>
      </c>
      <c r="E20" s="148">
        <v>0</v>
      </c>
      <c r="F20" s="144">
        <f t="shared" si="4"/>
        <v>0</v>
      </c>
    </row>
    <row r="21" spans="2:8" ht="17.45" thickBot="1">
      <c r="B21" s="143" t="s">
        <v>39</v>
      </c>
      <c r="C21" s="144">
        <f>SUM(C18:C20)</f>
        <v>951615.62000000011</v>
      </c>
      <c r="D21" s="144">
        <f t="shared" ref="D21:F21" si="5">SUM(D18:D20)</f>
        <v>844037.71000000008</v>
      </c>
      <c r="E21" s="144">
        <f t="shared" si="5"/>
        <v>805668.24000000011</v>
      </c>
      <c r="F21" s="144">
        <f t="shared" si="5"/>
        <v>2601321.5700000003</v>
      </c>
    </row>
    <row r="23" spans="2:8" ht="17.45" thickBot="1"/>
    <row r="24" spans="2:8" ht="17.45" thickBot="1">
      <c r="B24" s="149" t="s">
        <v>30</v>
      </c>
      <c r="C24" s="144" t="s">
        <v>54</v>
      </c>
      <c r="D24" s="144" t="s">
        <v>55</v>
      </c>
      <c r="E24" s="145" t="s">
        <v>56</v>
      </c>
      <c r="F24" s="144" t="s">
        <v>57</v>
      </c>
    </row>
    <row r="25" spans="2:8" ht="17.45" thickBot="1">
      <c r="B25" s="143" t="s">
        <v>35</v>
      </c>
      <c r="C25" s="144">
        <f>'FY23'!BG1</f>
        <v>967501.49000000011</v>
      </c>
      <c r="D25" s="144">
        <f>'FY23'!BI1</f>
        <v>1083624.75</v>
      </c>
      <c r="E25" s="145">
        <f>'FY23'!BK1</f>
        <v>744433.43</v>
      </c>
      <c r="F25" s="144">
        <f>SUM(C25:E25)</f>
        <v>2795559.6700000004</v>
      </c>
    </row>
    <row r="26" spans="2:8" ht="17.45" thickBot="1">
      <c r="B26" s="143" t="s">
        <v>36</v>
      </c>
      <c r="C26" s="144">
        <v>0</v>
      </c>
      <c r="D26" s="144">
        <v>0</v>
      </c>
      <c r="E26" s="145">
        <v>0</v>
      </c>
      <c r="F26" s="144">
        <f t="shared" ref="F26:F27" si="6">SUM(C26:E26)</f>
        <v>0</v>
      </c>
    </row>
    <row r="27" spans="2:8" ht="17.45" thickBot="1">
      <c r="B27" s="146" t="s">
        <v>37</v>
      </c>
      <c r="C27" s="147">
        <v>0</v>
      </c>
      <c r="D27" s="147">
        <v>0</v>
      </c>
      <c r="E27" s="148">
        <v>0</v>
      </c>
      <c r="F27" s="144">
        <f t="shared" si="6"/>
        <v>0</v>
      </c>
    </row>
    <row r="28" spans="2:8" ht="17.45" thickBot="1">
      <c r="B28" s="143" t="s">
        <v>39</v>
      </c>
      <c r="C28" s="144">
        <f>SUM(C25:C27)</f>
        <v>967501.49000000011</v>
      </c>
      <c r="D28" s="144">
        <f t="shared" ref="D28:F28" si="7">SUM(D25:D27)</f>
        <v>1083624.75</v>
      </c>
      <c r="E28" s="144">
        <f t="shared" si="7"/>
        <v>744433.43</v>
      </c>
      <c r="F28" s="144">
        <f t="shared" si="7"/>
        <v>2795559.6700000004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143"/>
  <sheetViews>
    <sheetView topLeftCell="A115" zoomScale="70" zoomScaleNormal="70" workbookViewId="0">
      <selection activeCell="H108" sqref="H108"/>
    </sheetView>
  </sheetViews>
  <sheetFormatPr defaultRowHeight="17.100000000000001"/>
  <cols>
    <col min="1" max="1" width="2.375" customWidth="1"/>
    <col min="2" max="2" width="26.375" customWidth="1"/>
    <col min="3" max="3" width="22.375" customWidth="1"/>
    <col min="4" max="4" width="19.375" customWidth="1"/>
    <col min="5" max="5" width="17" customWidth="1"/>
    <col min="6" max="7" width="18.375" customWidth="1"/>
    <col min="8" max="8" width="53.125" customWidth="1"/>
  </cols>
  <sheetData>
    <row r="3" spans="2:7" ht="17.45" thickBot="1">
      <c r="B3" s="45" t="s">
        <v>58</v>
      </c>
      <c r="C3" s="46"/>
      <c r="D3" s="46"/>
      <c r="E3" s="46"/>
      <c r="F3" s="46"/>
      <c r="G3" s="46"/>
    </row>
    <row r="4" spans="2:7" ht="29.45" thickBot="1">
      <c r="B4" s="47"/>
      <c r="C4" s="48" t="s">
        <v>59</v>
      </c>
      <c r="D4" s="56">
        <v>44866</v>
      </c>
      <c r="E4" s="56">
        <v>44896</v>
      </c>
      <c r="F4" s="56">
        <v>44927</v>
      </c>
      <c r="G4" s="49" t="s">
        <v>60</v>
      </c>
    </row>
    <row r="5" spans="2:7" ht="17.45" thickBot="1">
      <c r="B5" s="437" t="s">
        <v>61</v>
      </c>
      <c r="C5" s="51" t="s">
        <v>62</v>
      </c>
      <c r="D5" s="51">
        <f>SUM('FY23'!AO$77:AO$116)*0.25</f>
        <v>62925.182499999995</v>
      </c>
      <c r="E5" s="51">
        <f>SUM('FY23'!AQ77:AQ116)*0.25</f>
        <v>59669.114999999998</v>
      </c>
      <c r="F5" s="51">
        <f>SUM('FY23'!AS77:AS116)*0.25</f>
        <v>50134.3825</v>
      </c>
      <c r="G5" s="51">
        <f>SUM(D5:F5)</f>
        <v>172728.68</v>
      </c>
    </row>
    <row r="6" spans="2:7" ht="17.45" thickBot="1">
      <c r="B6" s="438"/>
      <c r="C6" s="51" t="s">
        <v>63</v>
      </c>
      <c r="D6" s="51">
        <f>SUM('FY23'!AO$6:AO$13)</f>
        <v>0</v>
      </c>
      <c r="E6" s="51">
        <f>SUM('FY23'!AQ6:AQ13)</f>
        <v>0</v>
      </c>
      <c r="F6" s="51">
        <f>SUM('FY23'!AS6:AS13)</f>
        <v>0</v>
      </c>
      <c r="G6" s="51">
        <f t="shared" ref="G6:G25" si="0">SUM(D6:F6)</f>
        <v>0</v>
      </c>
    </row>
    <row r="7" spans="2:7" ht="17.45" thickBot="1">
      <c r="B7" s="438"/>
      <c r="C7" s="51" t="s">
        <v>64</v>
      </c>
      <c r="D7" s="51">
        <f>SUM('FY23'!AO$14:AO$19)</f>
        <v>0</v>
      </c>
      <c r="E7" s="51">
        <f>SUM('FY23'!AQ14:AQ19)</f>
        <v>0</v>
      </c>
      <c r="F7" s="51">
        <f>SUM('FY23'!AS14:AS19)</f>
        <v>0</v>
      </c>
      <c r="G7" s="51">
        <f t="shared" si="0"/>
        <v>0</v>
      </c>
    </row>
    <row r="8" spans="2:7" ht="17.45" thickBot="1">
      <c r="B8" s="438"/>
      <c r="C8" s="51" t="s">
        <v>65</v>
      </c>
      <c r="D8" s="51">
        <f>SUM('FY23'!AO$20:AO$30)</f>
        <v>0</v>
      </c>
      <c r="E8" s="51">
        <f>SUM('FY23'!AQ20:AQ30)</f>
        <v>0</v>
      </c>
      <c r="F8" s="51">
        <f>SUM('FY23'!AS20:AS30)</f>
        <v>0</v>
      </c>
      <c r="G8" s="51">
        <f t="shared" si="0"/>
        <v>0</v>
      </c>
    </row>
    <row r="9" spans="2:7" ht="17.45" thickBot="1">
      <c r="B9" s="438"/>
      <c r="C9" s="51" t="s">
        <v>66</v>
      </c>
      <c r="D9" s="51">
        <f>SUM('FY23'!AO$31:AO$34)</f>
        <v>0</v>
      </c>
      <c r="E9" s="51">
        <f>SUM('FY23'!AQ31:AQ34)</f>
        <v>0</v>
      </c>
      <c r="F9" s="51">
        <f>SUM('FY23'!AS31:AS34)</f>
        <v>0</v>
      </c>
      <c r="G9" s="51">
        <f t="shared" si="0"/>
        <v>0</v>
      </c>
    </row>
    <row r="10" spans="2:7" ht="17.45" thickBot="1">
      <c r="B10" s="438"/>
      <c r="C10" s="51" t="s">
        <v>67</v>
      </c>
      <c r="D10" s="51">
        <f>SUM('FY23'!AO$39:AO$40)</f>
        <v>81120</v>
      </c>
      <c r="E10" s="51">
        <f>SUM('FY23'!AQ39:AQ40)</f>
        <v>73696</v>
      </c>
      <c r="F10" s="51">
        <f>SUM('FY23'!AS39:AS40)</f>
        <v>96408</v>
      </c>
      <c r="G10" s="51">
        <f t="shared" si="0"/>
        <v>251224</v>
      </c>
    </row>
    <row r="11" spans="2:7" ht="17.45" thickBot="1">
      <c r="B11" s="438"/>
      <c r="C11" s="51" t="s">
        <v>68</v>
      </c>
      <c r="D11" s="51">
        <f>SUM('FY23'!AO$41:AO$44)</f>
        <v>0</v>
      </c>
      <c r="E11" s="51">
        <f>SUM('FY23'!AQ41:AQ44)</f>
        <v>0</v>
      </c>
      <c r="F11" s="51">
        <f>SUM('FY23'!AS41:AS44)</f>
        <v>0</v>
      </c>
      <c r="G11" s="51">
        <f t="shared" si="0"/>
        <v>0</v>
      </c>
    </row>
    <row r="12" spans="2:7" ht="17.45" thickBot="1">
      <c r="B12" s="438"/>
      <c r="C12" s="51" t="s">
        <v>69</v>
      </c>
      <c r="D12" s="51">
        <f>SUM('FY23'!AO$45:AO$64)*0.7</f>
        <v>38115</v>
      </c>
      <c r="E12" s="51">
        <f>SUM('FY23'!AQ45:AQ64)*0.7</f>
        <v>25414.41</v>
      </c>
      <c r="F12" s="51">
        <f>SUM('FY23'!AS45:AS64)*0.7</f>
        <v>10162.949999999999</v>
      </c>
      <c r="G12" s="51">
        <f t="shared" si="0"/>
        <v>73692.36</v>
      </c>
    </row>
    <row r="13" spans="2:7" ht="17.45" thickBot="1">
      <c r="B13" s="438"/>
      <c r="C13" s="51" t="s">
        <v>70</v>
      </c>
      <c r="D13" s="51">
        <f>SUM('FY23'!AO$35:AO$36)</f>
        <v>0</v>
      </c>
      <c r="E13" s="51">
        <f>SUM('FY23'!AQ35:AQ36)</f>
        <v>0</v>
      </c>
      <c r="F13" s="51">
        <f>SUM('FY23'!AS35:AS36)</f>
        <v>0</v>
      </c>
      <c r="G13" s="51">
        <f t="shared" si="0"/>
        <v>0</v>
      </c>
    </row>
    <row r="14" spans="2:7" ht="17.45" thickBot="1">
      <c r="B14" s="438"/>
      <c r="C14" s="51" t="s">
        <v>71</v>
      </c>
      <c r="D14" s="51">
        <f>SUM('FY23'!AO$37:AO$38)</f>
        <v>7372</v>
      </c>
      <c r="E14" s="51">
        <f>SUM('FY23'!AQ37:AQ38)</f>
        <v>3944</v>
      </c>
      <c r="F14" s="51">
        <f>SUM('FY23'!AS37:AS38)</f>
        <v>7364</v>
      </c>
      <c r="G14" s="51">
        <f t="shared" si="0"/>
        <v>18680</v>
      </c>
    </row>
    <row r="15" spans="2:7" ht="17.45" thickBot="1">
      <c r="B15" s="438"/>
      <c r="C15" s="50" t="s">
        <v>72</v>
      </c>
      <c r="D15" s="52"/>
      <c r="E15" s="52"/>
      <c r="F15" s="52"/>
      <c r="G15" s="51">
        <f t="shared" si="0"/>
        <v>0</v>
      </c>
    </row>
    <row r="16" spans="2:7" ht="17.45" thickBot="1">
      <c r="B16" s="439"/>
      <c r="C16" s="53" t="s">
        <v>73</v>
      </c>
      <c r="D16" s="51">
        <f>SUM('FY23'!AO$65:AO$76)</f>
        <v>36310.22</v>
      </c>
      <c r="E16" s="51">
        <f>SUM('FY23'!AQ65:AQ76)</f>
        <v>29354.7</v>
      </c>
      <c r="F16" s="51">
        <f>SUM('FY23'!AS65:AS76)</f>
        <v>28409.280000000002</v>
      </c>
      <c r="G16" s="51">
        <f t="shared" si="0"/>
        <v>94074.2</v>
      </c>
    </row>
    <row r="17" spans="2:7" ht="17.45" thickBot="1">
      <c r="B17" s="440" t="s">
        <v>74</v>
      </c>
      <c r="C17" s="51" t="s">
        <v>75</v>
      </c>
      <c r="D17" s="51">
        <f>SUM('FY23'!AO$77:AO$116)*0.75</f>
        <v>188775.54749999999</v>
      </c>
      <c r="E17" s="51">
        <f>SUM('FY23'!AQ77:AQ116)*0.75</f>
        <v>179007.345</v>
      </c>
      <c r="F17" s="51">
        <f>SUM('FY23'!AS77:AS116)*0.75</f>
        <v>150403.14749999999</v>
      </c>
      <c r="G17" s="51">
        <f t="shared" si="0"/>
        <v>518186.03999999992</v>
      </c>
    </row>
    <row r="18" spans="2:7" ht="17.45" thickBot="1">
      <c r="B18" s="441"/>
      <c r="C18" s="51" t="s">
        <v>69</v>
      </c>
      <c r="D18" s="51">
        <f>SUM('FY23'!AO$45:AO$64)*0.3</f>
        <v>16335</v>
      </c>
      <c r="E18" s="51">
        <f>SUM('FY23'!AQ45:AQ64)*0.3</f>
        <v>10891.890000000001</v>
      </c>
      <c r="F18" s="51">
        <f>SUM('FY23'!AS45:AS64)*0.3</f>
        <v>4355.55</v>
      </c>
      <c r="G18" s="51">
        <f t="shared" si="0"/>
        <v>31582.44</v>
      </c>
    </row>
    <row r="19" spans="2:7" ht="17.45" thickBot="1">
      <c r="B19" s="441"/>
      <c r="C19" s="51" t="s">
        <v>76</v>
      </c>
      <c r="D19" s="51">
        <f>SUM('FY23'!AO$126:AO$167)</f>
        <v>90287.579999999987</v>
      </c>
      <c r="E19" s="51">
        <f>SUM('FY23'!AQ126:AQ167)</f>
        <v>78366.400000000009</v>
      </c>
      <c r="F19" s="51">
        <f>SUM('FY23'!AS126:AS167)</f>
        <v>69603.3</v>
      </c>
      <c r="G19" s="51">
        <f t="shared" si="0"/>
        <v>238257.27999999997</v>
      </c>
    </row>
    <row r="20" spans="2:7" ht="17.45" thickBot="1">
      <c r="B20" s="441"/>
      <c r="C20" s="51" t="s">
        <v>77</v>
      </c>
      <c r="D20" s="51">
        <f>SUM('FY23'!AO$168:AO$170)</f>
        <v>0</v>
      </c>
      <c r="E20" s="51">
        <f>SUM('FY23'!AQ168:AQ170)</f>
        <v>0</v>
      </c>
      <c r="F20" s="51">
        <f>SUM('FY23'!AS168:AS170)</f>
        <v>0</v>
      </c>
      <c r="G20" s="51">
        <f t="shared" si="0"/>
        <v>0</v>
      </c>
    </row>
    <row r="21" spans="2:7" ht="17.45" thickBot="1">
      <c r="B21" s="441"/>
      <c r="C21" s="51" t="s">
        <v>78</v>
      </c>
      <c r="D21" s="51">
        <f>SUM('FY23'!AO$171:AO$182)</f>
        <v>33195.600000000006</v>
      </c>
      <c r="E21" s="51">
        <f>SUM('FY23'!AQ171:AQ182)</f>
        <v>16676</v>
      </c>
      <c r="F21" s="51">
        <f>SUM('FY23'!AS171:AS182)</f>
        <v>47115.5</v>
      </c>
      <c r="G21" s="51">
        <f t="shared" si="0"/>
        <v>96987.1</v>
      </c>
    </row>
    <row r="22" spans="2:7" ht="17.45" thickBot="1">
      <c r="B22" s="441"/>
      <c r="C22" s="51" t="s">
        <v>79</v>
      </c>
      <c r="D22" s="51">
        <f>SUM('FY23'!AO$183:AO$184)</f>
        <v>5459.2999999999993</v>
      </c>
      <c r="E22" s="51">
        <f>SUM('FY23'!AQ183:AQ184)</f>
        <v>5236</v>
      </c>
      <c r="F22" s="51">
        <f>SUM('FY23'!AS183:AS184)</f>
        <v>7279.9999999999991</v>
      </c>
      <c r="G22" s="51">
        <f t="shared" si="0"/>
        <v>17975.3</v>
      </c>
    </row>
    <row r="23" spans="2:7" ht="17.45" thickBot="1">
      <c r="B23" s="441"/>
      <c r="C23" s="51" t="s">
        <v>80</v>
      </c>
      <c r="D23" s="51">
        <f>SUM('FY23'!AO$185:AO$210)</f>
        <v>12090</v>
      </c>
      <c r="E23" s="51">
        <f>SUM('FY23'!AQ185:AQ210)</f>
        <v>20046</v>
      </c>
      <c r="F23" s="51">
        <f>SUM('FY23'!AS185:AS210)</f>
        <v>6940</v>
      </c>
      <c r="G23" s="51">
        <f t="shared" si="0"/>
        <v>39076</v>
      </c>
    </row>
    <row r="24" spans="2:7" ht="17.45" thickBot="1">
      <c r="B24" s="441"/>
      <c r="C24" s="51" t="s">
        <v>72</v>
      </c>
      <c r="D24" s="51"/>
      <c r="E24" s="51"/>
      <c r="F24" s="51"/>
      <c r="G24" s="51">
        <f t="shared" si="0"/>
        <v>0</v>
      </c>
    </row>
    <row r="25" spans="2:7" ht="17.45" thickBot="1">
      <c r="B25" s="442"/>
      <c r="C25" s="51" t="s">
        <v>73</v>
      </c>
      <c r="D25" s="51">
        <f>SUM('FY23'!AO$211:AO$227)</f>
        <v>0</v>
      </c>
      <c r="E25" s="51">
        <f>SUM('FY23'!AQ211:AQ227)</f>
        <v>0</v>
      </c>
      <c r="F25" s="51">
        <f>SUM('FY23'!AS211:AS227)</f>
        <v>117.9</v>
      </c>
      <c r="G25" s="51">
        <f t="shared" si="0"/>
        <v>117.9</v>
      </c>
    </row>
    <row r="26" spans="2:7" ht="17.45" thickBot="1">
      <c r="B26" s="46"/>
      <c r="C26" s="46"/>
      <c r="D26" s="46"/>
      <c r="E26" s="46"/>
      <c r="F26" s="46"/>
      <c r="G26" s="54">
        <f>SUM(G5:G25)</f>
        <v>1552581.2999999998</v>
      </c>
    </row>
    <row r="27" spans="2:7">
      <c r="B27" s="46"/>
      <c r="C27" s="46"/>
      <c r="D27" s="46"/>
      <c r="E27" s="46"/>
      <c r="F27" s="46"/>
      <c r="G27" s="46"/>
    </row>
    <row r="28" spans="2:7" ht="17.45" thickBot="1">
      <c r="B28" s="45" t="s">
        <v>58</v>
      </c>
      <c r="C28" s="46"/>
      <c r="D28" s="46"/>
      <c r="E28" s="46"/>
      <c r="F28" s="46"/>
      <c r="G28" s="46"/>
    </row>
    <row r="29" spans="2:7" ht="29.45" thickBot="1">
      <c r="B29" s="118"/>
      <c r="C29" s="48" t="s">
        <v>81</v>
      </c>
      <c r="D29" s="56">
        <v>44866</v>
      </c>
      <c r="E29" s="56">
        <v>44896</v>
      </c>
      <c r="F29" s="56">
        <v>44927</v>
      </c>
      <c r="G29" s="49" t="s">
        <v>60</v>
      </c>
    </row>
    <row r="30" spans="2:7" ht="17.45" thickBot="1">
      <c r="B30" s="436" t="s">
        <v>82</v>
      </c>
      <c r="C30" s="51" t="s">
        <v>83</v>
      </c>
      <c r="D30" s="51"/>
      <c r="E30" s="51"/>
      <c r="F30" s="51"/>
      <c r="G30" s="51"/>
    </row>
    <row r="31" spans="2:7" ht="17.45" thickBot="1">
      <c r="B31" s="436"/>
      <c r="C31" s="51" t="s">
        <v>84</v>
      </c>
      <c r="D31" s="51"/>
      <c r="E31" s="51"/>
      <c r="F31" s="51"/>
      <c r="G31" s="51"/>
    </row>
    <row r="32" spans="2:7" ht="17.45" thickBot="1">
      <c r="B32" s="436"/>
      <c r="C32" s="51" t="s">
        <v>85</v>
      </c>
      <c r="D32" s="51">
        <f>SUM(D5:D25)</f>
        <v>571985.42999999993</v>
      </c>
      <c r="E32" s="51">
        <f t="shared" ref="E32:F32" si="1">SUM(E5:E25)</f>
        <v>502301.86000000004</v>
      </c>
      <c r="F32" s="51">
        <f t="shared" si="1"/>
        <v>478294.01</v>
      </c>
      <c r="G32" s="51">
        <f>SUM(D32:F32)</f>
        <v>1552581.3</v>
      </c>
    </row>
    <row r="33" spans="2:7" ht="17.45" thickBot="1">
      <c r="B33" s="436"/>
      <c r="C33" s="51" t="s">
        <v>86</v>
      </c>
      <c r="D33" s="51"/>
      <c r="E33" s="51"/>
      <c r="F33" s="51"/>
      <c r="G33" s="51"/>
    </row>
    <row r="34" spans="2:7" ht="17.45" thickBot="1">
      <c r="B34" s="436"/>
      <c r="C34" s="51" t="s">
        <v>87</v>
      </c>
      <c r="D34" s="51"/>
      <c r="E34" s="51"/>
      <c r="F34" s="51"/>
      <c r="G34" s="51"/>
    </row>
    <row r="35" spans="2:7" ht="17.45" thickBot="1">
      <c r="B35" s="436"/>
      <c r="C35" s="51" t="s">
        <v>88</v>
      </c>
      <c r="D35" s="51"/>
      <c r="E35" s="51"/>
      <c r="F35" s="51"/>
      <c r="G35" s="51"/>
    </row>
    <row r="36" spans="2:7" ht="17.45" thickBot="1">
      <c r="B36" s="46"/>
      <c r="C36" s="46"/>
      <c r="D36" s="46"/>
      <c r="E36" s="46"/>
      <c r="F36" s="54" t="s">
        <v>89</v>
      </c>
      <c r="G36" s="55"/>
    </row>
    <row r="39" spans="2:7" ht="17.45" thickBot="1">
      <c r="B39" s="45" t="s">
        <v>90</v>
      </c>
      <c r="C39" s="46"/>
      <c r="D39" s="46"/>
      <c r="E39" s="46"/>
      <c r="F39" s="46"/>
      <c r="G39" s="46"/>
    </row>
    <row r="40" spans="2:7" ht="29.45" thickBot="1">
      <c r="B40" s="47"/>
      <c r="C40" s="48" t="s">
        <v>59</v>
      </c>
      <c r="D40" s="56">
        <v>44958</v>
      </c>
      <c r="E40" s="56">
        <v>44986</v>
      </c>
      <c r="F40" s="56">
        <v>45017</v>
      </c>
      <c r="G40" s="49" t="s">
        <v>91</v>
      </c>
    </row>
    <row r="41" spans="2:7" ht="17.45" thickBot="1">
      <c r="B41" s="437" t="s">
        <v>61</v>
      </c>
      <c r="C41" s="51" t="s">
        <v>62</v>
      </c>
      <c r="D41" s="51">
        <f>SUM('FY23'!AU$77:AU$116)*0.25</f>
        <v>47471.27</v>
      </c>
      <c r="E41" s="51">
        <f>SUM('FY23'!AW$77:AW$116)*0.25</f>
        <v>98625.165000000008</v>
      </c>
      <c r="F41" s="51">
        <f>SUM('FY23'!AY$77:AY$116)*0.25</f>
        <v>72830.137499999997</v>
      </c>
      <c r="G41" s="51">
        <f>SUM(D41:F41)</f>
        <v>218926.57250000001</v>
      </c>
    </row>
    <row r="42" spans="2:7" ht="17.45" thickBot="1">
      <c r="B42" s="438"/>
      <c r="C42" s="51" t="s">
        <v>63</v>
      </c>
      <c r="D42" s="51">
        <f>SUM('FY23'!AU$6:AU$13)</f>
        <v>0</v>
      </c>
      <c r="E42" s="51">
        <f>SUM('FY23'!AW$6:AW$13)</f>
        <v>0</v>
      </c>
      <c r="F42" s="51">
        <f>SUM('FY23'!AY$6:AY$13)</f>
        <v>0</v>
      </c>
      <c r="G42" s="51">
        <f t="shared" ref="G42:G61" si="2">SUM(D42:F42)</f>
        <v>0</v>
      </c>
    </row>
    <row r="43" spans="2:7" ht="17.45" thickBot="1">
      <c r="B43" s="438"/>
      <c r="C43" s="51" t="s">
        <v>64</v>
      </c>
      <c r="D43" s="51">
        <f>SUM('FY23'!AU$14:AU$19)</f>
        <v>0</v>
      </c>
      <c r="E43" s="51">
        <f>SUM('FY23'!AW$14:AW$19)</f>
        <v>0</v>
      </c>
      <c r="F43" s="51">
        <f>SUM('FY23'!AY$14:AY$19)</f>
        <v>0</v>
      </c>
      <c r="G43" s="51">
        <f t="shared" si="2"/>
        <v>0</v>
      </c>
    </row>
    <row r="44" spans="2:7" ht="17.45" thickBot="1">
      <c r="B44" s="438"/>
      <c r="C44" s="51" t="s">
        <v>65</v>
      </c>
      <c r="D44" s="51">
        <f>SUM('FY23'!AU$20:AU$30)</f>
        <v>0</v>
      </c>
      <c r="E44" s="51">
        <f>SUM('FY23'!AW$20:AW$30)</f>
        <v>0</v>
      </c>
      <c r="F44" s="51">
        <f>SUM('FY23'!AY$20:AY$30)</f>
        <v>0</v>
      </c>
      <c r="G44" s="51">
        <f t="shared" si="2"/>
        <v>0</v>
      </c>
    </row>
    <row r="45" spans="2:7" ht="17.45" thickBot="1">
      <c r="B45" s="438"/>
      <c r="C45" s="51" t="s">
        <v>66</v>
      </c>
      <c r="D45" s="51">
        <f>SUM('FY23'!AU$31:AU$34)</f>
        <v>0</v>
      </c>
      <c r="E45" s="51">
        <f>SUM('FY23'!AW$31:AW$34)</f>
        <v>0</v>
      </c>
      <c r="F45" s="51">
        <f>SUM('FY23'!AY$31:AY$34)</f>
        <v>0</v>
      </c>
      <c r="G45" s="51">
        <f t="shared" si="2"/>
        <v>0</v>
      </c>
    </row>
    <row r="46" spans="2:7" ht="17.45" thickBot="1">
      <c r="B46" s="438"/>
      <c r="C46" s="51" t="s">
        <v>67</v>
      </c>
      <c r="D46" s="51">
        <f>SUM('FY23'!AU$39:AU$40)</f>
        <v>120874.02</v>
      </c>
      <c r="E46" s="51">
        <f>SUM('FY23'!AW$39:AW$40)</f>
        <v>77075.520000000004</v>
      </c>
      <c r="F46" s="51">
        <f>SUM('FY23'!AY$39:AY$40)</f>
        <v>31649.03</v>
      </c>
      <c r="G46" s="51">
        <f t="shared" si="2"/>
        <v>229598.57</v>
      </c>
    </row>
    <row r="47" spans="2:7" ht="17.45" thickBot="1">
      <c r="B47" s="438"/>
      <c r="C47" s="51" t="s">
        <v>68</v>
      </c>
      <c r="D47" s="51">
        <f>SUM('FY23'!AU$41:AU$44)</f>
        <v>0</v>
      </c>
      <c r="E47" s="51">
        <f>SUM('FY23'!AW$41:AW$44)</f>
        <v>0</v>
      </c>
      <c r="F47" s="51">
        <f>SUM('FY23'!AY$41:AY$44)</f>
        <v>0</v>
      </c>
      <c r="G47" s="51">
        <f t="shared" si="2"/>
        <v>0</v>
      </c>
    </row>
    <row r="48" spans="2:7" ht="17.45" thickBot="1">
      <c r="B48" s="438"/>
      <c r="C48" s="51" t="s">
        <v>69</v>
      </c>
      <c r="D48" s="51">
        <f>SUM('FY23'!AU$45:AU$64)*0.7</f>
        <v>28722.399999999998</v>
      </c>
      <c r="E48" s="51">
        <f>SUM('FY23'!AW$45:AW$64)*0.7</f>
        <v>58417.869999999988</v>
      </c>
      <c r="F48" s="51">
        <f>SUM('FY23'!AY$45:AY$64)*0.7</f>
        <v>32115.3</v>
      </c>
      <c r="G48" s="51">
        <f t="shared" si="2"/>
        <v>119255.56999999999</v>
      </c>
    </row>
    <row r="49" spans="2:8" ht="17.45" thickBot="1">
      <c r="B49" s="438"/>
      <c r="C49" s="51" t="s">
        <v>70</v>
      </c>
      <c r="D49" s="51">
        <f>SUM('FY23'!AU$35:AU$36)</f>
        <v>0</v>
      </c>
      <c r="E49" s="51">
        <f>SUM('FY23'!AW$35:AW$36)</f>
        <v>0</v>
      </c>
      <c r="F49" s="51">
        <f>SUM('FY23'!AY$35:AY$36)</f>
        <v>0</v>
      </c>
      <c r="G49" s="51">
        <f t="shared" si="2"/>
        <v>0</v>
      </c>
    </row>
    <row r="50" spans="2:8" ht="17.45" thickBot="1">
      <c r="B50" s="438"/>
      <c r="C50" s="51" t="s">
        <v>71</v>
      </c>
      <c r="D50" s="51">
        <f>SUM('FY23'!AU$37:AU$38)</f>
        <v>32594.399999999998</v>
      </c>
      <c r="E50" s="51">
        <f>SUM('FY23'!AW$37:AW$38)</f>
        <v>63434.22</v>
      </c>
      <c r="F50" s="51">
        <f>SUM('FY23'!AY$37:AY$38)</f>
        <v>32555.88</v>
      </c>
      <c r="G50" s="51">
        <f t="shared" si="2"/>
        <v>128584.5</v>
      </c>
    </row>
    <row r="51" spans="2:8" ht="17.45" thickBot="1">
      <c r="B51" s="438"/>
      <c r="C51" s="50" t="s">
        <v>72</v>
      </c>
      <c r="D51" s="52"/>
      <c r="E51" s="52"/>
      <c r="F51" s="52"/>
      <c r="G51" s="51">
        <f t="shared" si="2"/>
        <v>0</v>
      </c>
    </row>
    <row r="52" spans="2:8" ht="17.45" thickBot="1">
      <c r="B52" s="439"/>
      <c r="C52" s="53" t="s">
        <v>73</v>
      </c>
      <c r="D52" s="51">
        <f>SUM('FY23'!AU$65:AU$76)</f>
        <v>21080.22</v>
      </c>
      <c r="E52" s="51">
        <f>SUM('FY23'!AW$65:AW$76)</f>
        <v>38522.340000000004</v>
      </c>
      <c r="F52" s="51">
        <f>SUM('FY23'!AY$65:AY$76)</f>
        <v>29534.370000000003</v>
      </c>
      <c r="G52" s="51">
        <f t="shared" si="2"/>
        <v>89136.930000000008</v>
      </c>
    </row>
    <row r="53" spans="2:8" ht="17.45" thickBot="1">
      <c r="B53" s="440" t="s">
        <v>74</v>
      </c>
      <c r="C53" s="51" t="s">
        <v>75</v>
      </c>
      <c r="D53" s="51">
        <f>SUM('FY23'!AU$77:AU$116)*0.75</f>
        <v>142413.81</v>
      </c>
      <c r="E53" s="51">
        <f>SUM('FY23'!AW$77:AW$116)*0.75</f>
        <v>295875.495</v>
      </c>
      <c r="F53" s="51">
        <f>SUM('FY23'!AY$77:AY$116)*0.75</f>
        <v>218490.41249999998</v>
      </c>
      <c r="G53" s="51">
        <f t="shared" si="2"/>
        <v>656779.71750000003</v>
      </c>
    </row>
    <row r="54" spans="2:8" ht="17.45" thickBot="1">
      <c r="B54" s="441"/>
      <c r="C54" s="51" t="s">
        <v>69</v>
      </c>
      <c r="D54" s="51">
        <f>SUM('FY23'!AU$45:AU$64)*0.3</f>
        <v>12309.6</v>
      </c>
      <c r="E54" s="51">
        <f>SUM('FY23'!AW$45:AW$64)*0.3</f>
        <v>25036.229999999996</v>
      </c>
      <c r="F54" s="51">
        <f>SUM('FY23'!AY$45:AY$64)*0.3</f>
        <v>13763.699999999999</v>
      </c>
      <c r="G54" s="51">
        <f t="shared" si="2"/>
        <v>51109.529999999992</v>
      </c>
    </row>
    <row r="55" spans="2:8" ht="17.45" thickBot="1">
      <c r="B55" s="441"/>
      <c r="C55" s="51" t="s">
        <v>76</v>
      </c>
      <c r="D55" s="51">
        <f>SUM('FY23'!AU$126:AU$167)</f>
        <v>82015.399999999994</v>
      </c>
      <c r="E55" s="51">
        <f>SUM('FY23'!AW$126:AW$167)</f>
        <v>70776</v>
      </c>
      <c r="F55" s="51">
        <f>SUM('FY23'!AY$126:AY$167)</f>
        <v>86040</v>
      </c>
      <c r="G55" s="51">
        <f t="shared" si="2"/>
        <v>238831.4</v>
      </c>
    </row>
    <row r="56" spans="2:8" ht="17.45" thickBot="1">
      <c r="B56" s="441"/>
      <c r="C56" s="51" t="s">
        <v>77</v>
      </c>
      <c r="D56" s="51">
        <f>SUM('FY23'!AU$168:AU$170)</f>
        <v>0</v>
      </c>
      <c r="E56" s="51">
        <f>SUM('FY23'!AW$168:AW$170)</f>
        <v>0</v>
      </c>
      <c r="F56" s="51">
        <f>SUM('FY23'!AY$168:AY$170)</f>
        <v>0</v>
      </c>
      <c r="G56" s="51">
        <f t="shared" si="2"/>
        <v>0</v>
      </c>
    </row>
    <row r="57" spans="2:8" ht="17.45" thickBot="1">
      <c r="B57" s="441"/>
      <c r="C57" s="51" t="s">
        <v>78</v>
      </c>
      <c r="D57" s="51">
        <f>SUM('FY23'!AU$171:AU$182)</f>
        <v>30200</v>
      </c>
      <c r="E57" s="51">
        <f>SUM('FY23'!AW$171:AW$182)</f>
        <v>14955</v>
      </c>
      <c r="F57" s="51">
        <f>SUM('FY23'!AY$171:AY$182)</f>
        <v>46069.5</v>
      </c>
      <c r="G57" s="51">
        <f t="shared" si="2"/>
        <v>91224.5</v>
      </c>
    </row>
    <row r="58" spans="2:8" ht="17.45" thickBot="1">
      <c r="B58" s="441"/>
      <c r="C58" s="51" t="s">
        <v>79</v>
      </c>
      <c r="D58" s="51">
        <f>SUM('FY23'!AU$183:AU$184)</f>
        <v>5096</v>
      </c>
      <c r="E58" s="51">
        <f>SUM('FY23'!AW$183:AW$184)</f>
        <v>4928</v>
      </c>
      <c r="F58" s="51">
        <f>SUM('FY23'!AY$183:AY$184)</f>
        <v>9351.2999999999993</v>
      </c>
      <c r="G58" s="51">
        <f t="shared" si="2"/>
        <v>19375.3</v>
      </c>
    </row>
    <row r="59" spans="2:8" ht="17.45" thickBot="1">
      <c r="B59" s="441"/>
      <c r="C59" s="51" t="s">
        <v>80</v>
      </c>
      <c r="D59" s="51">
        <f>SUM('FY23'!AU$185:AU$210)</f>
        <v>4620</v>
      </c>
      <c r="E59" s="51">
        <f>SUM('FY23'!AW$185:AW$210)</f>
        <v>27370.5</v>
      </c>
      <c r="F59" s="51">
        <f>SUM('FY23'!AY$185:AY$210)</f>
        <v>107928</v>
      </c>
      <c r="G59" s="51">
        <f t="shared" si="2"/>
        <v>139918.5</v>
      </c>
    </row>
    <row r="60" spans="2:8" ht="51.6" thickBot="1">
      <c r="B60" s="441"/>
      <c r="C60" s="51" t="s">
        <v>72</v>
      </c>
      <c r="D60" s="51"/>
      <c r="E60" s="51"/>
      <c r="F60" s="51">
        <f>SUM('FY23'!AY228:AY229)</f>
        <v>3144.96</v>
      </c>
      <c r="G60" s="51">
        <f t="shared" si="2"/>
        <v>3144.96</v>
      </c>
      <c r="H60" s="273" t="s">
        <v>92</v>
      </c>
    </row>
    <row r="61" spans="2:8" ht="17.45" thickBot="1">
      <c r="B61" s="442"/>
      <c r="C61" s="51" t="s">
        <v>73</v>
      </c>
      <c r="D61" s="51">
        <f>SUM('FY23'!AU$211:AU$227)</f>
        <v>0</v>
      </c>
      <c r="E61" s="51">
        <f>SUM('FY23'!AW$211:AW$227)</f>
        <v>0</v>
      </c>
      <c r="F61" s="51">
        <f>SUM('FY23'!AY$211:AY$227)</f>
        <v>0</v>
      </c>
      <c r="G61" s="51">
        <f t="shared" si="2"/>
        <v>0</v>
      </c>
    </row>
    <row r="62" spans="2:8" ht="17.45" thickBot="1">
      <c r="B62" s="46"/>
      <c r="C62" s="46"/>
      <c r="D62" s="46"/>
      <c r="E62" s="46"/>
      <c r="F62" s="46"/>
      <c r="G62" s="54">
        <f>SUM(G41:G61)</f>
        <v>1985886.05</v>
      </c>
    </row>
    <row r="63" spans="2:8">
      <c r="B63" s="46"/>
      <c r="C63" s="46"/>
      <c r="D63" s="46"/>
      <c r="E63" s="46"/>
      <c r="F63" s="46"/>
      <c r="G63" s="46"/>
    </row>
    <row r="64" spans="2:8" ht="17.45" thickBot="1">
      <c r="B64" s="45" t="s">
        <v>90</v>
      </c>
      <c r="C64" s="46"/>
      <c r="D64" s="46"/>
      <c r="E64" s="46"/>
      <c r="F64" s="46"/>
      <c r="G64" s="46"/>
    </row>
    <row r="65" spans="2:7" ht="29.45" thickBot="1">
      <c r="B65" s="47"/>
      <c r="C65" s="48" t="s">
        <v>81</v>
      </c>
      <c r="D65" s="56">
        <v>44958</v>
      </c>
      <c r="E65" s="56">
        <v>44986</v>
      </c>
      <c r="F65" s="56">
        <v>45017</v>
      </c>
      <c r="G65" s="49" t="s">
        <v>91</v>
      </c>
    </row>
    <row r="66" spans="2:7" ht="17.45" thickBot="1">
      <c r="B66" s="436" t="s">
        <v>82</v>
      </c>
      <c r="C66" s="51" t="s">
        <v>83</v>
      </c>
      <c r="D66" s="51"/>
      <c r="E66" s="51"/>
      <c r="F66" s="51"/>
      <c r="G66" s="51"/>
    </row>
    <row r="67" spans="2:7" ht="17.45" thickBot="1">
      <c r="B67" s="436" t="s">
        <v>82</v>
      </c>
      <c r="C67" s="51" t="s">
        <v>84</v>
      </c>
      <c r="D67" s="51"/>
      <c r="E67" s="51"/>
      <c r="F67" s="51"/>
      <c r="G67" s="51"/>
    </row>
    <row r="68" spans="2:7" ht="17.45" thickBot="1">
      <c r="B68" s="436"/>
      <c r="C68" s="51" t="s">
        <v>85</v>
      </c>
      <c r="D68" s="51">
        <f>SUM(D41:D61)</f>
        <v>527397.12</v>
      </c>
      <c r="E68" s="51">
        <f t="shared" ref="E68:F68" si="3">SUM(E41:E61)</f>
        <v>775016.34000000008</v>
      </c>
      <c r="F68" s="51">
        <f t="shared" si="3"/>
        <v>683472.59000000008</v>
      </c>
      <c r="G68" s="51">
        <f>SUM(D68:F68)</f>
        <v>1985886.05</v>
      </c>
    </row>
    <row r="69" spans="2:7" ht="17.45" thickBot="1">
      <c r="B69" s="436"/>
      <c r="C69" s="51" t="s">
        <v>86</v>
      </c>
      <c r="D69" s="51"/>
      <c r="E69" s="51"/>
      <c r="F69" s="51"/>
      <c r="G69" s="51"/>
    </row>
    <row r="70" spans="2:7" ht="17.45" thickBot="1">
      <c r="B70" s="436"/>
      <c r="C70" s="51" t="s">
        <v>87</v>
      </c>
      <c r="D70" s="51"/>
      <c r="E70" s="51"/>
      <c r="F70" s="51"/>
      <c r="G70" s="51"/>
    </row>
    <row r="71" spans="2:7" ht="17.45" thickBot="1">
      <c r="B71" s="436"/>
      <c r="C71" s="51" t="s">
        <v>88</v>
      </c>
      <c r="D71" s="51"/>
      <c r="E71" s="51"/>
      <c r="F71" s="51"/>
      <c r="G71" s="51"/>
    </row>
    <row r="72" spans="2:7" ht="17.45" thickBot="1">
      <c r="B72" s="46"/>
      <c r="C72" s="46"/>
      <c r="D72" s="46"/>
      <c r="E72" s="46"/>
      <c r="F72" s="54" t="s">
        <v>89</v>
      </c>
      <c r="G72" s="55"/>
    </row>
    <row r="75" spans="2:7" ht="17.45" thickBot="1">
      <c r="B75" s="45" t="s">
        <v>93</v>
      </c>
      <c r="C75" s="46"/>
      <c r="D75" s="46"/>
      <c r="E75" s="46"/>
      <c r="F75" s="46"/>
      <c r="G75" s="46"/>
    </row>
    <row r="76" spans="2:7" ht="29.45" thickBot="1">
      <c r="B76" s="47"/>
      <c r="C76" s="48" t="s">
        <v>59</v>
      </c>
      <c r="D76" s="56">
        <v>45047</v>
      </c>
      <c r="E76" s="56">
        <v>45078</v>
      </c>
      <c r="F76" s="56">
        <v>45108</v>
      </c>
      <c r="G76" s="49" t="s">
        <v>94</v>
      </c>
    </row>
    <row r="77" spans="2:7" ht="17.45" thickBot="1">
      <c r="B77" s="437" t="s">
        <v>61</v>
      </c>
      <c r="C77" s="51" t="s">
        <v>62</v>
      </c>
      <c r="D77" s="51">
        <f>SUM('FY23'!BA$77:BA$116)*0.25</f>
        <v>83406.23</v>
      </c>
      <c r="E77" s="51">
        <f>SUM('FY23'!BC$77:BC$116)*0.25</f>
        <v>94006.1</v>
      </c>
      <c r="F77" s="51">
        <f>SUM('FY23'!BE$77:BE$116)*0.25</f>
        <v>75307.005000000005</v>
      </c>
      <c r="G77" s="51">
        <f>SUM(D77:F77)</f>
        <v>252719.33500000002</v>
      </c>
    </row>
    <row r="78" spans="2:7" ht="17.45" thickBot="1">
      <c r="B78" s="438"/>
      <c r="C78" s="51" t="s">
        <v>63</v>
      </c>
      <c r="D78" s="51">
        <f>SUM('FY23'!BA$6:BA$13)</f>
        <v>0</v>
      </c>
      <c r="E78" s="51">
        <f>SUM('FY23'!BC$6:BC$13)</f>
        <v>0</v>
      </c>
      <c r="F78" s="51">
        <f>SUM('FY23'!BE$6:BE$13)</f>
        <v>0</v>
      </c>
      <c r="G78" s="51">
        <f t="shared" ref="G78:G97" si="4">SUM(D78:F78)</f>
        <v>0</v>
      </c>
    </row>
    <row r="79" spans="2:7" ht="17.45" thickBot="1">
      <c r="B79" s="438"/>
      <c r="C79" s="51" t="s">
        <v>64</v>
      </c>
      <c r="D79" s="51">
        <f>SUM('FY23'!BA$14:BA$19)</f>
        <v>0</v>
      </c>
      <c r="E79" s="51">
        <f>SUM('FY23'!BC$14:BC$19)</f>
        <v>0</v>
      </c>
      <c r="F79" s="51">
        <f>SUM('FY23'!BE$14:BE$19)</f>
        <v>0</v>
      </c>
      <c r="G79" s="51">
        <f t="shared" si="4"/>
        <v>0</v>
      </c>
    </row>
    <row r="80" spans="2:7" ht="17.45" thickBot="1">
      <c r="B80" s="438"/>
      <c r="C80" s="51" t="s">
        <v>65</v>
      </c>
      <c r="D80" s="51">
        <f>SUM('FY23'!BA$20:BA$30)</f>
        <v>0</v>
      </c>
      <c r="E80" s="51">
        <f>SUM('FY23'!BC$20:BC$30)</f>
        <v>0</v>
      </c>
      <c r="F80" s="51">
        <f>SUM('FY23'!BE$20:BE$30)</f>
        <v>0</v>
      </c>
      <c r="G80" s="51">
        <f t="shared" si="4"/>
        <v>0</v>
      </c>
    </row>
    <row r="81" spans="2:7" ht="17.45" thickBot="1">
      <c r="B81" s="438"/>
      <c r="C81" s="51" t="s">
        <v>66</v>
      </c>
      <c r="D81" s="51">
        <f>SUM('FY23'!BA$31:BA$34)</f>
        <v>0</v>
      </c>
      <c r="E81" s="51">
        <f>SUM('FY23'!BC$31:BC$34)</f>
        <v>0</v>
      </c>
      <c r="F81" s="51">
        <f>SUM('FY23'!BE$31:BE$34)</f>
        <v>0</v>
      </c>
      <c r="G81" s="51">
        <f t="shared" si="4"/>
        <v>0</v>
      </c>
    </row>
    <row r="82" spans="2:7" ht="17.45" thickBot="1">
      <c r="B82" s="438"/>
      <c r="C82" s="51" t="s">
        <v>67</v>
      </c>
      <c r="D82" s="51">
        <f>SUM('FY23'!BA$39:BA$40)</f>
        <v>48614.310000000005</v>
      </c>
      <c r="E82" s="51">
        <f>SUM('FY23'!BC$39:BC$40)</f>
        <v>12394.28</v>
      </c>
      <c r="F82" s="51">
        <f>SUM('FY23'!BE$39:BE$40)</f>
        <v>6006.8</v>
      </c>
      <c r="G82" s="51">
        <f t="shared" si="4"/>
        <v>67015.39</v>
      </c>
    </row>
    <row r="83" spans="2:7" ht="17.45" thickBot="1">
      <c r="B83" s="438"/>
      <c r="C83" s="51" t="s">
        <v>68</v>
      </c>
      <c r="D83" s="51">
        <f>SUM('FY23'!BA$41:BA$44)</f>
        <v>0</v>
      </c>
      <c r="E83" s="51">
        <f>SUM('FY23'!BC$41:BC$44)</f>
        <v>0</v>
      </c>
      <c r="F83" s="51">
        <f>SUM('FY23'!BE$41:BE$44)</f>
        <v>0</v>
      </c>
      <c r="G83" s="51">
        <f t="shared" si="4"/>
        <v>0</v>
      </c>
    </row>
    <row r="84" spans="2:7" ht="17.45" thickBot="1">
      <c r="B84" s="438"/>
      <c r="C84" s="51" t="s">
        <v>69</v>
      </c>
      <c r="D84" s="51">
        <f>SUM('FY23'!BA$45:BA$64)*0.7</f>
        <v>87118.43</v>
      </c>
      <c r="E84" s="51">
        <f>SUM('FY23'!BC$45:BC$64)*0.7</f>
        <v>50436.399999999994</v>
      </c>
      <c r="F84" s="51">
        <f>SUM('FY23'!BE$45:BE$64)*0.7</f>
        <v>51613.1</v>
      </c>
      <c r="G84" s="51">
        <f t="shared" si="4"/>
        <v>189167.93</v>
      </c>
    </row>
    <row r="85" spans="2:7" ht="17.45" thickBot="1">
      <c r="B85" s="438"/>
      <c r="C85" s="51" t="s">
        <v>70</v>
      </c>
      <c r="D85" s="51">
        <f>SUM('FY23'!BA$35:BA$36)</f>
        <v>0</v>
      </c>
      <c r="E85" s="51">
        <f>SUM('FY23'!BC$35:BC$36)</f>
        <v>0</v>
      </c>
      <c r="F85" s="51">
        <f>SUM('FY23'!BE$35:BE$36)</f>
        <v>0</v>
      </c>
      <c r="G85" s="51">
        <f t="shared" si="4"/>
        <v>0</v>
      </c>
    </row>
    <row r="86" spans="2:7" ht="17.45" thickBot="1">
      <c r="B86" s="438"/>
      <c r="C86" s="51" t="s">
        <v>71</v>
      </c>
      <c r="D86" s="51">
        <f>SUM('FY23'!BA$37:BA$38)</f>
        <v>60601.600000000006</v>
      </c>
      <c r="E86" s="51">
        <f>SUM('FY23'!BC$37:BC$38)</f>
        <v>28295.68</v>
      </c>
      <c r="F86" s="51">
        <f>SUM('FY23'!BE$37:BE$38)</f>
        <v>21417.08</v>
      </c>
      <c r="G86" s="51">
        <f t="shared" si="4"/>
        <v>110314.36</v>
      </c>
    </row>
    <row r="87" spans="2:7" ht="17.45" thickBot="1">
      <c r="B87" s="438"/>
      <c r="C87" s="50" t="s">
        <v>72</v>
      </c>
      <c r="D87" s="52"/>
      <c r="E87" s="52"/>
      <c r="F87" s="52"/>
      <c r="G87" s="51">
        <f t="shared" si="4"/>
        <v>0</v>
      </c>
    </row>
    <row r="88" spans="2:7" ht="17.45" thickBot="1">
      <c r="B88" s="439"/>
      <c r="C88" s="53" t="s">
        <v>73</v>
      </c>
      <c r="D88" s="51">
        <f>SUM('FY23'!BA$65:BA$76)</f>
        <v>18294.120000000003</v>
      </c>
      <c r="E88" s="51">
        <f>SUM('FY23'!BC$65:BC$76)</f>
        <v>34550.520000000004</v>
      </c>
      <c r="F88" s="51">
        <f>SUM('FY23'!BE$65:BE$76)</f>
        <v>33335.880000000005</v>
      </c>
      <c r="G88" s="51">
        <f t="shared" si="4"/>
        <v>86180.520000000019</v>
      </c>
    </row>
    <row r="89" spans="2:7" ht="17.45" thickBot="1">
      <c r="B89" s="440" t="s">
        <v>74</v>
      </c>
      <c r="C89" s="51" t="s">
        <v>75</v>
      </c>
      <c r="D89" s="51">
        <f>SUM('FY23'!BA$77:BA$116)*0.75</f>
        <v>250218.69</v>
      </c>
      <c r="E89" s="51">
        <f>SUM('FY23'!BC$77:BC$116)*0.75</f>
        <v>282018.30000000005</v>
      </c>
      <c r="F89" s="51">
        <f>SUM('FY23'!BE$77:BE$116)*0.75</f>
        <v>225921.01500000001</v>
      </c>
      <c r="G89" s="51">
        <f t="shared" si="4"/>
        <v>758158.005</v>
      </c>
    </row>
    <row r="90" spans="2:7" ht="17.45" thickBot="1">
      <c r="B90" s="441"/>
      <c r="C90" s="51" t="s">
        <v>69</v>
      </c>
      <c r="D90" s="51">
        <f>SUM('FY23'!BA$45:BA$64)*0.3</f>
        <v>37336.469999999994</v>
      </c>
      <c r="E90" s="51">
        <f>SUM('FY23'!BC$45:BC$64)*0.3</f>
        <v>21615.599999999999</v>
      </c>
      <c r="F90" s="51">
        <f>SUM('FY23'!BE$45:BE$64)*0.3</f>
        <v>22119.899999999998</v>
      </c>
      <c r="G90" s="51">
        <f t="shared" si="4"/>
        <v>81071.969999999987</v>
      </c>
    </row>
    <row r="91" spans="2:7" ht="17.45" thickBot="1">
      <c r="B91" s="441"/>
      <c r="C91" s="51" t="s">
        <v>76</v>
      </c>
      <c r="D91" s="51">
        <f>SUM('FY23'!BA$126:BA$167)</f>
        <v>106598.39999999999</v>
      </c>
      <c r="E91" s="51">
        <f>SUM('FY23'!BC$126:BC$167)</f>
        <v>110794.4</v>
      </c>
      <c r="F91" s="51">
        <f>SUM('FY23'!BE$126:BE$167)</f>
        <v>114938.4</v>
      </c>
      <c r="G91" s="51">
        <f t="shared" si="4"/>
        <v>332331.19999999995</v>
      </c>
    </row>
    <row r="92" spans="2:7" ht="17.45" thickBot="1">
      <c r="B92" s="441"/>
      <c r="C92" s="51" t="s">
        <v>77</v>
      </c>
      <c r="D92" s="51">
        <f>SUM('FY23'!BA$168:BA$170)</f>
        <v>0</v>
      </c>
      <c r="E92" s="51">
        <f>SUM('FY23'!BC$168:BC$170)</f>
        <v>0</v>
      </c>
      <c r="F92" s="51">
        <f>SUM('FY23'!BE$168:BE$170)</f>
        <v>0</v>
      </c>
      <c r="G92" s="51">
        <f t="shared" si="4"/>
        <v>0</v>
      </c>
    </row>
    <row r="93" spans="2:7" ht="17.45" thickBot="1">
      <c r="B93" s="441"/>
      <c r="C93" s="51" t="s">
        <v>78</v>
      </c>
      <c r="D93" s="51">
        <f>SUM('FY23'!BA$171:BA$182)</f>
        <v>74679.5</v>
      </c>
      <c r="E93" s="51">
        <f>SUM('FY23'!BC$171:BC$182)</f>
        <v>51760.5</v>
      </c>
      <c r="F93" s="51">
        <f>SUM('FY23'!BE$171:BE$182)</f>
        <v>65287.5</v>
      </c>
      <c r="G93" s="51">
        <f t="shared" si="4"/>
        <v>191727.5</v>
      </c>
    </row>
    <row r="94" spans="2:7" ht="17.45" thickBot="1">
      <c r="B94" s="441"/>
      <c r="C94" s="51" t="s">
        <v>79</v>
      </c>
      <c r="D94" s="51">
        <f>SUM('FY23'!BA$183:BA$184)</f>
        <v>7531.9999999999991</v>
      </c>
      <c r="E94" s="51">
        <f>SUM('FY23'!BC$183:BC$184)</f>
        <v>4536</v>
      </c>
      <c r="F94" s="51">
        <f>SUM('FY23'!BE$183:BE$184)</f>
        <v>8428</v>
      </c>
      <c r="G94" s="51">
        <f t="shared" si="4"/>
        <v>20496</v>
      </c>
    </row>
    <row r="95" spans="2:7" ht="17.45" thickBot="1">
      <c r="B95" s="441"/>
      <c r="C95" s="51" t="s">
        <v>80</v>
      </c>
      <c r="D95" s="51">
        <f>SUM('FY23'!BA$185:BA$210)</f>
        <v>172018.4</v>
      </c>
      <c r="E95" s="51">
        <f>SUM('FY23'!BC$185:BC$210)</f>
        <v>153180.65</v>
      </c>
      <c r="F95" s="51">
        <f>SUM('FY23'!BE$185:BE$210)</f>
        <v>180395</v>
      </c>
      <c r="G95" s="51">
        <f t="shared" si="4"/>
        <v>505594.05</v>
      </c>
    </row>
    <row r="96" spans="2:7" ht="17.45" thickBot="1">
      <c r="B96" s="441"/>
      <c r="C96" s="51" t="s">
        <v>72</v>
      </c>
      <c r="D96" s="51">
        <f>SUM('FY23'!BA228:BA229)</f>
        <v>3144.96</v>
      </c>
      <c r="E96" s="51">
        <f>SUM('FY23'!BC228:BC229)</f>
        <v>449.28000000000003</v>
      </c>
      <c r="F96" s="51">
        <f>SUM('FY23'!BE228:BE229)</f>
        <v>898.56000000000006</v>
      </c>
      <c r="G96" s="51">
        <f t="shared" si="4"/>
        <v>4492.8</v>
      </c>
    </row>
    <row r="97" spans="2:7" ht="17.45" thickBot="1">
      <c r="B97" s="442"/>
      <c r="C97" s="51" t="s">
        <v>73</v>
      </c>
      <c r="D97" s="51">
        <f>SUM('FY23'!BA$211:BA$227)</f>
        <v>0</v>
      </c>
      <c r="E97" s="51">
        <f>SUM('FY23'!BC$211:BC$227)</f>
        <v>0</v>
      </c>
      <c r="F97" s="51">
        <f>SUM('FY23'!BE$211:BE$227)</f>
        <v>0</v>
      </c>
      <c r="G97" s="51">
        <f t="shared" si="4"/>
        <v>0</v>
      </c>
    </row>
    <row r="98" spans="2:7" ht="17.45" thickBot="1">
      <c r="B98" s="46"/>
      <c r="C98" s="46"/>
      <c r="D98" s="46"/>
      <c r="E98" s="46"/>
      <c r="F98" s="46"/>
      <c r="G98" s="54">
        <f>SUM(G77:G97)</f>
        <v>2599269.0599999996</v>
      </c>
    </row>
    <row r="99" spans="2:7">
      <c r="B99" s="46"/>
      <c r="C99" s="46"/>
      <c r="D99" s="46"/>
      <c r="E99" s="46"/>
      <c r="F99" s="46"/>
      <c r="G99" s="46"/>
    </row>
    <row r="100" spans="2:7" ht="17.45" thickBot="1">
      <c r="B100" s="45" t="s">
        <v>93</v>
      </c>
      <c r="C100" s="46"/>
      <c r="D100" s="46"/>
      <c r="E100" s="46"/>
      <c r="F100" s="46"/>
      <c r="G100" s="46"/>
    </row>
    <row r="101" spans="2:7" ht="29.45" thickBot="1">
      <c r="B101" s="118"/>
      <c r="C101" s="48" t="s">
        <v>81</v>
      </c>
      <c r="D101" s="56">
        <v>45047</v>
      </c>
      <c r="E101" s="56">
        <v>45078</v>
      </c>
      <c r="F101" s="56">
        <v>45108</v>
      </c>
      <c r="G101" s="49" t="s">
        <v>94</v>
      </c>
    </row>
    <row r="102" spans="2:7" ht="17.45" thickBot="1">
      <c r="B102" s="436" t="s">
        <v>82</v>
      </c>
      <c r="C102" s="51" t="s">
        <v>83</v>
      </c>
      <c r="D102" s="51"/>
      <c r="E102" s="51"/>
      <c r="F102" s="51"/>
      <c r="G102" s="51"/>
    </row>
    <row r="103" spans="2:7" ht="17.45" thickBot="1">
      <c r="B103" s="436"/>
      <c r="C103" s="51" t="s">
        <v>84</v>
      </c>
      <c r="D103" s="51"/>
      <c r="E103" s="51"/>
      <c r="F103" s="51"/>
      <c r="G103" s="51"/>
    </row>
    <row r="104" spans="2:7" ht="17.45" thickBot="1">
      <c r="B104" s="436"/>
      <c r="C104" s="51" t="s">
        <v>85</v>
      </c>
      <c r="D104" s="51">
        <f>SUM(D77:D97)</f>
        <v>949563.11</v>
      </c>
      <c r="E104" s="51">
        <f t="shared" ref="E104:F104" si="5">SUM(E77:E97)</f>
        <v>844037.71000000008</v>
      </c>
      <c r="F104" s="51">
        <f t="shared" si="5"/>
        <v>805668.24000000011</v>
      </c>
      <c r="G104" s="51">
        <f t="shared" ref="G104" si="6">SUM(D104:F104)</f>
        <v>2599269.06</v>
      </c>
    </row>
    <row r="105" spans="2:7" ht="17.45" thickBot="1">
      <c r="B105" s="436"/>
      <c r="C105" s="51" t="s">
        <v>86</v>
      </c>
      <c r="D105" s="51"/>
      <c r="E105" s="51"/>
      <c r="F105" s="51"/>
      <c r="G105" s="51"/>
    </row>
    <row r="106" spans="2:7" ht="17.45" thickBot="1">
      <c r="B106" s="436"/>
      <c r="C106" s="51" t="s">
        <v>87</v>
      </c>
      <c r="D106" s="51"/>
      <c r="E106" s="51"/>
      <c r="F106" s="51"/>
      <c r="G106" s="51"/>
    </row>
    <row r="107" spans="2:7" ht="17.45" thickBot="1">
      <c r="B107" s="436"/>
      <c r="C107" s="51" t="s">
        <v>88</v>
      </c>
      <c r="D107" s="51"/>
      <c r="E107" s="51"/>
      <c r="F107" s="51"/>
      <c r="G107" s="51"/>
    </row>
    <row r="108" spans="2:7" ht="17.45" thickBot="1">
      <c r="B108" s="46"/>
      <c r="C108" s="46"/>
      <c r="D108" s="46"/>
      <c r="E108" s="46"/>
      <c r="F108" s="54" t="s">
        <v>89</v>
      </c>
      <c r="G108" s="55"/>
    </row>
    <row r="110" spans="2:7" ht="17.45" thickBot="1">
      <c r="B110" s="45" t="s">
        <v>95</v>
      </c>
      <c r="C110" s="46"/>
      <c r="D110" s="46"/>
      <c r="E110" s="46"/>
      <c r="F110" s="46"/>
      <c r="G110" s="46"/>
    </row>
    <row r="111" spans="2:7" ht="29.45" thickBot="1">
      <c r="B111" s="47"/>
      <c r="C111" s="48" t="s">
        <v>59</v>
      </c>
      <c r="D111" s="56">
        <v>45139</v>
      </c>
      <c r="E111" s="56">
        <v>45170</v>
      </c>
      <c r="F111" s="56">
        <v>45200</v>
      </c>
      <c r="G111" s="49" t="s">
        <v>96</v>
      </c>
    </row>
    <row r="112" spans="2:7" ht="17.45" thickBot="1">
      <c r="B112" s="437" t="s">
        <v>61</v>
      </c>
      <c r="C112" s="51" t="s">
        <v>62</v>
      </c>
      <c r="D112" s="51">
        <f>SUM('FY23'!BG$77:BG$116)*0.25</f>
        <v>139842.995</v>
      </c>
      <c r="E112" s="51">
        <f>SUM('FY23'!BI$77:BI$116)*0.25</f>
        <v>152149.285</v>
      </c>
      <c r="F112" s="51">
        <f>SUM('FY23'!BK$77:BK$116)*0.25</f>
        <v>112420.3725</v>
      </c>
      <c r="G112" s="51">
        <f>SUM(D112:F112)</f>
        <v>404412.65250000003</v>
      </c>
    </row>
    <row r="113" spans="2:7" ht="17.45" thickBot="1">
      <c r="B113" s="438"/>
      <c r="C113" s="51" t="s">
        <v>63</v>
      </c>
      <c r="D113" s="51">
        <f>SUM('FY23'!BG$6:BG$13)</f>
        <v>0</v>
      </c>
      <c r="E113" s="51">
        <f>SUM('FY23'!BI$6:BI$13)</f>
        <v>0</v>
      </c>
      <c r="F113" s="51">
        <f>SUM('FY23'!BK$6:BK$13)</f>
        <v>0</v>
      </c>
      <c r="G113" s="51">
        <f t="shared" ref="G113:G132" si="7">SUM(D113:F113)</f>
        <v>0</v>
      </c>
    </row>
    <row r="114" spans="2:7" ht="17.45" thickBot="1">
      <c r="B114" s="438"/>
      <c r="C114" s="51" t="s">
        <v>64</v>
      </c>
      <c r="D114" s="51">
        <f>SUM('FY23'!BG$14:BG$19)</f>
        <v>0</v>
      </c>
      <c r="E114" s="51">
        <f>SUM('FY23'!BI$14:BI$19)</f>
        <v>0</v>
      </c>
      <c r="F114" s="51">
        <f>SUM('FY23'!BK$14:BK$19)</f>
        <v>0</v>
      </c>
      <c r="G114" s="51">
        <f t="shared" si="7"/>
        <v>0</v>
      </c>
    </row>
    <row r="115" spans="2:7" ht="17.45" thickBot="1">
      <c r="B115" s="438"/>
      <c r="C115" s="51" t="s">
        <v>65</v>
      </c>
      <c r="D115" s="51">
        <f>SUM('FY23'!BG$20:BG$30)</f>
        <v>0</v>
      </c>
      <c r="E115" s="51">
        <f>SUM('FY23'!BI$20:BI$30)</f>
        <v>0</v>
      </c>
      <c r="F115" s="51">
        <f>SUM('FY23'!BK$20:BK$30)</f>
        <v>0</v>
      </c>
      <c r="G115" s="51">
        <f t="shared" si="7"/>
        <v>0</v>
      </c>
    </row>
    <row r="116" spans="2:7" ht="17.45" thickBot="1">
      <c r="B116" s="438"/>
      <c r="C116" s="51" t="s">
        <v>66</v>
      </c>
      <c r="D116" s="51">
        <f>SUM('FY23'!BG$31:BG$34)</f>
        <v>0</v>
      </c>
      <c r="E116" s="51">
        <f>SUM('FY23'!BI$31:BI$34)</f>
        <v>0</v>
      </c>
      <c r="F116" s="51">
        <f>SUM('FY23'!BK$31:BK$34)</f>
        <v>0</v>
      </c>
      <c r="G116" s="51">
        <f t="shared" si="7"/>
        <v>0</v>
      </c>
    </row>
    <row r="117" spans="2:7" ht="17.45" thickBot="1">
      <c r="B117" s="438"/>
      <c r="C117" s="51" t="s">
        <v>67</v>
      </c>
      <c r="D117" s="51">
        <f>SUM('FY23'!BG$39:BG$40)</f>
        <v>6244.4</v>
      </c>
      <c r="E117" s="51">
        <f>SUM('FY23'!BI$39:BI$40)</f>
        <v>4589.2</v>
      </c>
      <c r="F117" s="51">
        <f>SUM('FY23'!BK$39:BK$40)</f>
        <v>704.80000000000007</v>
      </c>
      <c r="G117" s="51">
        <f t="shared" si="7"/>
        <v>11538.399999999998</v>
      </c>
    </row>
    <row r="118" spans="2:7" ht="17.45" thickBot="1">
      <c r="B118" s="438"/>
      <c r="C118" s="51" t="s">
        <v>68</v>
      </c>
      <c r="D118" s="51">
        <f>SUM('FY23'!BG$41:BG$44)</f>
        <v>0</v>
      </c>
      <c r="E118" s="51">
        <f>SUM('FY23'!BI$41:BI$44)</f>
        <v>0</v>
      </c>
      <c r="F118" s="51">
        <f>SUM('FY23'!BK$41:BK$44)</f>
        <v>0</v>
      </c>
      <c r="G118" s="51">
        <f t="shared" si="7"/>
        <v>0</v>
      </c>
    </row>
    <row r="119" spans="2:7" ht="17.45" thickBot="1">
      <c r="B119" s="438"/>
      <c r="C119" s="51" t="s">
        <v>69</v>
      </c>
      <c r="D119" s="51">
        <f>SUM('FY23'!BG$45:BG$64)*0.7</f>
        <v>22126.3</v>
      </c>
      <c r="E119" s="51">
        <f>SUM('FY23'!BI$45:BI$64)*0.7</f>
        <v>13815.199999999999</v>
      </c>
      <c r="F119" s="51">
        <f>SUM('FY23'!BK$45:BK$64)*0.7</f>
        <v>18687.199999999997</v>
      </c>
      <c r="G119" s="51">
        <f t="shared" si="7"/>
        <v>54628.7</v>
      </c>
    </row>
    <row r="120" spans="2:7" ht="17.45" thickBot="1">
      <c r="B120" s="438"/>
      <c r="C120" s="51" t="s">
        <v>70</v>
      </c>
      <c r="D120" s="51">
        <f>SUM('FY23'!BG$35:BG$36)</f>
        <v>0</v>
      </c>
      <c r="E120" s="51">
        <f>SUM('FY23'!BI$35:BI$36)</f>
        <v>0</v>
      </c>
      <c r="F120" s="51">
        <f>SUM('FY23'!BK$35:BK$36)</f>
        <v>0</v>
      </c>
      <c r="G120" s="51">
        <f t="shared" si="7"/>
        <v>0</v>
      </c>
    </row>
    <row r="121" spans="2:7" ht="17.45" thickBot="1">
      <c r="B121" s="438"/>
      <c r="C121" s="51" t="s">
        <v>71</v>
      </c>
      <c r="D121" s="51">
        <f>SUM('FY23'!BG$37:BG$38)</f>
        <v>16940</v>
      </c>
      <c r="E121" s="51">
        <f>SUM('FY23'!BI$37:BI$38)</f>
        <v>55402.400000000001</v>
      </c>
      <c r="F121" s="51">
        <f>SUM('FY23'!BK$37:BK$38)</f>
        <v>21085.599999999999</v>
      </c>
      <c r="G121" s="51">
        <f t="shared" si="7"/>
        <v>93428</v>
      </c>
    </row>
    <row r="122" spans="2:7" ht="17.45" thickBot="1">
      <c r="B122" s="438"/>
      <c r="C122" s="50" t="s">
        <v>72</v>
      </c>
      <c r="D122" s="52"/>
      <c r="E122" s="52"/>
      <c r="F122" s="52"/>
      <c r="G122" s="51">
        <f t="shared" si="7"/>
        <v>0</v>
      </c>
    </row>
    <row r="123" spans="2:7" ht="17.45" thickBot="1">
      <c r="B123" s="439"/>
      <c r="C123" s="53" t="s">
        <v>73</v>
      </c>
      <c r="D123" s="51">
        <f>SUM('FY23'!BG$65:BG$76)</f>
        <v>32921.43</v>
      </c>
      <c r="E123" s="51">
        <f>SUM('FY23'!BI$65:BI$76)</f>
        <v>43914.51</v>
      </c>
      <c r="F123" s="51">
        <f>SUM('FY23'!BK$65:BK$76)</f>
        <v>26237.760000000002</v>
      </c>
      <c r="G123" s="51">
        <f t="shared" si="7"/>
        <v>103073.70000000001</v>
      </c>
    </row>
    <row r="124" spans="2:7" ht="17.45" thickBot="1">
      <c r="B124" s="440" t="s">
        <v>74</v>
      </c>
      <c r="C124" s="51" t="s">
        <v>75</v>
      </c>
      <c r="D124" s="51">
        <f>SUM('FY23'!BG$77:BG$116)*0.75</f>
        <v>419528.98499999999</v>
      </c>
      <c r="E124" s="51">
        <f>SUM('FY23'!BI$77:BI$116)*0.75</f>
        <v>456447.85499999998</v>
      </c>
      <c r="F124" s="51">
        <f>SUM('FY23'!BK$77:BK$116)*0.75</f>
        <v>337261.11749999999</v>
      </c>
      <c r="G124" s="51">
        <f t="shared" si="7"/>
        <v>1213237.9575</v>
      </c>
    </row>
    <row r="125" spans="2:7" ht="17.45" thickBot="1">
      <c r="B125" s="441"/>
      <c r="C125" s="51" t="s">
        <v>69</v>
      </c>
      <c r="D125" s="51">
        <f>SUM('FY23'!BG$45:BG$64)*0.3</f>
        <v>9482.6999999999989</v>
      </c>
      <c r="E125" s="51">
        <f>SUM('FY23'!BI$45:BI$64)*0.3</f>
        <v>5920.8</v>
      </c>
      <c r="F125" s="51">
        <f>SUM('FY23'!BK$45:BK$64)*0.3</f>
        <v>8008.7999999999993</v>
      </c>
      <c r="G125" s="51">
        <f t="shared" si="7"/>
        <v>23412.3</v>
      </c>
    </row>
    <row r="126" spans="2:7" ht="17.45" thickBot="1">
      <c r="B126" s="441"/>
      <c r="C126" s="51" t="s">
        <v>76</v>
      </c>
      <c r="D126" s="51">
        <f>SUM('FY23'!BG$126:BG$167)</f>
        <v>117483.4</v>
      </c>
      <c r="E126" s="51">
        <f>SUM('FY23'!BI$126:BI$167)</f>
        <v>122750</v>
      </c>
      <c r="F126" s="51">
        <f>SUM('FY23'!BK$126:BK$167)</f>
        <v>97568</v>
      </c>
      <c r="G126" s="51">
        <f t="shared" si="7"/>
        <v>337801.4</v>
      </c>
    </row>
    <row r="127" spans="2:7" ht="17.45" thickBot="1">
      <c r="B127" s="441"/>
      <c r="C127" s="51" t="s">
        <v>77</v>
      </c>
      <c r="D127" s="51">
        <f>SUM('FY23'!BG$168:BG$170)</f>
        <v>0</v>
      </c>
      <c r="E127" s="51">
        <f>SUM('FY23'!BI$168:BI$170)</f>
        <v>0</v>
      </c>
      <c r="F127" s="51">
        <f>SUM('FY23'!BK$168:BK$170)</f>
        <v>0</v>
      </c>
      <c r="G127" s="51">
        <f t="shared" si="7"/>
        <v>0</v>
      </c>
    </row>
    <row r="128" spans="2:7" ht="17.45" thickBot="1">
      <c r="B128" s="441"/>
      <c r="C128" s="51" t="s">
        <v>78</v>
      </c>
      <c r="D128" s="51">
        <f>SUM('FY23'!BG$171:BG$182)</f>
        <v>46065.5</v>
      </c>
      <c r="E128" s="51">
        <f>SUM('FY23'!BI$171:BI$182)</f>
        <v>63219</v>
      </c>
      <c r="F128" s="51">
        <f>SUM('FY23'!BK$171:BK$182)</f>
        <v>18576</v>
      </c>
      <c r="G128" s="51">
        <f t="shared" si="7"/>
        <v>127860.5</v>
      </c>
    </row>
    <row r="129" spans="2:7" ht="17.45" thickBot="1">
      <c r="B129" s="441"/>
      <c r="C129" s="51" t="s">
        <v>79</v>
      </c>
      <c r="D129" s="51">
        <f>SUM('FY23'!BG$183:BG$184)</f>
        <v>3863.9999999999995</v>
      </c>
      <c r="E129" s="51">
        <f>SUM('FY23'!BI$183:BI$184)</f>
        <v>2828</v>
      </c>
      <c r="F129" s="51">
        <f>SUM('FY23'!BK$183:BK$184)</f>
        <v>6356</v>
      </c>
      <c r="G129" s="51">
        <f t="shared" si="7"/>
        <v>13048</v>
      </c>
    </row>
    <row r="130" spans="2:7" ht="17.45" thickBot="1">
      <c r="B130" s="441"/>
      <c r="C130" s="51" t="s">
        <v>80</v>
      </c>
      <c r="D130" s="51">
        <f>SUM('FY23'!BG$185:BG$210)</f>
        <v>152552.5</v>
      </c>
      <c r="E130" s="51">
        <f>SUM('FY23'!BI$185:BI$210)</f>
        <v>162588.5</v>
      </c>
      <c r="F130" s="51">
        <f>SUM('FY23'!BK$185:BK$210)</f>
        <v>97078.5</v>
      </c>
      <c r="G130" s="51">
        <f t="shared" si="7"/>
        <v>412219.5</v>
      </c>
    </row>
    <row r="131" spans="2:7" ht="17.45" thickBot="1">
      <c r="B131" s="441"/>
      <c r="C131" s="51" t="s">
        <v>72</v>
      </c>
      <c r="D131" s="51">
        <f>SUM('FY23'!BG228:BG229)</f>
        <v>449.28000000000003</v>
      </c>
      <c r="E131" s="51">
        <f>SUM('FY23'!BI228:BI229)</f>
        <v>0</v>
      </c>
      <c r="F131" s="51">
        <f>SUM('FY23'!BK228:BK229)</f>
        <v>449.28000000000003</v>
      </c>
      <c r="G131" s="51">
        <f t="shared" si="7"/>
        <v>898.56000000000006</v>
      </c>
    </row>
    <row r="132" spans="2:7" ht="17.45" thickBot="1">
      <c r="B132" s="442"/>
      <c r="C132" s="51" t="s">
        <v>73</v>
      </c>
      <c r="D132" s="51">
        <f>SUM('FY23'!BG$211:BG$227)</f>
        <v>0</v>
      </c>
      <c r="E132" s="51">
        <f>SUM('FY23'!BI$211:BI$227)</f>
        <v>0</v>
      </c>
      <c r="F132" s="51">
        <f>SUM('FY23'!BK$211:BK$227)</f>
        <v>0</v>
      </c>
      <c r="G132" s="51">
        <f t="shared" si="7"/>
        <v>0</v>
      </c>
    </row>
    <row r="133" spans="2:7" ht="17.45" thickBot="1">
      <c r="B133" s="46"/>
      <c r="C133" s="46"/>
      <c r="D133" s="46"/>
      <c r="E133" s="46"/>
      <c r="F133" s="46"/>
      <c r="G133" s="54">
        <f>SUM(G112:G132)</f>
        <v>2795559.6700000004</v>
      </c>
    </row>
    <row r="134" spans="2:7">
      <c r="B134" s="46"/>
      <c r="C134" s="46"/>
      <c r="D134" s="46"/>
      <c r="E134" s="46"/>
      <c r="F134" s="46"/>
      <c r="G134" s="46"/>
    </row>
    <row r="135" spans="2:7" ht="17.45" thickBot="1">
      <c r="B135" s="45" t="s">
        <v>95</v>
      </c>
      <c r="C135" s="46"/>
      <c r="D135" s="46"/>
      <c r="E135" s="46"/>
      <c r="F135" s="46"/>
      <c r="G135" s="46"/>
    </row>
    <row r="136" spans="2:7" ht="29.45" thickBot="1">
      <c r="B136" s="118"/>
      <c r="C136" s="48" t="s">
        <v>81</v>
      </c>
      <c r="D136" s="56">
        <v>45139</v>
      </c>
      <c r="E136" s="56">
        <v>45170</v>
      </c>
      <c r="F136" s="56">
        <v>45200</v>
      </c>
      <c r="G136" s="49" t="s">
        <v>96</v>
      </c>
    </row>
    <row r="137" spans="2:7" ht="17.45" thickBot="1">
      <c r="B137" s="436" t="s">
        <v>82</v>
      </c>
      <c r="C137" s="51" t="s">
        <v>83</v>
      </c>
      <c r="D137" s="51"/>
      <c r="E137" s="51"/>
      <c r="F137" s="51"/>
      <c r="G137" s="51"/>
    </row>
    <row r="138" spans="2:7" ht="17.45" thickBot="1">
      <c r="B138" s="436"/>
      <c r="C138" s="51" t="s">
        <v>84</v>
      </c>
      <c r="D138" s="51"/>
      <c r="E138" s="51"/>
      <c r="F138" s="51"/>
      <c r="G138" s="51"/>
    </row>
    <row r="139" spans="2:7" ht="17.45" thickBot="1">
      <c r="B139" s="436"/>
      <c r="C139" s="51" t="s">
        <v>85</v>
      </c>
      <c r="D139" s="51">
        <f>SUM(D112:D132)</f>
        <v>967501.49</v>
      </c>
      <c r="E139" s="51">
        <f t="shared" ref="E139:F139" si="8">SUM(E112:E132)</f>
        <v>1083624.75</v>
      </c>
      <c r="F139" s="51">
        <f t="shared" si="8"/>
        <v>744433.43</v>
      </c>
      <c r="G139" s="51">
        <f t="shared" ref="G139" si="9">SUM(D139:F139)</f>
        <v>2795559.67</v>
      </c>
    </row>
    <row r="140" spans="2:7" ht="17.45" thickBot="1">
      <c r="B140" s="436"/>
      <c r="C140" s="51" t="s">
        <v>86</v>
      </c>
      <c r="D140" s="51"/>
      <c r="E140" s="51"/>
      <c r="F140" s="51"/>
      <c r="G140" s="51"/>
    </row>
    <row r="141" spans="2:7" ht="17.45" thickBot="1">
      <c r="B141" s="436"/>
      <c r="C141" s="51" t="s">
        <v>87</v>
      </c>
      <c r="D141" s="51"/>
      <c r="E141" s="51"/>
      <c r="F141" s="51"/>
      <c r="G141" s="51"/>
    </row>
    <row r="142" spans="2:7" ht="17.45" thickBot="1">
      <c r="B142" s="436"/>
      <c r="C142" s="51" t="s">
        <v>88</v>
      </c>
      <c r="D142" s="51"/>
      <c r="E142" s="51"/>
      <c r="F142" s="51"/>
      <c r="G142" s="51"/>
    </row>
    <row r="143" spans="2:7" ht="17.45" thickBot="1">
      <c r="B143" s="46"/>
      <c r="C143" s="46"/>
      <c r="D143" s="46"/>
      <c r="E143" s="46"/>
      <c r="F143" s="54" t="s">
        <v>89</v>
      </c>
      <c r="G143" s="55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3" type="noConversion"/>
  <pageMargins left="0.7" right="0.7" top="0.75" bottom="0.75" header="0.3" footer="0.3"/>
  <pageSetup orientation="portrait" r:id="rId1"/>
  <ignoredErrors>
    <ignoredError sqref="F15 F24" formulaRange="1"/>
    <ignoredError sqref="F51 D87 E87 F87 D122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2">
    <pageSetUpPr fitToPage="1"/>
  </sheetPr>
  <dimension ref="A1:BM242"/>
  <sheetViews>
    <sheetView zoomScale="55" zoomScaleNormal="55" workbookViewId="0">
      <pane xSplit="14" ySplit="2" topLeftCell="AB3" activePane="bottomRight" state="frozen"/>
      <selection pane="bottomRight" activeCell="R59" sqref="R59"/>
      <selection pane="bottomLeft" activeCell="A3" sqref="A3"/>
      <selection pane="topRight" activeCell="N1" sqref="N1"/>
    </sheetView>
  </sheetViews>
  <sheetFormatPr defaultColWidth="9" defaultRowHeight="14.45"/>
  <cols>
    <col min="1" max="1" width="9" style="251"/>
    <col min="2" max="2" width="9" style="59"/>
    <col min="3" max="3" width="7.5" style="1" customWidth="1"/>
    <col min="4" max="4" width="12.125" style="1" customWidth="1"/>
    <col min="5" max="5" width="11.375" style="1" customWidth="1"/>
    <col min="6" max="6" width="13.375" style="1" customWidth="1"/>
    <col min="7" max="7" width="11.125" style="1" customWidth="1"/>
    <col min="8" max="8" width="23.5" style="1" customWidth="1"/>
    <col min="9" max="9" width="11.5" style="1" customWidth="1"/>
    <col min="10" max="10" width="8.375" style="32" bestFit="1" customWidth="1"/>
    <col min="11" max="11" width="23.125" style="1" customWidth="1"/>
    <col min="12" max="12" width="13" style="1" customWidth="1"/>
    <col min="13" max="26" width="10.5" style="27" customWidth="1"/>
    <col min="27" max="27" width="11.375" style="27" customWidth="1"/>
    <col min="28" max="30" width="11.375" style="3" customWidth="1"/>
    <col min="31" max="39" width="11.375" style="1" customWidth="1"/>
    <col min="40" max="40" width="16.375" style="5" customWidth="1"/>
    <col min="41" max="41" width="16.375" style="6" customWidth="1"/>
    <col min="42" max="42" width="16.375" style="5" customWidth="1"/>
    <col min="43" max="43" width="16.375" style="6" customWidth="1"/>
    <col min="44" max="44" width="16.375" style="5" customWidth="1"/>
    <col min="45" max="45" width="16.375" style="6" customWidth="1"/>
    <col min="46" max="63" width="16.375" style="1" customWidth="1"/>
    <col min="64" max="16384" width="9" style="1"/>
  </cols>
  <sheetData>
    <row r="1" spans="1:65" s="2" customFormat="1" ht="86.85" customHeight="1" thickBot="1">
      <c r="A1" s="249"/>
      <c r="B1" s="57"/>
      <c r="C1" s="57"/>
      <c r="D1" s="57" t="s">
        <v>97</v>
      </c>
      <c r="E1" s="41" t="s">
        <v>98</v>
      </c>
      <c r="F1" s="8"/>
      <c r="G1" s="31" t="s">
        <v>99</v>
      </c>
      <c r="H1" s="29" t="s">
        <v>100</v>
      </c>
      <c r="I1" s="40" t="s">
        <v>101</v>
      </c>
      <c r="J1" s="40" t="s">
        <v>102</v>
      </c>
      <c r="K1" s="40" t="s">
        <v>102</v>
      </c>
      <c r="L1" s="61" t="s">
        <v>103</v>
      </c>
      <c r="M1" s="40" t="s">
        <v>104</v>
      </c>
      <c r="N1" s="19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4"/>
      <c r="AC1" s="4"/>
      <c r="AD1" s="4"/>
      <c r="AN1" s="4"/>
      <c r="AO1" s="4">
        <f>SUM(AO3:AO986)</f>
        <v>571985.43000000005</v>
      </c>
      <c r="AP1" s="4"/>
      <c r="AQ1" s="4">
        <f>SUM(AQ3:AQ986)</f>
        <v>502301.86000000004</v>
      </c>
      <c r="AR1" s="4"/>
      <c r="AS1" s="4">
        <f>SUM(AS3:AS986)</f>
        <v>478294.01</v>
      </c>
      <c r="AU1" s="2">
        <f>SUM(AU3:AU986)</f>
        <v>527397.12000000011</v>
      </c>
      <c r="AW1" s="2">
        <f>SUM(AW3:AW986)</f>
        <v>775016.34000000008</v>
      </c>
      <c r="AY1" s="2">
        <f>SUM(AY3:AY986)</f>
        <v>683472.59</v>
      </c>
      <c r="BA1" s="2">
        <f>SUM(BA3:BA986)</f>
        <v>949563.1100000001</v>
      </c>
      <c r="BC1" s="2">
        <f>SUM(BC3:BC986)</f>
        <v>844037.71000000008</v>
      </c>
      <c r="BE1" s="2">
        <f>SUM(BE3:BE986)</f>
        <v>805668.24000000011</v>
      </c>
      <c r="BG1" s="2">
        <f>SUM(BG3:BG986)</f>
        <v>967501.49000000011</v>
      </c>
      <c r="BI1" s="2">
        <f>SUM(BI3:BI986)</f>
        <v>1083624.75</v>
      </c>
      <c r="BK1" s="2">
        <f>SUM(BK3:BK986)</f>
        <v>744433.43</v>
      </c>
    </row>
    <row r="2" spans="1:65" s="7" customFormat="1" ht="104.85" customHeight="1" thickBot="1">
      <c r="A2" s="151" t="s">
        <v>105</v>
      </c>
      <c r="B2" s="62" t="s">
        <v>106</v>
      </c>
      <c r="C2" s="277" t="s">
        <v>107</v>
      </c>
      <c r="D2" s="58" t="s">
        <v>108</v>
      </c>
      <c r="E2" s="9" t="s">
        <v>59</v>
      </c>
      <c r="F2" s="9" t="s">
        <v>109</v>
      </c>
      <c r="G2" s="30" t="s">
        <v>110</v>
      </c>
      <c r="H2" s="15" t="s">
        <v>111</v>
      </c>
      <c r="I2" s="158" t="s">
        <v>112</v>
      </c>
      <c r="J2" s="159" t="s">
        <v>113</v>
      </c>
      <c r="K2" s="158" t="s">
        <v>114</v>
      </c>
      <c r="L2" s="158" t="s">
        <v>115</v>
      </c>
      <c r="M2" s="160" t="s">
        <v>116</v>
      </c>
      <c r="N2" s="153" t="s">
        <v>117</v>
      </c>
      <c r="O2" s="278" t="s">
        <v>118</v>
      </c>
      <c r="P2" s="278" t="s">
        <v>119</v>
      </c>
      <c r="Q2" s="278" t="s">
        <v>120</v>
      </c>
      <c r="R2" s="278" t="s">
        <v>121</v>
      </c>
      <c r="S2" s="278" t="s">
        <v>122</v>
      </c>
      <c r="T2" s="278" t="s">
        <v>123</v>
      </c>
      <c r="U2" s="278" t="s">
        <v>124</v>
      </c>
      <c r="V2" s="278" t="s">
        <v>125</v>
      </c>
      <c r="W2" s="278" t="s">
        <v>126</v>
      </c>
      <c r="X2" s="278" t="s">
        <v>127</v>
      </c>
      <c r="Y2" s="278" t="s">
        <v>128</v>
      </c>
      <c r="Z2" s="278" t="s">
        <v>129</v>
      </c>
      <c r="AA2" s="153" t="s">
        <v>130</v>
      </c>
      <c r="AB2" s="138" t="s">
        <v>131</v>
      </c>
      <c r="AC2" s="138" t="s">
        <v>132</v>
      </c>
      <c r="AD2" s="138" t="s">
        <v>133</v>
      </c>
      <c r="AE2" s="138" t="s">
        <v>134</v>
      </c>
      <c r="AF2" s="138" t="s">
        <v>135</v>
      </c>
      <c r="AG2" s="138" t="s">
        <v>136</v>
      </c>
      <c r="AH2" s="138" t="s">
        <v>137</v>
      </c>
      <c r="AI2" s="138" t="s">
        <v>138</v>
      </c>
      <c r="AJ2" s="138" t="s">
        <v>139</v>
      </c>
      <c r="AK2" s="138" t="s">
        <v>140</v>
      </c>
      <c r="AL2" s="138" t="s">
        <v>141</v>
      </c>
      <c r="AM2" s="138" t="s">
        <v>142</v>
      </c>
      <c r="AN2" s="155" t="s">
        <v>143</v>
      </c>
      <c r="AO2" s="136" t="s">
        <v>144</v>
      </c>
      <c r="AP2" s="155" t="s">
        <v>145</v>
      </c>
      <c r="AQ2" s="136" t="s">
        <v>146</v>
      </c>
      <c r="AR2" s="136" t="s">
        <v>147</v>
      </c>
      <c r="AS2" s="136" t="s">
        <v>148</v>
      </c>
      <c r="AT2" s="154" t="s">
        <v>149</v>
      </c>
      <c r="AU2" s="139" t="s">
        <v>150</v>
      </c>
      <c r="AV2" s="154" t="s">
        <v>151</v>
      </c>
      <c r="AW2" s="139" t="s">
        <v>152</v>
      </c>
      <c r="AX2" s="139" t="s">
        <v>153</v>
      </c>
      <c r="AY2" s="139" t="s">
        <v>154</v>
      </c>
      <c r="AZ2" s="156" t="s">
        <v>155</v>
      </c>
      <c r="BA2" s="140" t="s">
        <v>156</v>
      </c>
      <c r="BB2" s="156" t="s">
        <v>157</v>
      </c>
      <c r="BC2" s="140" t="s">
        <v>158</v>
      </c>
      <c r="BD2" s="140" t="s">
        <v>159</v>
      </c>
      <c r="BE2" s="140" t="s">
        <v>160</v>
      </c>
      <c r="BF2" s="157" t="s">
        <v>161</v>
      </c>
      <c r="BG2" s="137" t="s">
        <v>162</v>
      </c>
      <c r="BH2" s="157" t="s">
        <v>163</v>
      </c>
      <c r="BI2" s="137" t="s">
        <v>164</v>
      </c>
      <c r="BJ2" s="137" t="s">
        <v>165</v>
      </c>
      <c r="BK2" s="137" t="s">
        <v>166</v>
      </c>
      <c r="BL2" s="279" t="s">
        <v>167</v>
      </c>
      <c r="BM2" s="279" t="s">
        <v>168</v>
      </c>
    </row>
    <row r="3" spans="1:65" ht="17.25" hidden="1" customHeight="1">
      <c r="A3" s="250" t="s">
        <v>105</v>
      </c>
      <c r="C3" s="59"/>
      <c r="D3" s="456" t="s">
        <v>169</v>
      </c>
      <c r="E3" s="42"/>
      <c r="F3" s="446">
        <v>200</v>
      </c>
      <c r="G3" s="65"/>
      <c r="H3" s="66"/>
      <c r="I3" s="66"/>
      <c r="J3" s="95"/>
      <c r="K3" s="66"/>
      <c r="L3" s="66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48"/>
      <c r="AB3" s="247"/>
      <c r="AC3" s="245"/>
      <c r="AD3" s="245"/>
      <c r="AE3" s="141"/>
      <c r="AF3" s="141"/>
      <c r="AG3" s="141"/>
      <c r="AH3" s="141"/>
      <c r="AI3" s="141"/>
      <c r="AJ3" s="141"/>
      <c r="AK3" s="141"/>
      <c r="AL3" s="141"/>
      <c r="AM3" s="141"/>
      <c r="AN3" s="246"/>
      <c r="AO3" s="252">
        <f>AB3*AN3</f>
        <v>0</v>
      </c>
      <c r="AP3" s="246"/>
      <c r="AQ3" s="252">
        <f>AC3*AP3</f>
        <v>0</v>
      </c>
      <c r="AR3" s="246"/>
      <c r="AS3" s="252">
        <f>AD3*AR3</f>
        <v>0</v>
      </c>
      <c r="AT3" s="244"/>
      <c r="AU3" s="253">
        <f>AE3*AT3</f>
        <v>0</v>
      </c>
      <c r="AV3" s="243"/>
      <c r="AW3" s="253">
        <f>AF3*AV3</f>
        <v>0</v>
      </c>
      <c r="AX3" s="243"/>
      <c r="AY3" s="253">
        <f>AG3*AX3</f>
        <v>0</v>
      </c>
      <c r="AZ3" s="243"/>
      <c r="BA3" s="253">
        <f>AH3*AZ3</f>
        <v>0</v>
      </c>
      <c r="BB3" s="243"/>
      <c r="BC3" s="253">
        <f>AI3*BB3</f>
        <v>0</v>
      </c>
      <c r="BD3" s="243"/>
      <c r="BE3" s="253">
        <f>AJ3*BD3</f>
        <v>0</v>
      </c>
      <c r="BF3" s="243"/>
      <c r="BG3" s="253">
        <f>AK3*BF3</f>
        <v>0</v>
      </c>
      <c r="BH3" s="243"/>
      <c r="BI3" s="253">
        <f>AL3*BH3</f>
        <v>0</v>
      </c>
      <c r="BJ3" s="243"/>
      <c r="BK3" s="253">
        <f>AM3*BJ3</f>
        <v>0</v>
      </c>
    </row>
    <row r="4" spans="1:65" ht="17.25" hidden="1" customHeight="1">
      <c r="A4" s="250" t="s">
        <v>105</v>
      </c>
      <c r="C4" s="59"/>
      <c r="D4" s="457"/>
      <c r="E4" s="43"/>
      <c r="F4" s="447"/>
      <c r="G4" s="67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64"/>
      <c r="AC4" s="6"/>
      <c r="AD4" s="6"/>
      <c r="AN4" s="168"/>
      <c r="AO4" s="252">
        <f t="shared" ref="AO4:AO67" si="0">AB4*AN4</f>
        <v>0</v>
      </c>
      <c r="AP4" s="168"/>
      <c r="AQ4" s="252">
        <f t="shared" ref="AQ4:AQ67" si="1">AC4*AP4</f>
        <v>0</v>
      </c>
      <c r="AR4" s="185"/>
      <c r="AS4" s="252">
        <f t="shared" ref="AS4:AS67" si="2">AD4*AR4</f>
        <v>0</v>
      </c>
      <c r="AT4" s="167"/>
      <c r="AU4" s="253">
        <f t="shared" ref="AU4:AU67" si="3">AE4*AT4</f>
        <v>0</v>
      </c>
      <c r="AV4" s="74"/>
      <c r="AW4" s="253">
        <f t="shared" ref="AW4:AW67" si="4">AF4*AV4</f>
        <v>0</v>
      </c>
      <c r="AX4" s="74"/>
      <c r="AY4" s="253">
        <f t="shared" ref="AY4:AY67" si="5">AG4*AX4</f>
        <v>0</v>
      </c>
      <c r="AZ4" s="74"/>
      <c r="BA4" s="253">
        <f t="shared" ref="BA4:BA67" si="6">AH4*AZ4</f>
        <v>0</v>
      </c>
      <c r="BB4" s="74"/>
      <c r="BC4" s="253">
        <f t="shared" ref="BC4:BC67" si="7">AI4*BB4</f>
        <v>0</v>
      </c>
      <c r="BD4" s="74"/>
      <c r="BE4" s="253">
        <f t="shared" ref="BE4:BE67" si="8">AJ4*BD4</f>
        <v>0</v>
      </c>
      <c r="BF4" s="74"/>
      <c r="BG4" s="253">
        <f t="shared" ref="BG4:BG67" si="9">AK4*BF4</f>
        <v>0</v>
      </c>
      <c r="BH4" s="74"/>
      <c r="BI4" s="253">
        <f t="shared" ref="BI4:BI67" si="10">AL4*BH4</f>
        <v>0</v>
      </c>
      <c r="BJ4" s="74"/>
      <c r="BK4" s="253">
        <f t="shared" ref="BK4:BK67" si="11">AM4*BJ4</f>
        <v>0</v>
      </c>
    </row>
    <row r="5" spans="1:65" ht="15" hidden="1" customHeight="1" thickBot="1">
      <c r="A5" s="250" t="s">
        <v>105</v>
      </c>
      <c r="C5" s="59"/>
      <c r="D5" s="457"/>
      <c r="E5" s="43"/>
      <c r="F5" s="448"/>
      <c r="G5" s="67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N5" s="168"/>
      <c r="AO5" s="252">
        <f t="shared" si="0"/>
        <v>0</v>
      </c>
      <c r="AP5" s="168"/>
      <c r="AQ5" s="252">
        <f t="shared" si="1"/>
        <v>0</v>
      </c>
      <c r="AR5" s="168"/>
      <c r="AS5" s="252">
        <f t="shared" si="2"/>
        <v>0</v>
      </c>
      <c r="AT5" s="167"/>
      <c r="AU5" s="253">
        <f t="shared" si="3"/>
        <v>0</v>
      </c>
      <c r="AV5" s="74"/>
      <c r="AW5" s="253">
        <f t="shared" si="4"/>
        <v>0</v>
      </c>
      <c r="AX5" s="74"/>
      <c r="AY5" s="253">
        <f t="shared" si="5"/>
        <v>0</v>
      </c>
      <c r="AZ5" s="74"/>
      <c r="BA5" s="253">
        <f t="shared" si="6"/>
        <v>0</v>
      </c>
      <c r="BB5" s="74"/>
      <c r="BC5" s="253">
        <f t="shared" si="7"/>
        <v>0</v>
      </c>
      <c r="BD5" s="74"/>
      <c r="BE5" s="253">
        <f t="shared" si="8"/>
        <v>0</v>
      </c>
      <c r="BF5" s="74"/>
      <c r="BG5" s="253">
        <f t="shared" si="9"/>
        <v>0</v>
      </c>
      <c r="BH5" s="74"/>
      <c r="BI5" s="253">
        <f t="shared" si="10"/>
        <v>0</v>
      </c>
      <c r="BJ5" s="74"/>
      <c r="BK5" s="253">
        <f t="shared" si="11"/>
        <v>0</v>
      </c>
    </row>
    <row r="6" spans="1:65" ht="17.25" hidden="1" customHeight="1">
      <c r="A6" s="250" t="s">
        <v>105</v>
      </c>
      <c r="C6" s="59"/>
      <c r="D6" s="457"/>
      <c r="E6" s="43"/>
      <c r="F6" s="446">
        <v>400</v>
      </c>
      <c r="G6" s="68"/>
      <c r="H6" s="69"/>
      <c r="I6" s="69"/>
      <c r="J6" s="96"/>
      <c r="K6" s="69"/>
      <c r="L6" s="69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36"/>
      <c r="AC6" s="236"/>
      <c r="AD6" s="236"/>
      <c r="AE6" s="176"/>
      <c r="AF6" s="176"/>
      <c r="AG6" s="176"/>
      <c r="AH6" s="176"/>
      <c r="AI6" s="176"/>
      <c r="AJ6" s="176"/>
      <c r="AK6" s="176"/>
      <c r="AL6" s="176"/>
      <c r="AM6" s="176"/>
      <c r="AN6" s="174"/>
      <c r="AO6" s="252">
        <f t="shared" si="0"/>
        <v>0</v>
      </c>
      <c r="AP6" s="174"/>
      <c r="AQ6" s="252">
        <f t="shared" si="1"/>
        <v>0</v>
      </c>
      <c r="AR6" s="174"/>
      <c r="AS6" s="252">
        <f t="shared" si="2"/>
        <v>0</v>
      </c>
      <c r="AT6" s="205"/>
      <c r="AU6" s="253">
        <f t="shared" si="3"/>
        <v>0</v>
      </c>
      <c r="AV6" s="177"/>
      <c r="AW6" s="253">
        <f t="shared" si="4"/>
        <v>0</v>
      </c>
      <c r="AX6" s="177"/>
      <c r="AY6" s="253">
        <f t="shared" si="5"/>
        <v>0</v>
      </c>
      <c r="AZ6" s="177"/>
      <c r="BA6" s="253">
        <f t="shared" si="6"/>
        <v>0</v>
      </c>
      <c r="BB6" s="177"/>
      <c r="BC6" s="253">
        <f t="shared" si="7"/>
        <v>0</v>
      </c>
      <c r="BD6" s="177"/>
      <c r="BE6" s="253">
        <f t="shared" si="8"/>
        <v>0</v>
      </c>
      <c r="BF6" s="177"/>
      <c r="BG6" s="253">
        <f t="shared" si="9"/>
        <v>0</v>
      </c>
      <c r="BH6" s="177"/>
      <c r="BI6" s="253">
        <f t="shared" si="10"/>
        <v>0</v>
      </c>
      <c r="BJ6" s="177"/>
      <c r="BK6" s="253">
        <f t="shared" si="11"/>
        <v>0</v>
      </c>
    </row>
    <row r="7" spans="1:65" ht="17.25" hidden="1" customHeight="1">
      <c r="A7" s="250" t="s">
        <v>105</v>
      </c>
      <c r="C7" s="59"/>
      <c r="D7" s="457"/>
      <c r="E7" s="43"/>
      <c r="F7" s="447"/>
      <c r="G7" s="67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6"/>
      <c r="AC7" s="6"/>
      <c r="AD7" s="6"/>
      <c r="AN7" s="168"/>
      <c r="AO7" s="252">
        <f t="shared" si="0"/>
        <v>0</v>
      </c>
      <c r="AP7" s="168"/>
      <c r="AQ7" s="252">
        <f t="shared" si="1"/>
        <v>0</v>
      </c>
      <c r="AR7" s="185"/>
      <c r="AS7" s="252">
        <f t="shared" si="2"/>
        <v>0</v>
      </c>
      <c r="AT7" s="167"/>
      <c r="AU7" s="253">
        <f t="shared" si="3"/>
        <v>0</v>
      </c>
      <c r="AV7" s="74"/>
      <c r="AW7" s="253">
        <f t="shared" si="4"/>
        <v>0</v>
      </c>
      <c r="AX7" s="74"/>
      <c r="AY7" s="253">
        <f t="shared" si="5"/>
        <v>0</v>
      </c>
      <c r="AZ7" s="74"/>
      <c r="BA7" s="253">
        <f t="shared" si="6"/>
        <v>0</v>
      </c>
      <c r="BB7" s="74"/>
      <c r="BC7" s="253">
        <f t="shared" si="7"/>
        <v>0</v>
      </c>
      <c r="BD7" s="74"/>
      <c r="BE7" s="253">
        <f t="shared" si="8"/>
        <v>0</v>
      </c>
      <c r="BF7" s="74"/>
      <c r="BG7" s="253">
        <f t="shared" si="9"/>
        <v>0</v>
      </c>
      <c r="BH7" s="74"/>
      <c r="BI7" s="253">
        <f t="shared" si="10"/>
        <v>0</v>
      </c>
      <c r="BJ7" s="74"/>
      <c r="BK7" s="253">
        <f t="shared" si="11"/>
        <v>0</v>
      </c>
    </row>
    <row r="8" spans="1:65" ht="15" hidden="1" customHeight="1">
      <c r="A8" s="250" t="s">
        <v>105</v>
      </c>
      <c r="C8" s="59"/>
      <c r="D8" s="457"/>
      <c r="E8" s="43"/>
      <c r="F8" s="447"/>
      <c r="G8" s="67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6"/>
      <c r="AC8" s="6"/>
      <c r="AD8" s="6"/>
      <c r="AN8" s="168"/>
      <c r="AO8" s="252">
        <f t="shared" si="0"/>
        <v>0</v>
      </c>
      <c r="AP8" s="168"/>
      <c r="AQ8" s="252">
        <f t="shared" si="1"/>
        <v>0</v>
      </c>
      <c r="AR8" s="168"/>
      <c r="AS8" s="252">
        <f t="shared" si="2"/>
        <v>0</v>
      </c>
      <c r="AT8" s="167"/>
      <c r="AU8" s="253">
        <f t="shared" si="3"/>
        <v>0</v>
      </c>
      <c r="AV8" s="74"/>
      <c r="AW8" s="253">
        <f t="shared" si="4"/>
        <v>0</v>
      </c>
      <c r="AX8" s="74"/>
      <c r="AY8" s="253">
        <f t="shared" si="5"/>
        <v>0</v>
      </c>
      <c r="AZ8" s="74"/>
      <c r="BA8" s="253">
        <f t="shared" si="6"/>
        <v>0</v>
      </c>
      <c r="BB8" s="74"/>
      <c r="BC8" s="253">
        <f t="shared" si="7"/>
        <v>0</v>
      </c>
      <c r="BD8" s="74"/>
      <c r="BE8" s="253">
        <f t="shared" si="8"/>
        <v>0</v>
      </c>
      <c r="BF8" s="74"/>
      <c r="BG8" s="253">
        <f t="shared" si="9"/>
        <v>0</v>
      </c>
      <c r="BH8" s="74"/>
      <c r="BI8" s="253">
        <f t="shared" si="10"/>
        <v>0</v>
      </c>
      <c r="BJ8" s="74"/>
      <c r="BK8" s="253">
        <f t="shared" si="11"/>
        <v>0</v>
      </c>
    </row>
    <row r="9" spans="1:65" ht="15" hidden="1" customHeight="1">
      <c r="A9" s="250" t="s">
        <v>105</v>
      </c>
      <c r="C9" s="59"/>
      <c r="D9" s="457"/>
      <c r="E9" s="43"/>
      <c r="F9" s="447"/>
      <c r="G9" s="67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6"/>
      <c r="AC9" s="6"/>
      <c r="AD9" s="6"/>
      <c r="AN9" s="168"/>
      <c r="AO9" s="252">
        <f t="shared" si="0"/>
        <v>0</v>
      </c>
      <c r="AP9" s="168"/>
      <c r="AQ9" s="252">
        <f t="shared" si="1"/>
        <v>0</v>
      </c>
      <c r="AR9" s="168"/>
      <c r="AS9" s="252">
        <f t="shared" si="2"/>
        <v>0</v>
      </c>
      <c r="AT9" s="167"/>
      <c r="AU9" s="253">
        <f t="shared" si="3"/>
        <v>0</v>
      </c>
      <c r="AV9" s="74"/>
      <c r="AW9" s="253">
        <f t="shared" si="4"/>
        <v>0</v>
      </c>
      <c r="AX9" s="74"/>
      <c r="AY9" s="253">
        <f t="shared" si="5"/>
        <v>0</v>
      </c>
      <c r="AZ9" s="74"/>
      <c r="BA9" s="253">
        <f t="shared" si="6"/>
        <v>0</v>
      </c>
      <c r="BB9" s="74"/>
      <c r="BC9" s="253">
        <f t="shared" si="7"/>
        <v>0</v>
      </c>
      <c r="BD9" s="74"/>
      <c r="BE9" s="253">
        <f t="shared" si="8"/>
        <v>0</v>
      </c>
      <c r="BF9" s="74"/>
      <c r="BG9" s="253">
        <f t="shared" si="9"/>
        <v>0</v>
      </c>
      <c r="BH9" s="74"/>
      <c r="BI9" s="253">
        <f t="shared" si="10"/>
        <v>0</v>
      </c>
      <c r="BJ9" s="74"/>
      <c r="BK9" s="253">
        <f t="shared" si="11"/>
        <v>0</v>
      </c>
    </row>
    <row r="10" spans="1:65" ht="15" hidden="1" customHeight="1">
      <c r="A10" s="250" t="s">
        <v>105</v>
      </c>
      <c r="C10" s="59"/>
      <c r="D10" s="457"/>
      <c r="E10" s="43"/>
      <c r="F10" s="447"/>
      <c r="G10" s="67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6"/>
      <c r="AC10" s="6"/>
      <c r="AD10" s="6"/>
      <c r="AN10" s="168"/>
      <c r="AO10" s="252">
        <f t="shared" si="0"/>
        <v>0</v>
      </c>
      <c r="AP10" s="168"/>
      <c r="AQ10" s="252">
        <f t="shared" si="1"/>
        <v>0</v>
      </c>
      <c r="AR10" s="168"/>
      <c r="AS10" s="252">
        <f t="shared" si="2"/>
        <v>0</v>
      </c>
      <c r="AT10" s="167"/>
      <c r="AU10" s="253">
        <f t="shared" si="3"/>
        <v>0</v>
      </c>
      <c r="AV10" s="74"/>
      <c r="AW10" s="253">
        <f t="shared" si="4"/>
        <v>0</v>
      </c>
      <c r="AX10" s="74"/>
      <c r="AY10" s="253">
        <f t="shared" si="5"/>
        <v>0</v>
      </c>
      <c r="AZ10" s="74"/>
      <c r="BA10" s="253">
        <f t="shared" si="6"/>
        <v>0</v>
      </c>
      <c r="BB10" s="74"/>
      <c r="BC10" s="253">
        <f t="shared" si="7"/>
        <v>0</v>
      </c>
      <c r="BD10" s="74"/>
      <c r="BE10" s="253">
        <f t="shared" si="8"/>
        <v>0</v>
      </c>
      <c r="BF10" s="74"/>
      <c r="BG10" s="253">
        <f t="shared" si="9"/>
        <v>0</v>
      </c>
      <c r="BH10" s="74"/>
      <c r="BI10" s="253">
        <f t="shared" si="10"/>
        <v>0</v>
      </c>
      <c r="BJ10" s="74"/>
      <c r="BK10" s="253">
        <f t="shared" si="11"/>
        <v>0</v>
      </c>
    </row>
    <row r="11" spans="1:65" ht="15" hidden="1" customHeight="1">
      <c r="A11" s="250" t="s">
        <v>105</v>
      </c>
      <c r="C11" s="59"/>
      <c r="D11" s="457"/>
      <c r="E11" s="43"/>
      <c r="F11" s="447"/>
      <c r="G11" s="67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N11" s="168"/>
      <c r="AO11" s="252">
        <f t="shared" si="0"/>
        <v>0</v>
      </c>
      <c r="AP11" s="168"/>
      <c r="AQ11" s="252">
        <f t="shared" si="1"/>
        <v>0</v>
      </c>
      <c r="AR11" s="168"/>
      <c r="AS11" s="252">
        <f t="shared" si="2"/>
        <v>0</v>
      </c>
      <c r="AT11" s="167"/>
      <c r="AU11" s="253">
        <f t="shared" si="3"/>
        <v>0</v>
      </c>
      <c r="AV11" s="74"/>
      <c r="AW11" s="253">
        <f t="shared" si="4"/>
        <v>0</v>
      </c>
      <c r="AX11" s="74"/>
      <c r="AY11" s="253">
        <f t="shared" si="5"/>
        <v>0</v>
      </c>
      <c r="AZ11" s="74"/>
      <c r="BA11" s="253">
        <f t="shared" si="6"/>
        <v>0</v>
      </c>
      <c r="BB11" s="74"/>
      <c r="BC11" s="253">
        <f t="shared" si="7"/>
        <v>0</v>
      </c>
      <c r="BD11" s="74"/>
      <c r="BE11" s="253">
        <f t="shared" si="8"/>
        <v>0</v>
      </c>
      <c r="BF11" s="74"/>
      <c r="BG11" s="253">
        <f t="shared" si="9"/>
        <v>0</v>
      </c>
      <c r="BH11" s="74"/>
      <c r="BI11" s="253">
        <f t="shared" si="10"/>
        <v>0</v>
      </c>
      <c r="BJ11" s="74"/>
      <c r="BK11" s="253">
        <f t="shared" si="11"/>
        <v>0</v>
      </c>
    </row>
    <row r="12" spans="1:65" ht="15" hidden="1" customHeight="1">
      <c r="A12" s="250" t="s">
        <v>105</v>
      </c>
      <c r="C12" s="59"/>
      <c r="D12" s="457"/>
      <c r="E12" s="43"/>
      <c r="F12" s="447"/>
      <c r="G12" s="67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N12" s="168"/>
      <c r="AO12" s="252">
        <f t="shared" si="0"/>
        <v>0</v>
      </c>
      <c r="AP12" s="168"/>
      <c r="AQ12" s="252">
        <f t="shared" si="1"/>
        <v>0</v>
      </c>
      <c r="AR12" s="168"/>
      <c r="AS12" s="252">
        <f t="shared" si="2"/>
        <v>0</v>
      </c>
      <c r="AT12" s="167"/>
      <c r="AU12" s="253">
        <f t="shared" si="3"/>
        <v>0</v>
      </c>
      <c r="AV12" s="74"/>
      <c r="AW12" s="253">
        <f t="shared" si="4"/>
        <v>0</v>
      </c>
      <c r="AX12" s="74"/>
      <c r="AY12" s="253">
        <f t="shared" si="5"/>
        <v>0</v>
      </c>
      <c r="AZ12" s="74"/>
      <c r="BA12" s="253">
        <f t="shared" si="6"/>
        <v>0</v>
      </c>
      <c r="BB12" s="74"/>
      <c r="BC12" s="253">
        <f t="shared" si="7"/>
        <v>0</v>
      </c>
      <c r="BD12" s="74"/>
      <c r="BE12" s="253">
        <f t="shared" si="8"/>
        <v>0</v>
      </c>
      <c r="BF12" s="74"/>
      <c r="BG12" s="253">
        <f t="shared" si="9"/>
        <v>0</v>
      </c>
      <c r="BH12" s="74"/>
      <c r="BI12" s="253">
        <f t="shared" si="10"/>
        <v>0</v>
      </c>
      <c r="BJ12" s="74"/>
      <c r="BK12" s="253">
        <f t="shared" si="11"/>
        <v>0</v>
      </c>
    </row>
    <row r="13" spans="1:65" ht="15" hidden="1" customHeight="1" thickBot="1">
      <c r="A13" s="250" t="s">
        <v>105</v>
      </c>
      <c r="C13" s="59"/>
      <c r="D13" s="457"/>
      <c r="E13" s="43"/>
      <c r="F13" s="448"/>
      <c r="G13" s="75"/>
      <c r="H13" s="78"/>
      <c r="I13" s="78"/>
      <c r="J13" s="97"/>
      <c r="K13" s="78"/>
      <c r="L13" s="78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4"/>
      <c r="AC13" s="234"/>
      <c r="AD13" s="234"/>
      <c r="AE13" s="78"/>
      <c r="AF13" s="78"/>
      <c r="AG13" s="78"/>
      <c r="AH13" s="78"/>
      <c r="AI13" s="78"/>
      <c r="AJ13" s="78"/>
      <c r="AK13" s="78"/>
      <c r="AL13" s="78"/>
      <c r="AM13" s="78"/>
      <c r="AN13" s="166"/>
      <c r="AO13" s="252">
        <f t="shared" si="0"/>
        <v>0</v>
      </c>
      <c r="AP13" s="166"/>
      <c r="AQ13" s="252">
        <f t="shared" si="1"/>
        <v>0</v>
      </c>
      <c r="AR13" s="166"/>
      <c r="AS13" s="252">
        <f t="shared" si="2"/>
        <v>0</v>
      </c>
      <c r="AT13" s="164"/>
      <c r="AU13" s="253">
        <f t="shared" si="3"/>
        <v>0</v>
      </c>
      <c r="AV13" s="76"/>
      <c r="AW13" s="253">
        <f t="shared" si="4"/>
        <v>0</v>
      </c>
      <c r="AX13" s="76"/>
      <c r="AY13" s="253">
        <f t="shared" si="5"/>
        <v>0</v>
      </c>
      <c r="AZ13" s="76"/>
      <c r="BA13" s="253">
        <f t="shared" si="6"/>
        <v>0</v>
      </c>
      <c r="BB13" s="76"/>
      <c r="BC13" s="253">
        <f t="shared" si="7"/>
        <v>0</v>
      </c>
      <c r="BD13" s="76"/>
      <c r="BE13" s="253">
        <f t="shared" si="8"/>
        <v>0</v>
      </c>
      <c r="BF13" s="76"/>
      <c r="BG13" s="253">
        <f t="shared" si="9"/>
        <v>0</v>
      </c>
      <c r="BH13" s="76"/>
      <c r="BI13" s="253">
        <f t="shared" si="10"/>
        <v>0</v>
      </c>
      <c r="BJ13" s="76"/>
      <c r="BK13" s="253">
        <f t="shared" si="11"/>
        <v>0</v>
      </c>
    </row>
    <row r="14" spans="1:65" ht="17.25" hidden="1" customHeight="1">
      <c r="A14" s="250" t="s">
        <v>105</v>
      </c>
      <c r="C14" s="59"/>
      <c r="D14" s="457"/>
      <c r="E14" s="43"/>
      <c r="F14" s="470">
        <v>600</v>
      </c>
      <c r="G14" s="68"/>
      <c r="H14" s="69"/>
      <c r="I14" s="69"/>
      <c r="J14" s="96"/>
      <c r="K14" s="69"/>
      <c r="L14" s="69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D14" s="236"/>
      <c r="AN14" s="168"/>
      <c r="AO14" s="252">
        <f t="shared" si="0"/>
        <v>0</v>
      </c>
      <c r="AP14" s="168"/>
      <c r="AQ14" s="252">
        <f t="shared" si="1"/>
        <v>0</v>
      </c>
      <c r="AR14" s="174"/>
      <c r="AS14" s="252">
        <f t="shared" si="2"/>
        <v>0</v>
      </c>
      <c r="AT14" s="167"/>
      <c r="AU14" s="253">
        <f t="shared" si="3"/>
        <v>0</v>
      </c>
      <c r="AV14" s="74"/>
      <c r="AW14" s="253">
        <f t="shared" si="4"/>
        <v>0</v>
      </c>
      <c r="AX14" s="74"/>
      <c r="AY14" s="253">
        <f t="shared" si="5"/>
        <v>0</v>
      </c>
      <c r="AZ14" s="74"/>
      <c r="BA14" s="253">
        <f t="shared" si="6"/>
        <v>0</v>
      </c>
      <c r="BB14" s="74"/>
      <c r="BC14" s="253">
        <f t="shared" si="7"/>
        <v>0</v>
      </c>
      <c r="BD14" s="74"/>
      <c r="BE14" s="253">
        <f t="shared" si="8"/>
        <v>0</v>
      </c>
      <c r="BF14" s="74"/>
      <c r="BG14" s="253">
        <f t="shared" si="9"/>
        <v>0</v>
      </c>
      <c r="BH14" s="74"/>
      <c r="BI14" s="253">
        <f t="shared" si="10"/>
        <v>0</v>
      </c>
      <c r="BJ14" s="74"/>
      <c r="BK14" s="253">
        <f t="shared" si="11"/>
        <v>0</v>
      </c>
    </row>
    <row r="15" spans="1:65" ht="15" hidden="1" customHeight="1">
      <c r="A15" s="250" t="s">
        <v>105</v>
      </c>
      <c r="C15" s="59"/>
      <c r="D15" s="457"/>
      <c r="E15" s="43"/>
      <c r="F15" s="447"/>
      <c r="G15" s="67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N15" s="168"/>
      <c r="AO15" s="252">
        <f t="shared" si="0"/>
        <v>0</v>
      </c>
      <c r="AP15" s="168"/>
      <c r="AQ15" s="252">
        <f t="shared" si="1"/>
        <v>0</v>
      </c>
      <c r="AR15" s="168"/>
      <c r="AS15" s="252">
        <f t="shared" si="2"/>
        <v>0</v>
      </c>
      <c r="AT15" s="167"/>
      <c r="AU15" s="253">
        <f t="shared" si="3"/>
        <v>0</v>
      </c>
      <c r="AV15" s="74"/>
      <c r="AW15" s="253">
        <f t="shared" si="4"/>
        <v>0</v>
      </c>
      <c r="AX15" s="74"/>
      <c r="AY15" s="253">
        <f t="shared" si="5"/>
        <v>0</v>
      </c>
      <c r="AZ15" s="74"/>
      <c r="BA15" s="253">
        <f t="shared" si="6"/>
        <v>0</v>
      </c>
      <c r="BB15" s="74"/>
      <c r="BC15" s="253">
        <f t="shared" si="7"/>
        <v>0</v>
      </c>
      <c r="BD15" s="74"/>
      <c r="BE15" s="253">
        <f t="shared" si="8"/>
        <v>0</v>
      </c>
      <c r="BF15" s="74"/>
      <c r="BG15" s="253">
        <f t="shared" si="9"/>
        <v>0</v>
      </c>
      <c r="BH15" s="74"/>
      <c r="BI15" s="253">
        <f t="shared" si="10"/>
        <v>0</v>
      </c>
      <c r="BJ15" s="74"/>
      <c r="BK15" s="253">
        <f t="shared" si="11"/>
        <v>0</v>
      </c>
    </row>
    <row r="16" spans="1:65" ht="15" hidden="1" customHeight="1">
      <c r="A16" s="250" t="s">
        <v>105</v>
      </c>
      <c r="C16" s="59"/>
      <c r="D16" s="457"/>
      <c r="E16" s="43"/>
      <c r="F16" s="447"/>
      <c r="G16" s="67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N16" s="168"/>
      <c r="AO16" s="252">
        <f t="shared" si="0"/>
        <v>0</v>
      </c>
      <c r="AP16" s="168"/>
      <c r="AQ16" s="252">
        <f t="shared" si="1"/>
        <v>0</v>
      </c>
      <c r="AR16" s="168"/>
      <c r="AS16" s="252">
        <f t="shared" si="2"/>
        <v>0</v>
      </c>
      <c r="AT16" s="167"/>
      <c r="AU16" s="253">
        <f t="shared" si="3"/>
        <v>0</v>
      </c>
      <c r="AV16" s="74"/>
      <c r="AW16" s="253">
        <f t="shared" si="4"/>
        <v>0</v>
      </c>
      <c r="AX16" s="74"/>
      <c r="AY16" s="253">
        <f t="shared" si="5"/>
        <v>0</v>
      </c>
      <c r="AZ16" s="74"/>
      <c r="BA16" s="253">
        <f t="shared" si="6"/>
        <v>0</v>
      </c>
      <c r="BB16" s="74"/>
      <c r="BC16" s="253">
        <f t="shared" si="7"/>
        <v>0</v>
      </c>
      <c r="BD16" s="74"/>
      <c r="BE16" s="253">
        <f t="shared" si="8"/>
        <v>0</v>
      </c>
      <c r="BF16" s="74"/>
      <c r="BG16" s="253">
        <f t="shared" si="9"/>
        <v>0</v>
      </c>
      <c r="BH16" s="74"/>
      <c r="BI16" s="253">
        <f t="shared" si="10"/>
        <v>0</v>
      </c>
      <c r="BJ16" s="74"/>
      <c r="BK16" s="253">
        <f t="shared" si="11"/>
        <v>0</v>
      </c>
    </row>
    <row r="17" spans="1:63" ht="15" hidden="1" customHeight="1">
      <c r="A17" s="250" t="s">
        <v>105</v>
      </c>
      <c r="C17" s="59"/>
      <c r="D17" s="457"/>
      <c r="E17" s="43"/>
      <c r="F17" s="447"/>
      <c r="G17" s="67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N17" s="168"/>
      <c r="AO17" s="252">
        <f t="shared" si="0"/>
        <v>0</v>
      </c>
      <c r="AP17" s="168"/>
      <c r="AQ17" s="252">
        <f t="shared" si="1"/>
        <v>0</v>
      </c>
      <c r="AR17" s="168"/>
      <c r="AS17" s="252">
        <f t="shared" si="2"/>
        <v>0</v>
      </c>
      <c r="AT17" s="167"/>
      <c r="AU17" s="253">
        <f t="shared" si="3"/>
        <v>0</v>
      </c>
      <c r="AV17" s="74"/>
      <c r="AW17" s="253">
        <f t="shared" si="4"/>
        <v>0</v>
      </c>
      <c r="AX17" s="74"/>
      <c r="AY17" s="253">
        <f t="shared" si="5"/>
        <v>0</v>
      </c>
      <c r="AZ17" s="74"/>
      <c r="BA17" s="253">
        <f t="shared" si="6"/>
        <v>0</v>
      </c>
      <c r="BB17" s="74"/>
      <c r="BC17" s="253">
        <f t="shared" si="7"/>
        <v>0</v>
      </c>
      <c r="BD17" s="74"/>
      <c r="BE17" s="253">
        <f t="shared" si="8"/>
        <v>0</v>
      </c>
      <c r="BF17" s="74"/>
      <c r="BG17" s="253">
        <f t="shared" si="9"/>
        <v>0</v>
      </c>
      <c r="BH17" s="74"/>
      <c r="BI17" s="253">
        <f t="shared" si="10"/>
        <v>0</v>
      </c>
      <c r="BJ17" s="74"/>
      <c r="BK17" s="253">
        <f t="shared" si="11"/>
        <v>0</v>
      </c>
    </row>
    <row r="18" spans="1:63" ht="15" hidden="1" customHeight="1">
      <c r="A18" s="250" t="s">
        <v>105</v>
      </c>
      <c r="C18" s="59"/>
      <c r="D18" s="457"/>
      <c r="E18" s="43"/>
      <c r="F18" s="447"/>
      <c r="G18" s="67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N18" s="168"/>
      <c r="AO18" s="252">
        <f t="shared" si="0"/>
        <v>0</v>
      </c>
      <c r="AP18" s="168"/>
      <c r="AQ18" s="252">
        <f t="shared" si="1"/>
        <v>0</v>
      </c>
      <c r="AR18" s="168"/>
      <c r="AS18" s="252">
        <f t="shared" si="2"/>
        <v>0</v>
      </c>
      <c r="AT18" s="167"/>
      <c r="AU18" s="253">
        <f t="shared" si="3"/>
        <v>0</v>
      </c>
      <c r="AV18" s="74"/>
      <c r="AW18" s="253">
        <f t="shared" si="4"/>
        <v>0</v>
      </c>
      <c r="AX18" s="74"/>
      <c r="AY18" s="253">
        <f t="shared" si="5"/>
        <v>0</v>
      </c>
      <c r="AZ18" s="74"/>
      <c r="BA18" s="253">
        <f t="shared" si="6"/>
        <v>0</v>
      </c>
      <c r="BB18" s="74"/>
      <c r="BC18" s="253">
        <f t="shared" si="7"/>
        <v>0</v>
      </c>
      <c r="BD18" s="74"/>
      <c r="BE18" s="253">
        <f t="shared" si="8"/>
        <v>0</v>
      </c>
      <c r="BF18" s="74"/>
      <c r="BG18" s="253">
        <f t="shared" si="9"/>
        <v>0</v>
      </c>
      <c r="BH18" s="74"/>
      <c r="BI18" s="253">
        <f t="shared" si="10"/>
        <v>0</v>
      </c>
      <c r="BJ18" s="74"/>
      <c r="BK18" s="253">
        <f t="shared" si="11"/>
        <v>0</v>
      </c>
    </row>
    <row r="19" spans="1:63" ht="15" hidden="1" customHeight="1" thickBot="1">
      <c r="A19" s="250" t="s">
        <v>105</v>
      </c>
      <c r="C19" s="59"/>
      <c r="D19" s="457"/>
      <c r="E19" s="43"/>
      <c r="F19" s="448"/>
      <c r="G19" s="75"/>
      <c r="H19" s="78"/>
      <c r="I19" s="78"/>
      <c r="J19" s="97"/>
      <c r="K19" s="78"/>
      <c r="L19" s="78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4"/>
      <c r="AC19" s="234"/>
      <c r="AD19" s="234"/>
      <c r="AN19" s="166"/>
      <c r="AO19" s="252">
        <f t="shared" si="0"/>
        <v>0</v>
      </c>
      <c r="AP19" s="166"/>
      <c r="AQ19" s="252">
        <f t="shared" si="1"/>
        <v>0</v>
      </c>
      <c r="AR19" s="166"/>
      <c r="AS19" s="252">
        <f t="shared" si="2"/>
        <v>0</v>
      </c>
      <c r="AT19" s="167"/>
      <c r="AU19" s="253">
        <f t="shared" si="3"/>
        <v>0</v>
      </c>
      <c r="AV19" s="74"/>
      <c r="AW19" s="253">
        <f t="shared" si="4"/>
        <v>0</v>
      </c>
      <c r="AX19" s="74"/>
      <c r="AY19" s="253">
        <f t="shared" si="5"/>
        <v>0</v>
      </c>
      <c r="AZ19" s="74"/>
      <c r="BA19" s="253">
        <f t="shared" si="6"/>
        <v>0</v>
      </c>
      <c r="BB19" s="74"/>
      <c r="BC19" s="253">
        <f t="shared" si="7"/>
        <v>0</v>
      </c>
      <c r="BD19" s="74"/>
      <c r="BE19" s="253">
        <f t="shared" si="8"/>
        <v>0</v>
      </c>
      <c r="BF19" s="74"/>
      <c r="BG19" s="253">
        <f t="shared" si="9"/>
        <v>0</v>
      </c>
      <c r="BH19" s="74"/>
      <c r="BI19" s="253">
        <f t="shared" si="10"/>
        <v>0</v>
      </c>
      <c r="BJ19" s="74"/>
      <c r="BK19" s="253">
        <f t="shared" si="11"/>
        <v>0</v>
      </c>
    </row>
    <row r="20" spans="1:63" ht="17.25" hidden="1" customHeight="1">
      <c r="A20" s="250" t="s">
        <v>105</v>
      </c>
      <c r="C20" s="59"/>
      <c r="D20" s="457"/>
      <c r="E20" s="43"/>
      <c r="F20" s="470">
        <v>800</v>
      </c>
      <c r="G20" s="68"/>
      <c r="H20" s="69"/>
      <c r="I20" s="69"/>
      <c r="J20" s="96"/>
      <c r="K20" s="69"/>
      <c r="L20" s="69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36"/>
      <c r="AC20" s="236"/>
      <c r="AD20" s="23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4"/>
      <c r="AO20" s="252">
        <f t="shared" si="0"/>
        <v>0</v>
      </c>
      <c r="AP20" s="174"/>
      <c r="AQ20" s="252">
        <f t="shared" si="1"/>
        <v>0</v>
      </c>
      <c r="AR20" s="174"/>
      <c r="AS20" s="252">
        <f t="shared" si="2"/>
        <v>0</v>
      </c>
      <c r="AT20" s="205"/>
      <c r="AU20" s="253">
        <f t="shared" si="3"/>
        <v>0</v>
      </c>
      <c r="AV20" s="177"/>
      <c r="AW20" s="253">
        <f t="shared" si="4"/>
        <v>0</v>
      </c>
      <c r="AX20" s="177"/>
      <c r="AY20" s="253">
        <f t="shared" si="5"/>
        <v>0</v>
      </c>
      <c r="AZ20" s="177"/>
      <c r="BA20" s="253">
        <f t="shared" si="6"/>
        <v>0</v>
      </c>
      <c r="BB20" s="177"/>
      <c r="BC20" s="253">
        <f t="shared" si="7"/>
        <v>0</v>
      </c>
      <c r="BD20" s="177"/>
      <c r="BE20" s="253">
        <f t="shared" si="8"/>
        <v>0</v>
      </c>
      <c r="BF20" s="177"/>
      <c r="BG20" s="253">
        <f t="shared" si="9"/>
        <v>0</v>
      </c>
      <c r="BH20" s="177"/>
      <c r="BI20" s="253">
        <f t="shared" si="10"/>
        <v>0</v>
      </c>
      <c r="BJ20" s="177"/>
      <c r="BK20" s="253">
        <f t="shared" si="11"/>
        <v>0</v>
      </c>
    </row>
    <row r="21" spans="1:63" ht="15" hidden="1" customHeight="1">
      <c r="A21" s="250" t="s">
        <v>105</v>
      </c>
      <c r="C21" s="59"/>
      <c r="D21" s="457"/>
      <c r="E21" s="43"/>
      <c r="F21" s="471"/>
      <c r="G21" s="67"/>
      <c r="H21" s="70"/>
      <c r="I21" s="98"/>
      <c r="J21" s="98"/>
      <c r="K21" s="98"/>
      <c r="L21" s="98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6"/>
      <c r="AC21" s="6"/>
      <c r="AD21" s="6"/>
      <c r="AN21" s="168"/>
      <c r="AO21" s="252">
        <f t="shared" si="0"/>
        <v>0</v>
      </c>
      <c r="AP21" s="168"/>
      <c r="AQ21" s="252">
        <f t="shared" si="1"/>
        <v>0</v>
      </c>
      <c r="AR21" s="168"/>
      <c r="AS21" s="252">
        <f t="shared" si="2"/>
        <v>0</v>
      </c>
      <c r="AT21" s="167"/>
      <c r="AU21" s="253">
        <f t="shared" si="3"/>
        <v>0</v>
      </c>
      <c r="AV21" s="74"/>
      <c r="AW21" s="253">
        <f t="shared" si="4"/>
        <v>0</v>
      </c>
      <c r="AX21" s="74"/>
      <c r="AY21" s="253">
        <f t="shared" si="5"/>
        <v>0</v>
      </c>
      <c r="AZ21" s="74"/>
      <c r="BA21" s="253">
        <f t="shared" si="6"/>
        <v>0</v>
      </c>
      <c r="BB21" s="74"/>
      <c r="BC21" s="253">
        <f t="shared" si="7"/>
        <v>0</v>
      </c>
      <c r="BD21" s="74"/>
      <c r="BE21" s="253">
        <f t="shared" si="8"/>
        <v>0</v>
      </c>
      <c r="BF21" s="74"/>
      <c r="BG21" s="253">
        <f t="shared" si="9"/>
        <v>0</v>
      </c>
      <c r="BH21" s="74"/>
      <c r="BI21" s="253">
        <f t="shared" si="10"/>
        <v>0</v>
      </c>
      <c r="BJ21" s="74"/>
      <c r="BK21" s="253">
        <f t="shared" si="11"/>
        <v>0</v>
      </c>
    </row>
    <row r="22" spans="1:63" ht="15" hidden="1" customHeight="1">
      <c r="A22" s="250" t="s">
        <v>105</v>
      </c>
      <c r="C22" s="59"/>
      <c r="D22" s="457"/>
      <c r="E22" s="43"/>
      <c r="F22" s="471"/>
      <c r="G22" s="67"/>
      <c r="H22" s="70"/>
      <c r="I22" s="99"/>
      <c r="J22" s="98"/>
      <c r="K22" s="99"/>
      <c r="L22" s="99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6"/>
      <c r="AC22" s="6"/>
      <c r="AD22" s="6"/>
      <c r="AN22" s="168"/>
      <c r="AO22" s="252">
        <f t="shared" si="0"/>
        <v>0</v>
      </c>
      <c r="AP22" s="168"/>
      <c r="AQ22" s="252">
        <f t="shared" si="1"/>
        <v>0</v>
      </c>
      <c r="AR22" s="168"/>
      <c r="AS22" s="252">
        <f t="shared" si="2"/>
        <v>0</v>
      </c>
      <c r="AT22" s="167"/>
      <c r="AU22" s="253">
        <f t="shared" si="3"/>
        <v>0</v>
      </c>
      <c r="AV22" s="74"/>
      <c r="AW22" s="253">
        <f t="shared" si="4"/>
        <v>0</v>
      </c>
      <c r="AX22" s="74"/>
      <c r="AY22" s="253">
        <f t="shared" si="5"/>
        <v>0</v>
      </c>
      <c r="AZ22" s="74"/>
      <c r="BA22" s="253">
        <f t="shared" si="6"/>
        <v>0</v>
      </c>
      <c r="BB22" s="74"/>
      <c r="BC22" s="253">
        <f t="shared" si="7"/>
        <v>0</v>
      </c>
      <c r="BD22" s="74"/>
      <c r="BE22" s="253">
        <f t="shared" si="8"/>
        <v>0</v>
      </c>
      <c r="BF22" s="74"/>
      <c r="BG22" s="253">
        <f t="shared" si="9"/>
        <v>0</v>
      </c>
      <c r="BH22" s="74"/>
      <c r="BI22" s="253">
        <f t="shared" si="10"/>
        <v>0</v>
      </c>
      <c r="BJ22" s="74"/>
      <c r="BK22" s="253">
        <f t="shared" si="11"/>
        <v>0</v>
      </c>
    </row>
    <row r="23" spans="1:63" ht="15" hidden="1" customHeight="1">
      <c r="A23" s="250" t="s">
        <v>105</v>
      </c>
      <c r="C23" s="59"/>
      <c r="D23" s="457"/>
      <c r="E23" s="43"/>
      <c r="F23" s="471"/>
      <c r="G23" s="67"/>
      <c r="H23" s="71"/>
      <c r="I23" s="100"/>
      <c r="J23" s="101"/>
      <c r="K23" s="100"/>
      <c r="L23" s="100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6"/>
      <c r="AC23" s="6"/>
      <c r="AD23" s="6"/>
      <c r="AN23" s="168"/>
      <c r="AO23" s="252">
        <f t="shared" si="0"/>
        <v>0</v>
      </c>
      <c r="AP23" s="168"/>
      <c r="AQ23" s="252">
        <f t="shared" si="1"/>
        <v>0</v>
      </c>
      <c r="AR23" s="168"/>
      <c r="AS23" s="252">
        <f t="shared" si="2"/>
        <v>0</v>
      </c>
      <c r="AT23" s="167"/>
      <c r="AU23" s="253">
        <f t="shared" si="3"/>
        <v>0</v>
      </c>
      <c r="AV23" s="74"/>
      <c r="AW23" s="253">
        <f t="shared" si="4"/>
        <v>0</v>
      </c>
      <c r="AX23" s="74"/>
      <c r="AY23" s="253">
        <f t="shared" si="5"/>
        <v>0</v>
      </c>
      <c r="AZ23" s="74"/>
      <c r="BA23" s="253">
        <f t="shared" si="6"/>
        <v>0</v>
      </c>
      <c r="BB23" s="74"/>
      <c r="BC23" s="253">
        <f t="shared" si="7"/>
        <v>0</v>
      </c>
      <c r="BD23" s="74"/>
      <c r="BE23" s="253">
        <f t="shared" si="8"/>
        <v>0</v>
      </c>
      <c r="BF23" s="74"/>
      <c r="BG23" s="253">
        <f t="shared" si="9"/>
        <v>0</v>
      </c>
      <c r="BH23" s="74"/>
      <c r="BI23" s="253">
        <f t="shared" si="10"/>
        <v>0</v>
      </c>
      <c r="BJ23" s="74"/>
      <c r="BK23" s="253">
        <f t="shared" si="11"/>
        <v>0</v>
      </c>
    </row>
    <row r="24" spans="1:63" ht="15" hidden="1" customHeight="1">
      <c r="A24" s="250" t="s">
        <v>105</v>
      </c>
      <c r="C24" s="59"/>
      <c r="D24" s="457"/>
      <c r="E24" s="43"/>
      <c r="F24" s="471"/>
      <c r="G24" s="67"/>
      <c r="J24" s="102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6"/>
      <c r="AC24" s="6"/>
      <c r="AD24" s="6"/>
      <c r="AN24" s="168"/>
      <c r="AO24" s="252">
        <f t="shared" si="0"/>
        <v>0</v>
      </c>
      <c r="AP24" s="168"/>
      <c r="AQ24" s="252">
        <f t="shared" si="1"/>
        <v>0</v>
      </c>
      <c r="AR24" s="168"/>
      <c r="AS24" s="252">
        <f t="shared" si="2"/>
        <v>0</v>
      </c>
      <c r="AT24" s="167"/>
      <c r="AU24" s="253">
        <f t="shared" si="3"/>
        <v>0</v>
      </c>
      <c r="AV24" s="74"/>
      <c r="AW24" s="253">
        <f t="shared" si="4"/>
        <v>0</v>
      </c>
      <c r="AX24" s="74"/>
      <c r="AY24" s="253">
        <f t="shared" si="5"/>
        <v>0</v>
      </c>
      <c r="AZ24" s="74"/>
      <c r="BA24" s="253">
        <f t="shared" si="6"/>
        <v>0</v>
      </c>
      <c r="BB24" s="74"/>
      <c r="BC24" s="253">
        <f t="shared" si="7"/>
        <v>0</v>
      </c>
      <c r="BD24" s="74"/>
      <c r="BE24" s="253">
        <f t="shared" si="8"/>
        <v>0</v>
      </c>
      <c r="BF24" s="74"/>
      <c r="BG24" s="253">
        <f t="shared" si="9"/>
        <v>0</v>
      </c>
      <c r="BH24" s="74"/>
      <c r="BI24" s="253">
        <f t="shared" si="10"/>
        <v>0</v>
      </c>
      <c r="BJ24" s="74"/>
      <c r="BK24" s="253">
        <f t="shared" si="11"/>
        <v>0</v>
      </c>
    </row>
    <row r="25" spans="1:63" ht="15" hidden="1" customHeight="1">
      <c r="A25" s="250" t="s">
        <v>105</v>
      </c>
      <c r="C25" s="59"/>
      <c r="D25" s="457"/>
      <c r="E25" s="43"/>
      <c r="F25" s="471"/>
      <c r="G25" s="67"/>
      <c r="J25" s="102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6"/>
      <c r="AC25" s="6"/>
      <c r="AD25" s="6"/>
      <c r="AN25" s="168"/>
      <c r="AO25" s="252">
        <f t="shared" si="0"/>
        <v>0</v>
      </c>
      <c r="AP25" s="168"/>
      <c r="AQ25" s="252">
        <f t="shared" si="1"/>
        <v>0</v>
      </c>
      <c r="AR25" s="168"/>
      <c r="AS25" s="252">
        <f t="shared" si="2"/>
        <v>0</v>
      </c>
      <c r="AT25" s="167"/>
      <c r="AU25" s="253">
        <f t="shared" si="3"/>
        <v>0</v>
      </c>
      <c r="AV25" s="74"/>
      <c r="AW25" s="253">
        <f t="shared" si="4"/>
        <v>0</v>
      </c>
      <c r="AX25" s="74"/>
      <c r="AY25" s="253">
        <f t="shared" si="5"/>
        <v>0</v>
      </c>
      <c r="AZ25" s="74"/>
      <c r="BA25" s="253">
        <f t="shared" si="6"/>
        <v>0</v>
      </c>
      <c r="BB25" s="74"/>
      <c r="BC25" s="253">
        <f t="shared" si="7"/>
        <v>0</v>
      </c>
      <c r="BD25" s="74"/>
      <c r="BE25" s="253">
        <f t="shared" si="8"/>
        <v>0</v>
      </c>
      <c r="BF25" s="74"/>
      <c r="BG25" s="253">
        <f t="shared" si="9"/>
        <v>0</v>
      </c>
      <c r="BH25" s="74"/>
      <c r="BI25" s="253">
        <f t="shared" si="10"/>
        <v>0</v>
      </c>
      <c r="BJ25" s="74"/>
      <c r="BK25" s="253">
        <f t="shared" si="11"/>
        <v>0</v>
      </c>
    </row>
    <row r="26" spans="1:63" ht="15" hidden="1" customHeight="1">
      <c r="A26" s="250" t="s">
        <v>105</v>
      </c>
      <c r="C26" s="59"/>
      <c r="D26" s="457"/>
      <c r="E26" s="43"/>
      <c r="F26" s="471"/>
      <c r="G26" s="67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6"/>
      <c r="AC26" s="6"/>
      <c r="AD26" s="6"/>
      <c r="AN26" s="168"/>
      <c r="AO26" s="252">
        <f t="shared" si="0"/>
        <v>0</v>
      </c>
      <c r="AP26" s="168"/>
      <c r="AQ26" s="252">
        <f t="shared" si="1"/>
        <v>0</v>
      </c>
      <c r="AR26" s="168"/>
      <c r="AS26" s="252">
        <f t="shared" si="2"/>
        <v>0</v>
      </c>
      <c r="AT26" s="167"/>
      <c r="AU26" s="253">
        <f t="shared" si="3"/>
        <v>0</v>
      </c>
      <c r="AV26" s="74"/>
      <c r="AW26" s="253">
        <f t="shared" si="4"/>
        <v>0</v>
      </c>
      <c r="AX26" s="74"/>
      <c r="AY26" s="253">
        <f t="shared" si="5"/>
        <v>0</v>
      </c>
      <c r="AZ26" s="74"/>
      <c r="BA26" s="253">
        <f t="shared" si="6"/>
        <v>0</v>
      </c>
      <c r="BB26" s="74"/>
      <c r="BC26" s="253">
        <f t="shared" si="7"/>
        <v>0</v>
      </c>
      <c r="BD26" s="74"/>
      <c r="BE26" s="253">
        <f t="shared" si="8"/>
        <v>0</v>
      </c>
      <c r="BF26" s="74"/>
      <c r="BG26" s="253">
        <f t="shared" si="9"/>
        <v>0</v>
      </c>
      <c r="BH26" s="74"/>
      <c r="BI26" s="253">
        <f t="shared" si="10"/>
        <v>0</v>
      </c>
      <c r="BJ26" s="74"/>
      <c r="BK26" s="253">
        <f t="shared" si="11"/>
        <v>0</v>
      </c>
    </row>
    <row r="27" spans="1:63" ht="15" hidden="1" customHeight="1">
      <c r="A27" s="250" t="s">
        <v>105</v>
      </c>
      <c r="C27" s="59"/>
      <c r="D27" s="457"/>
      <c r="E27" s="43"/>
      <c r="F27" s="471"/>
      <c r="G27" s="67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6"/>
      <c r="AC27" s="6"/>
      <c r="AD27" s="6"/>
      <c r="AN27" s="168"/>
      <c r="AO27" s="252">
        <f t="shared" si="0"/>
        <v>0</v>
      </c>
      <c r="AP27" s="168"/>
      <c r="AQ27" s="252">
        <f t="shared" si="1"/>
        <v>0</v>
      </c>
      <c r="AR27" s="168"/>
      <c r="AS27" s="252">
        <f t="shared" si="2"/>
        <v>0</v>
      </c>
      <c r="AT27" s="167"/>
      <c r="AU27" s="253">
        <f t="shared" si="3"/>
        <v>0</v>
      </c>
      <c r="AV27" s="74"/>
      <c r="AW27" s="253">
        <f t="shared" si="4"/>
        <v>0</v>
      </c>
      <c r="AX27" s="74"/>
      <c r="AY27" s="253">
        <f t="shared" si="5"/>
        <v>0</v>
      </c>
      <c r="AZ27" s="74"/>
      <c r="BA27" s="253">
        <f t="shared" si="6"/>
        <v>0</v>
      </c>
      <c r="BB27" s="74"/>
      <c r="BC27" s="253">
        <f t="shared" si="7"/>
        <v>0</v>
      </c>
      <c r="BD27" s="74"/>
      <c r="BE27" s="253">
        <f t="shared" si="8"/>
        <v>0</v>
      </c>
      <c r="BF27" s="74"/>
      <c r="BG27" s="253">
        <f t="shared" si="9"/>
        <v>0</v>
      </c>
      <c r="BH27" s="74"/>
      <c r="BI27" s="253">
        <f t="shared" si="10"/>
        <v>0</v>
      </c>
      <c r="BJ27" s="74"/>
      <c r="BK27" s="253">
        <f t="shared" si="11"/>
        <v>0</v>
      </c>
    </row>
    <row r="28" spans="1:63" ht="15" hidden="1" customHeight="1">
      <c r="A28" s="250" t="s">
        <v>105</v>
      </c>
      <c r="C28" s="59"/>
      <c r="D28" s="457"/>
      <c r="E28" s="43"/>
      <c r="F28" s="471"/>
      <c r="G28" s="67"/>
      <c r="H28" s="79"/>
      <c r="I28" s="79"/>
      <c r="J28" s="103"/>
      <c r="K28" s="79"/>
      <c r="L28" s="79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6"/>
      <c r="AC28" s="6"/>
      <c r="AD28" s="6"/>
      <c r="AN28" s="168"/>
      <c r="AO28" s="252">
        <f t="shared" si="0"/>
        <v>0</v>
      </c>
      <c r="AP28" s="168"/>
      <c r="AQ28" s="252">
        <f t="shared" si="1"/>
        <v>0</v>
      </c>
      <c r="AR28" s="168"/>
      <c r="AS28" s="252">
        <f t="shared" si="2"/>
        <v>0</v>
      </c>
      <c r="AT28" s="167"/>
      <c r="AU28" s="253">
        <f t="shared" si="3"/>
        <v>0</v>
      </c>
      <c r="AV28" s="74"/>
      <c r="AW28" s="253">
        <f t="shared" si="4"/>
        <v>0</v>
      </c>
      <c r="AX28" s="74"/>
      <c r="AY28" s="253">
        <f t="shared" si="5"/>
        <v>0</v>
      </c>
      <c r="AZ28" s="74"/>
      <c r="BA28" s="253">
        <f t="shared" si="6"/>
        <v>0</v>
      </c>
      <c r="BB28" s="74"/>
      <c r="BC28" s="253">
        <f t="shared" si="7"/>
        <v>0</v>
      </c>
      <c r="BD28" s="74"/>
      <c r="BE28" s="253">
        <f t="shared" si="8"/>
        <v>0</v>
      </c>
      <c r="BF28" s="74"/>
      <c r="BG28" s="253">
        <f t="shared" si="9"/>
        <v>0</v>
      </c>
      <c r="BH28" s="74"/>
      <c r="BI28" s="253">
        <f t="shared" si="10"/>
        <v>0</v>
      </c>
      <c r="BJ28" s="74"/>
      <c r="BK28" s="253">
        <f t="shared" si="11"/>
        <v>0</v>
      </c>
    </row>
    <row r="29" spans="1:63" ht="15" hidden="1" customHeight="1">
      <c r="A29" s="250" t="s">
        <v>105</v>
      </c>
      <c r="C29" s="59"/>
      <c r="D29" s="457"/>
      <c r="E29" s="43"/>
      <c r="F29" s="471"/>
      <c r="G29" s="67"/>
      <c r="J29" s="102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N29" s="168"/>
      <c r="AO29" s="252">
        <f t="shared" si="0"/>
        <v>0</v>
      </c>
      <c r="AP29" s="168"/>
      <c r="AQ29" s="252">
        <f t="shared" si="1"/>
        <v>0</v>
      </c>
      <c r="AR29" s="168"/>
      <c r="AS29" s="252">
        <f t="shared" si="2"/>
        <v>0</v>
      </c>
      <c r="AT29" s="167"/>
      <c r="AU29" s="253">
        <f t="shared" si="3"/>
        <v>0</v>
      </c>
      <c r="AV29" s="74"/>
      <c r="AW29" s="253">
        <f t="shared" si="4"/>
        <v>0</v>
      </c>
      <c r="AX29" s="74"/>
      <c r="AY29" s="253">
        <f t="shared" si="5"/>
        <v>0</v>
      </c>
      <c r="AZ29" s="74"/>
      <c r="BA29" s="253">
        <f t="shared" si="6"/>
        <v>0</v>
      </c>
      <c r="BB29" s="74"/>
      <c r="BC29" s="253">
        <f t="shared" si="7"/>
        <v>0</v>
      </c>
      <c r="BD29" s="74"/>
      <c r="BE29" s="253">
        <f t="shared" si="8"/>
        <v>0</v>
      </c>
      <c r="BF29" s="74"/>
      <c r="BG29" s="253">
        <f t="shared" si="9"/>
        <v>0</v>
      </c>
      <c r="BH29" s="74"/>
      <c r="BI29" s="253">
        <f t="shared" si="10"/>
        <v>0</v>
      </c>
      <c r="BJ29" s="74"/>
      <c r="BK29" s="253">
        <f t="shared" si="11"/>
        <v>0</v>
      </c>
    </row>
    <row r="30" spans="1:63" ht="15" hidden="1" customHeight="1" thickBot="1">
      <c r="A30" s="250" t="s">
        <v>105</v>
      </c>
      <c r="C30" s="59"/>
      <c r="D30" s="457"/>
      <c r="E30" s="43"/>
      <c r="F30" s="471"/>
      <c r="G30" s="75"/>
      <c r="H30" s="78"/>
      <c r="I30" s="78"/>
      <c r="J30" s="104"/>
      <c r="K30" s="78"/>
      <c r="L30" s="78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4"/>
      <c r="AC30" s="234"/>
      <c r="AD30" s="234"/>
      <c r="AE30" s="78"/>
      <c r="AF30" s="78"/>
      <c r="AG30" s="78"/>
      <c r="AH30" s="78"/>
      <c r="AI30" s="78"/>
      <c r="AJ30" s="78"/>
      <c r="AK30" s="78"/>
      <c r="AL30" s="78"/>
      <c r="AM30" s="78"/>
      <c r="AN30" s="166"/>
      <c r="AO30" s="252">
        <f t="shared" si="0"/>
        <v>0</v>
      </c>
      <c r="AP30" s="166"/>
      <c r="AQ30" s="252">
        <f t="shared" si="1"/>
        <v>0</v>
      </c>
      <c r="AR30" s="166"/>
      <c r="AS30" s="252">
        <f t="shared" si="2"/>
        <v>0</v>
      </c>
      <c r="AT30" s="164"/>
      <c r="AU30" s="253">
        <f t="shared" si="3"/>
        <v>0</v>
      </c>
      <c r="AV30" s="76"/>
      <c r="AW30" s="253">
        <f t="shared" si="4"/>
        <v>0</v>
      </c>
      <c r="AX30" s="76"/>
      <c r="AY30" s="253">
        <f t="shared" si="5"/>
        <v>0</v>
      </c>
      <c r="AZ30" s="76"/>
      <c r="BA30" s="253">
        <f t="shared" si="6"/>
        <v>0</v>
      </c>
      <c r="BB30" s="76"/>
      <c r="BC30" s="253">
        <f t="shared" si="7"/>
        <v>0</v>
      </c>
      <c r="BD30" s="76"/>
      <c r="BE30" s="253">
        <f t="shared" si="8"/>
        <v>0</v>
      </c>
      <c r="BF30" s="76"/>
      <c r="BG30" s="253">
        <f t="shared" si="9"/>
        <v>0</v>
      </c>
      <c r="BH30" s="76"/>
      <c r="BI30" s="253">
        <f t="shared" si="10"/>
        <v>0</v>
      </c>
      <c r="BJ30" s="76"/>
      <c r="BK30" s="253">
        <f t="shared" si="11"/>
        <v>0</v>
      </c>
    </row>
    <row r="31" spans="1:63" ht="14.85" hidden="1" customHeight="1">
      <c r="A31" s="250" t="s">
        <v>105</v>
      </c>
      <c r="C31" s="59"/>
      <c r="D31" s="457"/>
      <c r="E31" s="43"/>
      <c r="F31" s="462">
        <v>1000</v>
      </c>
      <c r="G31" s="68"/>
      <c r="H31" s="69"/>
      <c r="I31" s="69"/>
      <c r="J31" s="96"/>
      <c r="K31" s="69"/>
      <c r="L31" s="69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36"/>
      <c r="AC31" s="236"/>
      <c r="AD31" s="236"/>
      <c r="AN31" s="174"/>
      <c r="AO31" s="252">
        <f t="shared" si="0"/>
        <v>0</v>
      </c>
      <c r="AP31" s="174"/>
      <c r="AQ31" s="252">
        <f t="shared" si="1"/>
        <v>0</v>
      </c>
      <c r="AR31" s="174"/>
      <c r="AS31" s="252">
        <f t="shared" si="2"/>
        <v>0</v>
      </c>
      <c r="AT31" s="167"/>
      <c r="AU31" s="253">
        <f t="shared" si="3"/>
        <v>0</v>
      </c>
      <c r="AV31" s="74"/>
      <c r="AW31" s="253">
        <f t="shared" si="4"/>
        <v>0</v>
      </c>
      <c r="AX31" s="74"/>
      <c r="AY31" s="253">
        <f t="shared" si="5"/>
        <v>0</v>
      </c>
      <c r="AZ31" s="74"/>
      <c r="BA31" s="253">
        <f t="shared" si="6"/>
        <v>0</v>
      </c>
      <c r="BB31" s="74"/>
      <c r="BC31" s="253">
        <f t="shared" si="7"/>
        <v>0</v>
      </c>
      <c r="BD31" s="74"/>
      <c r="BE31" s="253">
        <f t="shared" si="8"/>
        <v>0</v>
      </c>
      <c r="BF31" s="74"/>
      <c r="BG31" s="253">
        <f t="shared" si="9"/>
        <v>0</v>
      </c>
      <c r="BH31" s="74"/>
      <c r="BI31" s="253">
        <f t="shared" si="10"/>
        <v>0</v>
      </c>
      <c r="BJ31" s="74"/>
      <c r="BK31" s="253">
        <f t="shared" si="11"/>
        <v>0</v>
      </c>
    </row>
    <row r="32" spans="1:63" ht="15" hidden="1" customHeight="1">
      <c r="A32" s="250" t="s">
        <v>105</v>
      </c>
      <c r="C32" s="59"/>
      <c r="D32" s="457"/>
      <c r="E32" s="43"/>
      <c r="F32" s="463"/>
      <c r="G32" s="67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N32" s="168"/>
      <c r="AO32" s="252">
        <f t="shared" si="0"/>
        <v>0</v>
      </c>
      <c r="AP32" s="168"/>
      <c r="AQ32" s="252">
        <f t="shared" si="1"/>
        <v>0</v>
      </c>
      <c r="AR32" s="168"/>
      <c r="AS32" s="252">
        <f t="shared" si="2"/>
        <v>0</v>
      </c>
      <c r="AT32" s="167"/>
      <c r="AU32" s="253">
        <f t="shared" si="3"/>
        <v>0</v>
      </c>
      <c r="AV32" s="74"/>
      <c r="AW32" s="253">
        <f t="shared" si="4"/>
        <v>0</v>
      </c>
      <c r="AX32" s="74"/>
      <c r="AY32" s="253">
        <f t="shared" si="5"/>
        <v>0</v>
      </c>
      <c r="AZ32" s="74"/>
      <c r="BA32" s="253">
        <f t="shared" si="6"/>
        <v>0</v>
      </c>
      <c r="BB32" s="74"/>
      <c r="BC32" s="253">
        <f t="shared" si="7"/>
        <v>0</v>
      </c>
      <c r="BD32" s="74"/>
      <c r="BE32" s="253">
        <f t="shared" si="8"/>
        <v>0</v>
      </c>
      <c r="BF32" s="74"/>
      <c r="BG32" s="253">
        <f t="shared" si="9"/>
        <v>0</v>
      </c>
      <c r="BH32" s="74"/>
      <c r="BI32" s="253">
        <f t="shared" si="10"/>
        <v>0</v>
      </c>
      <c r="BJ32" s="74"/>
      <c r="BK32" s="253">
        <f t="shared" si="11"/>
        <v>0</v>
      </c>
    </row>
    <row r="33" spans="1:63" ht="15" hidden="1" customHeight="1">
      <c r="A33" s="250" t="s">
        <v>105</v>
      </c>
      <c r="C33" s="59"/>
      <c r="D33" s="457"/>
      <c r="E33" s="43"/>
      <c r="F33" s="463"/>
      <c r="G33" s="67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6"/>
      <c r="AC33" s="6"/>
      <c r="AD33" s="6"/>
      <c r="AN33" s="168"/>
      <c r="AO33" s="252">
        <f t="shared" si="0"/>
        <v>0</v>
      </c>
      <c r="AP33" s="242"/>
      <c r="AQ33" s="252">
        <f t="shared" si="1"/>
        <v>0</v>
      </c>
      <c r="AR33" s="185"/>
      <c r="AS33" s="252">
        <f t="shared" si="2"/>
        <v>0</v>
      </c>
      <c r="AT33" s="167"/>
      <c r="AU33" s="253">
        <f t="shared" si="3"/>
        <v>0</v>
      </c>
      <c r="AV33" s="74"/>
      <c r="AW33" s="253">
        <f t="shared" si="4"/>
        <v>0</v>
      </c>
      <c r="AX33" s="74"/>
      <c r="AY33" s="253">
        <f t="shared" si="5"/>
        <v>0</v>
      </c>
      <c r="AZ33" s="74"/>
      <c r="BA33" s="253">
        <f t="shared" si="6"/>
        <v>0</v>
      </c>
      <c r="BB33" s="74"/>
      <c r="BC33" s="253">
        <f t="shared" si="7"/>
        <v>0</v>
      </c>
      <c r="BD33" s="74"/>
      <c r="BE33" s="253">
        <f t="shared" si="8"/>
        <v>0</v>
      </c>
      <c r="BF33" s="74"/>
      <c r="BG33" s="253">
        <f t="shared" si="9"/>
        <v>0</v>
      </c>
      <c r="BH33" s="74"/>
      <c r="BI33" s="253">
        <f t="shared" si="10"/>
        <v>0</v>
      </c>
      <c r="BJ33" s="74"/>
      <c r="BK33" s="253">
        <f t="shared" si="11"/>
        <v>0</v>
      </c>
    </row>
    <row r="34" spans="1:63" ht="15" hidden="1" customHeight="1" thickBot="1">
      <c r="A34" s="250" t="s">
        <v>105</v>
      </c>
      <c r="C34" s="59"/>
      <c r="D34" s="457"/>
      <c r="E34" s="43"/>
      <c r="F34" s="464"/>
      <c r="G34" s="75"/>
      <c r="H34" s="78"/>
      <c r="I34" s="78"/>
      <c r="J34" s="97"/>
      <c r="K34" s="78"/>
      <c r="L34" s="78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65"/>
      <c r="AC34" s="165"/>
      <c r="AD34" s="165"/>
      <c r="AN34" s="166"/>
      <c r="AO34" s="252">
        <f t="shared" si="0"/>
        <v>0</v>
      </c>
      <c r="AP34" s="166"/>
      <c r="AQ34" s="252">
        <f t="shared" si="1"/>
        <v>0</v>
      </c>
      <c r="AR34" s="204"/>
      <c r="AS34" s="252">
        <f t="shared" si="2"/>
        <v>0</v>
      </c>
      <c r="AT34" s="167"/>
      <c r="AU34" s="253">
        <f t="shared" si="3"/>
        <v>0</v>
      </c>
      <c r="AV34" s="74"/>
      <c r="AW34" s="253">
        <f t="shared" si="4"/>
        <v>0</v>
      </c>
      <c r="AX34" s="74"/>
      <c r="AY34" s="253">
        <f t="shared" si="5"/>
        <v>0</v>
      </c>
      <c r="AZ34" s="74"/>
      <c r="BA34" s="253">
        <f t="shared" si="6"/>
        <v>0</v>
      </c>
      <c r="BB34" s="74"/>
      <c r="BC34" s="253">
        <f t="shared" si="7"/>
        <v>0</v>
      </c>
      <c r="BD34" s="74"/>
      <c r="BE34" s="253">
        <f t="shared" si="8"/>
        <v>0</v>
      </c>
      <c r="BF34" s="74"/>
      <c r="BG34" s="253">
        <f t="shared" si="9"/>
        <v>0</v>
      </c>
      <c r="BH34" s="74"/>
      <c r="BI34" s="253">
        <f t="shared" si="10"/>
        <v>0</v>
      </c>
      <c r="BJ34" s="74"/>
      <c r="BK34" s="253">
        <f t="shared" si="11"/>
        <v>0</v>
      </c>
    </row>
    <row r="35" spans="1:63" ht="17.25" hidden="1" customHeight="1">
      <c r="A35" s="250" t="s">
        <v>105</v>
      </c>
      <c r="C35" s="59"/>
      <c r="D35" s="457"/>
      <c r="E35" s="43"/>
      <c r="F35" s="468" t="s">
        <v>170</v>
      </c>
      <c r="G35" s="68"/>
      <c r="H35" s="69"/>
      <c r="I35" s="69"/>
      <c r="J35" s="96"/>
      <c r="K35" s="69"/>
      <c r="L35" s="69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36"/>
      <c r="AC35" s="236"/>
      <c r="AD35" s="23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4"/>
      <c r="AO35" s="252">
        <f t="shared" si="0"/>
        <v>0</v>
      </c>
      <c r="AP35" s="174"/>
      <c r="AQ35" s="252">
        <f t="shared" si="1"/>
        <v>0</v>
      </c>
      <c r="AR35" s="174"/>
      <c r="AS35" s="252">
        <f t="shared" si="2"/>
        <v>0</v>
      </c>
      <c r="AT35" s="205"/>
      <c r="AU35" s="253">
        <f t="shared" si="3"/>
        <v>0</v>
      </c>
      <c r="AV35" s="177"/>
      <c r="AW35" s="253">
        <f t="shared" si="4"/>
        <v>0</v>
      </c>
      <c r="AX35" s="177"/>
      <c r="AY35" s="253">
        <f t="shared" si="5"/>
        <v>0</v>
      </c>
      <c r="AZ35" s="177"/>
      <c r="BA35" s="253">
        <f t="shared" si="6"/>
        <v>0</v>
      </c>
      <c r="BB35" s="177"/>
      <c r="BC35" s="253">
        <f t="shared" si="7"/>
        <v>0</v>
      </c>
      <c r="BD35" s="177"/>
      <c r="BE35" s="253">
        <f t="shared" si="8"/>
        <v>0</v>
      </c>
      <c r="BF35" s="177"/>
      <c r="BG35" s="253">
        <f t="shared" si="9"/>
        <v>0</v>
      </c>
      <c r="BH35" s="177"/>
      <c r="BI35" s="253">
        <f t="shared" si="10"/>
        <v>0</v>
      </c>
      <c r="BJ35" s="177"/>
      <c r="BK35" s="253">
        <f t="shared" si="11"/>
        <v>0</v>
      </c>
    </row>
    <row r="36" spans="1:63" ht="15" hidden="1" customHeight="1" thickBot="1">
      <c r="A36" s="250" t="s">
        <v>105</v>
      </c>
      <c r="C36" s="59"/>
      <c r="D36" s="457"/>
      <c r="E36" s="43"/>
      <c r="F36" s="455"/>
      <c r="G36" s="75"/>
      <c r="H36" s="78"/>
      <c r="I36" s="78"/>
      <c r="J36" s="97"/>
      <c r="K36" s="78"/>
      <c r="L36" s="78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4"/>
      <c r="AC36" s="234"/>
      <c r="AD36" s="234"/>
      <c r="AE36" s="78"/>
      <c r="AF36" s="78"/>
      <c r="AG36" s="78"/>
      <c r="AH36" s="78"/>
      <c r="AI36" s="78"/>
      <c r="AJ36" s="78"/>
      <c r="AK36" s="78"/>
      <c r="AL36" s="78"/>
      <c r="AM36" s="78"/>
      <c r="AN36" s="166"/>
      <c r="AO36" s="252">
        <f t="shared" si="0"/>
        <v>0</v>
      </c>
      <c r="AP36" s="166"/>
      <c r="AQ36" s="252">
        <f t="shared" si="1"/>
        <v>0</v>
      </c>
      <c r="AR36" s="166"/>
      <c r="AS36" s="252">
        <f t="shared" si="2"/>
        <v>0</v>
      </c>
      <c r="AT36" s="164"/>
      <c r="AU36" s="253">
        <f t="shared" si="3"/>
        <v>0</v>
      </c>
      <c r="AV36" s="76"/>
      <c r="AW36" s="253">
        <f t="shared" si="4"/>
        <v>0</v>
      </c>
      <c r="AX36" s="76"/>
      <c r="AY36" s="253">
        <f t="shared" si="5"/>
        <v>0</v>
      </c>
      <c r="AZ36" s="76"/>
      <c r="BA36" s="253">
        <f t="shared" si="6"/>
        <v>0</v>
      </c>
      <c r="BB36" s="76"/>
      <c r="BC36" s="253">
        <f t="shared" si="7"/>
        <v>0</v>
      </c>
      <c r="BD36" s="76"/>
      <c r="BE36" s="253">
        <f t="shared" si="8"/>
        <v>0</v>
      </c>
      <c r="BF36" s="76"/>
      <c r="BG36" s="253">
        <f t="shared" si="9"/>
        <v>0</v>
      </c>
      <c r="BH36" s="76"/>
      <c r="BI36" s="253">
        <f t="shared" si="10"/>
        <v>0</v>
      </c>
      <c r="BJ36" s="76"/>
      <c r="BK36" s="253">
        <f t="shared" si="11"/>
        <v>0</v>
      </c>
    </row>
    <row r="37" spans="1:63" ht="15" customHeight="1">
      <c r="A37" s="250" t="s">
        <v>105</v>
      </c>
      <c r="B37" s="59" t="s">
        <v>171</v>
      </c>
      <c r="C37" s="59" t="s">
        <v>172</v>
      </c>
      <c r="D37" s="457"/>
      <c r="E37" s="43" t="s">
        <v>173</v>
      </c>
      <c r="F37" s="453" t="s">
        <v>71</v>
      </c>
      <c r="G37" s="202">
        <v>2022</v>
      </c>
      <c r="H37" s="238" t="s">
        <v>174</v>
      </c>
      <c r="I37" s="239" t="s">
        <v>175</v>
      </c>
      <c r="J37" s="241">
        <v>11</v>
      </c>
      <c r="K37" s="238" t="s">
        <v>176</v>
      </c>
      <c r="L37" s="238" t="s">
        <v>177</v>
      </c>
      <c r="M37" s="20" t="s">
        <v>178</v>
      </c>
      <c r="N37" s="20">
        <v>4.8</v>
      </c>
      <c r="O37" s="20">
        <v>4.8</v>
      </c>
      <c r="P37" s="20">
        <v>4.8</v>
      </c>
      <c r="Q37" s="20">
        <v>4.8</v>
      </c>
      <c r="R37" s="20">
        <v>4.8</v>
      </c>
      <c r="S37" s="20">
        <v>4.8</v>
      </c>
      <c r="T37" s="20">
        <v>4.8</v>
      </c>
      <c r="U37" s="20">
        <v>4.8</v>
      </c>
      <c r="V37" s="20">
        <v>4.8</v>
      </c>
      <c r="W37" s="20">
        <v>4.8</v>
      </c>
      <c r="X37" s="20">
        <v>4.8</v>
      </c>
      <c r="Y37" s="20">
        <v>4.8</v>
      </c>
      <c r="Z37" s="20">
        <v>4.8</v>
      </c>
      <c r="AA37" s="20">
        <v>0.8</v>
      </c>
      <c r="AB37" s="3">
        <v>0.8</v>
      </c>
      <c r="AC37" s="3">
        <v>0.8</v>
      </c>
      <c r="AD37" s="3">
        <v>0.8</v>
      </c>
      <c r="AE37" s="176">
        <v>1.26</v>
      </c>
      <c r="AF37" s="236">
        <v>1.26</v>
      </c>
      <c r="AG37" s="3">
        <v>1.26</v>
      </c>
      <c r="AH37" s="3">
        <v>1.26</v>
      </c>
      <c r="AI37" s="3">
        <v>1.26</v>
      </c>
      <c r="AJ37" s="3">
        <v>1.26</v>
      </c>
      <c r="AK37" s="176">
        <v>1.26</v>
      </c>
      <c r="AL37" s="176">
        <v>1.26</v>
      </c>
      <c r="AM37" s="176">
        <v>1.26</v>
      </c>
      <c r="AN37" s="168">
        <v>9080</v>
      </c>
      <c r="AO37" s="252">
        <f t="shared" si="0"/>
        <v>7264</v>
      </c>
      <c r="AP37" s="168">
        <v>4480</v>
      </c>
      <c r="AQ37" s="252">
        <f t="shared" si="1"/>
        <v>3584</v>
      </c>
      <c r="AR37" s="168">
        <v>8440</v>
      </c>
      <c r="AS37" s="252">
        <f t="shared" si="2"/>
        <v>6752</v>
      </c>
      <c r="AT37" s="205">
        <v>25480</v>
      </c>
      <c r="AU37" s="253">
        <f t="shared" si="3"/>
        <v>32104.799999999999</v>
      </c>
      <c r="AV37" s="174">
        <v>41537</v>
      </c>
      <c r="AW37" s="253">
        <f t="shared" si="4"/>
        <v>52336.62</v>
      </c>
      <c r="AX37" s="5">
        <v>23118</v>
      </c>
      <c r="AY37" s="253">
        <f t="shared" si="5"/>
        <v>29128.68</v>
      </c>
      <c r="AZ37" s="168">
        <v>32640</v>
      </c>
      <c r="BA37" s="253">
        <f t="shared" si="6"/>
        <v>41126.400000000001</v>
      </c>
      <c r="BB37" s="168">
        <v>19480</v>
      </c>
      <c r="BC37" s="253">
        <f t="shared" si="7"/>
        <v>24544.799999999999</v>
      </c>
      <c r="BD37" s="168">
        <v>15098</v>
      </c>
      <c r="BE37" s="253">
        <f t="shared" si="8"/>
        <v>19023.48</v>
      </c>
      <c r="BF37" s="168">
        <v>12840</v>
      </c>
      <c r="BG37" s="253">
        <f t="shared" si="9"/>
        <v>16178.4</v>
      </c>
      <c r="BH37" s="168">
        <v>34040</v>
      </c>
      <c r="BI37" s="253">
        <f t="shared" si="10"/>
        <v>42890.400000000001</v>
      </c>
      <c r="BJ37" s="168">
        <v>14360</v>
      </c>
      <c r="BK37" s="253">
        <f t="shared" si="11"/>
        <v>18093.599999999999</v>
      </c>
    </row>
    <row r="38" spans="1:63" ht="15" customHeight="1" thickBot="1">
      <c r="A38" s="250" t="s">
        <v>105</v>
      </c>
      <c r="B38" s="59" t="s">
        <v>171</v>
      </c>
      <c r="C38" s="59" t="s">
        <v>172</v>
      </c>
      <c r="D38" s="457"/>
      <c r="E38" s="43" t="s">
        <v>173</v>
      </c>
      <c r="F38" s="455"/>
      <c r="G38" s="202">
        <v>2022</v>
      </c>
      <c r="H38" s="67" t="s">
        <v>179</v>
      </c>
      <c r="I38" s="235" t="s">
        <v>175</v>
      </c>
      <c r="J38" s="240">
        <v>14</v>
      </c>
      <c r="K38" s="67" t="s">
        <v>180</v>
      </c>
      <c r="L38" s="67" t="s">
        <v>177</v>
      </c>
      <c r="M38" s="20" t="s">
        <v>178</v>
      </c>
      <c r="N38" s="20">
        <v>4.9000000000000004</v>
      </c>
      <c r="O38" s="20">
        <v>4.9000000000000004</v>
      </c>
      <c r="P38" s="20">
        <v>4.9000000000000004</v>
      </c>
      <c r="Q38" s="20">
        <v>4.9000000000000004</v>
      </c>
      <c r="R38" s="20">
        <v>4.9000000000000004</v>
      </c>
      <c r="S38" s="20">
        <v>4.9000000000000004</v>
      </c>
      <c r="T38" s="20">
        <v>4.9000000000000004</v>
      </c>
      <c r="U38" s="20">
        <v>4.9000000000000004</v>
      </c>
      <c r="V38" s="20">
        <v>4.9000000000000004</v>
      </c>
      <c r="W38" s="20">
        <v>4.9000000000000004</v>
      </c>
      <c r="X38" s="20">
        <v>4.9000000000000004</v>
      </c>
      <c r="Y38" s="20">
        <v>4.9000000000000004</v>
      </c>
      <c r="Z38" s="20">
        <v>4.9000000000000004</v>
      </c>
      <c r="AA38" s="20">
        <v>0.9</v>
      </c>
      <c r="AB38" s="3">
        <v>0.9</v>
      </c>
      <c r="AC38" s="3">
        <v>0.9</v>
      </c>
      <c r="AD38" s="3">
        <v>0.9</v>
      </c>
      <c r="AE38" s="78">
        <v>1.36</v>
      </c>
      <c r="AF38" s="3">
        <v>1.36</v>
      </c>
      <c r="AG38" s="3">
        <v>1.36</v>
      </c>
      <c r="AH38" s="3">
        <v>1.36</v>
      </c>
      <c r="AI38" s="3">
        <v>1.36</v>
      </c>
      <c r="AJ38" s="3">
        <v>1.36</v>
      </c>
      <c r="AK38" s="78">
        <v>1.36</v>
      </c>
      <c r="AL38" s="78">
        <v>1.36</v>
      </c>
      <c r="AM38" s="78">
        <v>1.36</v>
      </c>
      <c r="AN38" s="168">
        <v>120</v>
      </c>
      <c r="AO38" s="254">
        <f t="shared" si="0"/>
        <v>108</v>
      </c>
      <c r="AP38" s="255">
        <v>400</v>
      </c>
      <c r="AQ38" s="254">
        <f t="shared" si="1"/>
        <v>360</v>
      </c>
      <c r="AR38" s="255">
        <v>680</v>
      </c>
      <c r="AS38" s="254">
        <f t="shared" si="2"/>
        <v>612</v>
      </c>
      <c r="AT38" s="256">
        <v>360</v>
      </c>
      <c r="AU38" s="257">
        <f t="shared" si="3"/>
        <v>489.6</v>
      </c>
      <c r="AV38" s="255">
        <v>8160</v>
      </c>
      <c r="AW38" s="257">
        <f t="shared" si="4"/>
        <v>11097.6</v>
      </c>
      <c r="AX38" s="255">
        <v>2520</v>
      </c>
      <c r="AY38" s="257">
        <f t="shared" si="5"/>
        <v>3427.2000000000003</v>
      </c>
      <c r="AZ38" s="255">
        <v>14320</v>
      </c>
      <c r="BA38" s="257">
        <f t="shared" si="6"/>
        <v>19475.2</v>
      </c>
      <c r="BB38" s="255">
        <v>2758</v>
      </c>
      <c r="BC38" s="257">
        <f t="shared" si="7"/>
        <v>3750.88</v>
      </c>
      <c r="BD38" s="255">
        <v>1760</v>
      </c>
      <c r="BE38" s="257">
        <f t="shared" si="8"/>
        <v>2393.6000000000004</v>
      </c>
      <c r="BF38" s="255">
        <v>560</v>
      </c>
      <c r="BG38" s="257">
        <f t="shared" si="9"/>
        <v>761.6</v>
      </c>
      <c r="BH38" s="255">
        <v>9200</v>
      </c>
      <c r="BI38" s="257">
        <f t="shared" si="10"/>
        <v>12512</v>
      </c>
      <c r="BJ38" s="255">
        <v>2200</v>
      </c>
      <c r="BK38" s="257">
        <f t="shared" si="11"/>
        <v>2992</v>
      </c>
    </row>
    <row r="39" spans="1:63" ht="17.25" customHeight="1">
      <c r="A39" s="250" t="s">
        <v>105</v>
      </c>
      <c r="B39" s="59" t="s">
        <v>171</v>
      </c>
      <c r="C39" s="59" t="s">
        <v>172</v>
      </c>
      <c r="D39" s="457"/>
      <c r="E39" s="43" t="s">
        <v>173</v>
      </c>
      <c r="F39" s="468" t="s">
        <v>181</v>
      </c>
      <c r="G39" s="228">
        <v>2020</v>
      </c>
      <c r="H39" s="238" t="s">
        <v>182</v>
      </c>
      <c r="I39" s="239" t="s">
        <v>183</v>
      </c>
      <c r="J39" s="228">
        <v>15</v>
      </c>
      <c r="K39" s="238" t="s">
        <v>184</v>
      </c>
      <c r="L39" s="131" t="s">
        <v>185</v>
      </c>
      <c r="M39" s="22" t="s">
        <v>186</v>
      </c>
      <c r="N39" s="22">
        <v>23.61</v>
      </c>
      <c r="O39" s="22">
        <v>23.61</v>
      </c>
      <c r="P39" s="22">
        <v>23.61</v>
      </c>
      <c r="Q39" s="22">
        <v>23.61</v>
      </c>
      <c r="R39" s="22">
        <v>23.61</v>
      </c>
      <c r="S39" s="22">
        <v>23.61</v>
      </c>
      <c r="T39" s="22">
        <v>23.61</v>
      </c>
      <c r="U39" s="22">
        <v>23.61</v>
      </c>
      <c r="V39" s="22">
        <v>23.61</v>
      </c>
      <c r="W39" s="22">
        <v>23.61</v>
      </c>
      <c r="X39" s="22">
        <v>23.61</v>
      </c>
      <c r="Y39" s="22">
        <v>23.61</v>
      </c>
      <c r="Z39" s="22">
        <v>23.61</v>
      </c>
      <c r="AA39" s="22">
        <v>8</v>
      </c>
      <c r="AB39" s="236">
        <v>8</v>
      </c>
      <c r="AC39" s="236">
        <v>8</v>
      </c>
      <c r="AD39" s="236">
        <v>8</v>
      </c>
      <c r="AE39" s="1">
        <v>8.81</v>
      </c>
      <c r="AF39" s="236">
        <v>8.81</v>
      </c>
      <c r="AG39" s="236">
        <v>8.81</v>
      </c>
      <c r="AH39" s="236">
        <v>8.81</v>
      </c>
      <c r="AI39" s="236">
        <v>8.81</v>
      </c>
      <c r="AJ39" s="236">
        <v>8.81</v>
      </c>
      <c r="AK39" s="1">
        <v>8.81</v>
      </c>
      <c r="AL39" s="1">
        <v>8.81</v>
      </c>
      <c r="AM39" s="1">
        <v>8.81</v>
      </c>
      <c r="AN39" s="174">
        <v>7991</v>
      </c>
      <c r="AO39" s="254">
        <f t="shared" si="0"/>
        <v>63928</v>
      </c>
      <c r="AP39" s="255">
        <v>6647</v>
      </c>
      <c r="AQ39" s="254">
        <f t="shared" si="1"/>
        <v>53176</v>
      </c>
      <c r="AR39" s="255">
        <v>9343</v>
      </c>
      <c r="AS39" s="254">
        <f t="shared" si="2"/>
        <v>74744</v>
      </c>
      <c r="AT39" s="256">
        <v>10202</v>
      </c>
      <c r="AU39" s="257">
        <f t="shared" si="3"/>
        <v>89879.62000000001</v>
      </c>
      <c r="AV39" s="255">
        <v>4395</v>
      </c>
      <c r="AW39" s="257">
        <f t="shared" si="4"/>
        <v>38719.950000000004</v>
      </c>
      <c r="AX39" s="255">
        <v>2268</v>
      </c>
      <c r="AY39" s="257">
        <f t="shared" si="5"/>
        <v>19981.080000000002</v>
      </c>
      <c r="AZ39" s="255">
        <v>4298</v>
      </c>
      <c r="BA39" s="257">
        <f t="shared" si="6"/>
        <v>37865.380000000005</v>
      </c>
      <c r="BB39" s="255">
        <v>558</v>
      </c>
      <c r="BC39" s="257">
        <f t="shared" si="7"/>
        <v>4915.9800000000005</v>
      </c>
      <c r="BD39" s="255">
        <v>600</v>
      </c>
      <c r="BE39" s="257">
        <f t="shared" si="8"/>
        <v>5286</v>
      </c>
      <c r="BF39" s="59">
        <v>313</v>
      </c>
      <c r="BG39" s="257">
        <f t="shared" si="9"/>
        <v>2757.53</v>
      </c>
      <c r="BH39" s="268">
        <v>480</v>
      </c>
      <c r="BI39" s="257">
        <f t="shared" si="10"/>
        <v>4228.8</v>
      </c>
      <c r="BJ39" s="256">
        <v>80</v>
      </c>
      <c r="BK39" s="257">
        <f t="shared" si="11"/>
        <v>704.80000000000007</v>
      </c>
    </row>
    <row r="40" spans="1:63" ht="15" customHeight="1" thickBot="1">
      <c r="A40" s="250" t="s">
        <v>105</v>
      </c>
      <c r="B40" s="59" t="s">
        <v>171</v>
      </c>
      <c r="C40" s="59" t="s">
        <v>172</v>
      </c>
      <c r="D40" s="457"/>
      <c r="E40" s="43" t="s">
        <v>173</v>
      </c>
      <c r="F40" s="469"/>
      <c r="G40" s="212">
        <v>2020</v>
      </c>
      <c r="H40" s="75" t="s">
        <v>187</v>
      </c>
      <c r="I40" s="237" t="s">
        <v>183</v>
      </c>
      <c r="J40" s="212">
        <v>17</v>
      </c>
      <c r="K40" s="75" t="s">
        <v>184</v>
      </c>
      <c r="L40" s="75" t="s">
        <v>185</v>
      </c>
      <c r="M40" s="23" t="s">
        <v>186</v>
      </c>
      <c r="N40" s="23">
        <v>24.21</v>
      </c>
      <c r="O40" s="23">
        <v>24.21</v>
      </c>
      <c r="P40" s="23">
        <v>24.21</v>
      </c>
      <c r="Q40" s="23">
        <v>24.21</v>
      </c>
      <c r="R40" s="23">
        <v>24.21</v>
      </c>
      <c r="S40" s="23">
        <v>24.21</v>
      </c>
      <c r="T40" s="23">
        <v>24.21</v>
      </c>
      <c r="U40" s="23">
        <v>24.21</v>
      </c>
      <c r="V40" s="23">
        <v>24.21</v>
      </c>
      <c r="W40" s="23">
        <v>24.21</v>
      </c>
      <c r="X40" s="23">
        <v>24.21</v>
      </c>
      <c r="Y40" s="23">
        <v>24.21</v>
      </c>
      <c r="Z40" s="23">
        <v>24.21</v>
      </c>
      <c r="AA40" s="20">
        <v>8</v>
      </c>
      <c r="AB40" s="3">
        <v>8</v>
      </c>
      <c r="AC40" s="3">
        <v>8</v>
      </c>
      <c r="AD40" s="3">
        <v>8</v>
      </c>
      <c r="AE40" s="1">
        <v>9.01</v>
      </c>
      <c r="AF40" s="234">
        <v>9.01</v>
      </c>
      <c r="AG40" s="234">
        <v>9.01</v>
      </c>
      <c r="AH40" s="234">
        <v>9.01</v>
      </c>
      <c r="AI40" s="234">
        <v>9.01</v>
      </c>
      <c r="AJ40" s="234">
        <v>9.01</v>
      </c>
      <c r="AK40" s="1">
        <v>9.01</v>
      </c>
      <c r="AL40" s="1">
        <v>9.01</v>
      </c>
      <c r="AM40" s="1">
        <v>9.01</v>
      </c>
      <c r="AN40" s="168">
        <v>2149</v>
      </c>
      <c r="AO40" s="254">
        <f t="shared" si="0"/>
        <v>17192</v>
      </c>
      <c r="AP40" s="255">
        <v>2565</v>
      </c>
      <c r="AQ40" s="254">
        <f t="shared" si="1"/>
        <v>20520</v>
      </c>
      <c r="AR40" s="255">
        <v>2708</v>
      </c>
      <c r="AS40" s="254">
        <f t="shared" si="2"/>
        <v>21664</v>
      </c>
      <c r="AT40" s="256">
        <v>3440</v>
      </c>
      <c r="AU40" s="257">
        <f t="shared" si="3"/>
        <v>30994.399999999998</v>
      </c>
      <c r="AV40" s="255">
        <v>4257</v>
      </c>
      <c r="AW40" s="257">
        <f t="shared" si="4"/>
        <v>38355.57</v>
      </c>
      <c r="AX40" s="255">
        <v>1295</v>
      </c>
      <c r="AY40" s="257">
        <f t="shared" si="5"/>
        <v>11667.949999999999</v>
      </c>
      <c r="AZ40" s="255">
        <v>1193</v>
      </c>
      <c r="BA40" s="257">
        <f t="shared" si="6"/>
        <v>10748.93</v>
      </c>
      <c r="BB40" s="255">
        <v>830</v>
      </c>
      <c r="BC40" s="257">
        <f t="shared" si="7"/>
        <v>7478.3</v>
      </c>
      <c r="BD40" s="255">
        <v>80</v>
      </c>
      <c r="BE40" s="257">
        <f t="shared" si="8"/>
        <v>720.8</v>
      </c>
      <c r="BF40" s="59">
        <v>387</v>
      </c>
      <c r="BG40" s="257">
        <f t="shared" si="9"/>
        <v>3486.87</v>
      </c>
      <c r="BH40" s="268">
        <v>40</v>
      </c>
      <c r="BI40" s="257">
        <f t="shared" si="10"/>
        <v>360.4</v>
      </c>
      <c r="BJ40" s="59"/>
      <c r="BK40" s="257">
        <f t="shared" si="11"/>
        <v>0</v>
      </c>
    </row>
    <row r="41" spans="1:63" ht="17.25" hidden="1" customHeight="1">
      <c r="A41" s="250" t="s">
        <v>105</v>
      </c>
      <c r="C41" s="59"/>
      <c r="D41" s="457"/>
      <c r="E41" s="43"/>
      <c r="F41" s="449" t="s">
        <v>68</v>
      </c>
      <c r="G41" s="68"/>
      <c r="H41" s="69"/>
      <c r="I41" s="69"/>
      <c r="J41" s="96"/>
      <c r="K41" s="69"/>
      <c r="L41" s="69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36"/>
      <c r="AC41" s="236"/>
      <c r="AD41" s="236"/>
      <c r="AE41" s="176"/>
      <c r="AK41" s="176"/>
      <c r="AL41" s="176"/>
      <c r="AM41" s="176"/>
      <c r="AN41" s="174"/>
      <c r="AO41" s="254">
        <f t="shared" si="0"/>
        <v>0</v>
      </c>
      <c r="AP41" s="255"/>
      <c r="AQ41" s="254">
        <f t="shared" si="1"/>
        <v>0</v>
      </c>
      <c r="AR41" s="255"/>
      <c r="AS41" s="254">
        <f t="shared" si="2"/>
        <v>0</v>
      </c>
      <c r="AT41" s="256"/>
      <c r="AU41" s="257">
        <f t="shared" si="3"/>
        <v>0</v>
      </c>
      <c r="AV41" s="270"/>
      <c r="AW41" s="257">
        <f t="shared" si="4"/>
        <v>0</v>
      </c>
      <c r="AX41" s="270"/>
      <c r="AY41" s="257">
        <f t="shared" si="5"/>
        <v>0</v>
      </c>
      <c r="AZ41" s="268"/>
      <c r="BA41" s="257">
        <f t="shared" si="6"/>
        <v>0</v>
      </c>
      <c r="BB41" s="59"/>
      <c r="BC41" s="257">
        <f t="shared" si="7"/>
        <v>0</v>
      </c>
      <c r="BD41" s="59"/>
      <c r="BE41" s="257">
        <f t="shared" si="8"/>
        <v>0</v>
      </c>
      <c r="BF41" s="59"/>
      <c r="BG41" s="257">
        <f t="shared" si="9"/>
        <v>0</v>
      </c>
      <c r="BH41" s="268"/>
      <c r="BI41" s="257">
        <f t="shared" si="10"/>
        <v>0</v>
      </c>
      <c r="BJ41" s="59"/>
      <c r="BK41" s="257">
        <f t="shared" si="11"/>
        <v>0</v>
      </c>
    </row>
    <row r="42" spans="1:63" ht="17.25" hidden="1" customHeight="1">
      <c r="A42" s="250" t="s">
        <v>105</v>
      </c>
      <c r="C42" s="59"/>
      <c r="D42" s="457"/>
      <c r="E42" s="43"/>
      <c r="F42" s="451"/>
      <c r="G42" s="67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N42" s="168"/>
      <c r="AO42" s="254">
        <f t="shared" si="0"/>
        <v>0</v>
      </c>
      <c r="AP42" s="255"/>
      <c r="AQ42" s="254">
        <f t="shared" si="1"/>
        <v>0</v>
      </c>
      <c r="AR42" s="255"/>
      <c r="AS42" s="254">
        <f t="shared" si="2"/>
        <v>0</v>
      </c>
      <c r="AT42" s="256"/>
      <c r="AU42" s="257">
        <f t="shared" si="3"/>
        <v>0</v>
      </c>
      <c r="AV42" s="270"/>
      <c r="AW42" s="257">
        <f t="shared" si="4"/>
        <v>0</v>
      </c>
      <c r="AX42" s="270"/>
      <c r="AY42" s="257">
        <f t="shared" si="5"/>
        <v>0</v>
      </c>
      <c r="AZ42" s="268"/>
      <c r="BA42" s="257">
        <f t="shared" si="6"/>
        <v>0</v>
      </c>
      <c r="BB42" s="59"/>
      <c r="BC42" s="257">
        <f t="shared" si="7"/>
        <v>0</v>
      </c>
      <c r="BD42" s="59"/>
      <c r="BE42" s="257">
        <f t="shared" si="8"/>
        <v>0</v>
      </c>
      <c r="BF42" s="59"/>
      <c r="BG42" s="257">
        <f t="shared" si="9"/>
        <v>0</v>
      </c>
      <c r="BH42" s="268"/>
      <c r="BI42" s="257">
        <f t="shared" si="10"/>
        <v>0</v>
      </c>
      <c r="BJ42" s="59"/>
      <c r="BK42" s="257">
        <f t="shared" si="11"/>
        <v>0</v>
      </c>
    </row>
    <row r="43" spans="1:63" ht="17.25" hidden="1" customHeight="1">
      <c r="A43" s="250" t="s">
        <v>105</v>
      </c>
      <c r="C43" s="59"/>
      <c r="D43" s="457"/>
      <c r="E43" s="43"/>
      <c r="F43" s="451"/>
      <c r="G43" s="67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N43" s="168"/>
      <c r="AO43" s="254">
        <f t="shared" si="0"/>
        <v>0</v>
      </c>
      <c r="AP43" s="255"/>
      <c r="AQ43" s="254">
        <f t="shared" si="1"/>
        <v>0</v>
      </c>
      <c r="AR43" s="255"/>
      <c r="AS43" s="254">
        <f t="shared" si="2"/>
        <v>0</v>
      </c>
      <c r="AT43" s="256"/>
      <c r="AU43" s="257">
        <f t="shared" si="3"/>
        <v>0</v>
      </c>
      <c r="AV43" s="270"/>
      <c r="AW43" s="257">
        <f t="shared" si="4"/>
        <v>0</v>
      </c>
      <c r="AX43" s="270"/>
      <c r="AY43" s="257">
        <f t="shared" si="5"/>
        <v>0</v>
      </c>
      <c r="AZ43" s="268"/>
      <c r="BA43" s="257">
        <f t="shared" si="6"/>
        <v>0</v>
      </c>
      <c r="BB43" s="59"/>
      <c r="BC43" s="257">
        <f t="shared" si="7"/>
        <v>0</v>
      </c>
      <c r="BD43" s="59"/>
      <c r="BE43" s="257">
        <f t="shared" si="8"/>
        <v>0</v>
      </c>
      <c r="BF43" s="59"/>
      <c r="BG43" s="257">
        <f t="shared" si="9"/>
        <v>0</v>
      </c>
      <c r="BH43" s="268"/>
      <c r="BI43" s="257">
        <f t="shared" si="10"/>
        <v>0</v>
      </c>
      <c r="BJ43" s="59"/>
      <c r="BK43" s="257">
        <f t="shared" si="11"/>
        <v>0</v>
      </c>
    </row>
    <row r="44" spans="1:63" ht="15" hidden="1" customHeight="1" thickBot="1">
      <c r="A44" s="250" t="s">
        <v>105</v>
      </c>
      <c r="C44" s="59"/>
      <c r="D44" s="457"/>
      <c r="E44" s="43"/>
      <c r="F44" s="452"/>
      <c r="G44" s="75"/>
      <c r="H44" s="78"/>
      <c r="I44" s="78"/>
      <c r="J44" s="97"/>
      <c r="K44" s="78"/>
      <c r="L44" s="78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4"/>
      <c r="AC44" s="234"/>
      <c r="AD44" s="234"/>
      <c r="AH44" s="78"/>
      <c r="AI44" s="78"/>
      <c r="AJ44" s="78"/>
      <c r="AK44" s="78"/>
      <c r="AL44" s="78"/>
      <c r="AM44" s="78"/>
      <c r="AN44" s="166"/>
      <c r="AO44" s="254">
        <f t="shared" si="0"/>
        <v>0</v>
      </c>
      <c r="AP44" s="255"/>
      <c r="AQ44" s="254">
        <f t="shared" si="1"/>
        <v>0</v>
      </c>
      <c r="AR44" s="255"/>
      <c r="AS44" s="254">
        <f t="shared" si="2"/>
        <v>0</v>
      </c>
      <c r="AT44" s="256"/>
      <c r="AU44" s="257">
        <f t="shared" si="3"/>
        <v>0</v>
      </c>
      <c r="AV44" s="270"/>
      <c r="AW44" s="257">
        <f t="shared" si="4"/>
        <v>0</v>
      </c>
      <c r="AX44" s="270"/>
      <c r="AY44" s="257">
        <f t="shared" si="5"/>
        <v>0</v>
      </c>
      <c r="AZ44" s="268"/>
      <c r="BA44" s="257">
        <f t="shared" si="6"/>
        <v>0</v>
      </c>
      <c r="BB44" s="59"/>
      <c r="BC44" s="257">
        <f t="shared" si="7"/>
        <v>0</v>
      </c>
      <c r="BD44" s="59"/>
      <c r="BE44" s="257">
        <f t="shared" si="8"/>
        <v>0</v>
      </c>
      <c r="BF44" s="59"/>
      <c r="BG44" s="257">
        <f t="shared" si="9"/>
        <v>0</v>
      </c>
      <c r="BH44" s="268"/>
      <c r="BI44" s="257">
        <f t="shared" si="10"/>
        <v>0</v>
      </c>
      <c r="BJ44" s="59"/>
      <c r="BK44" s="257">
        <f t="shared" si="11"/>
        <v>0</v>
      </c>
    </row>
    <row r="45" spans="1:63" ht="15.75" customHeight="1">
      <c r="A45" s="250" t="s">
        <v>105</v>
      </c>
      <c r="B45" s="59" t="s">
        <v>171</v>
      </c>
      <c r="C45" s="59" t="s">
        <v>172</v>
      </c>
      <c r="D45" s="457"/>
      <c r="E45" s="43" t="s">
        <v>173</v>
      </c>
      <c r="F45" s="449" t="s">
        <v>188</v>
      </c>
      <c r="G45" s="202">
        <v>2020</v>
      </c>
      <c r="H45" s="74" t="s">
        <v>189</v>
      </c>
      <c r="I45" s="231" t="s">
        <v>190</v>
      </c>
      <c r="J45" s="172">
        <v>12</v>
      </c>
      <c r="K45" s="74" t="s">
        <v>191</v>
      </c>
      <c r="L45" s="73" t="s">
        <v>177</v>
      </c>
      <c r="M45" s="20" t="s">
        <v>192</v>
      </c>
      <c r="N45" s="20">
        <v>4.0999999999999996</v>
      </c>
      <c r="O45" s="20">
        <v>4.0999999999999996</v>
      </c>
      <c r="P45" s="20">
        <v>4.0999999999999996</v>
      </c>
      <c r="Q45" s="20">
        <v>4.0999999999999996</v>
      </c>
      <c r="R45" s="20">
        <v>4.0999999999999996</v>
      </c>
      <c r="S45" s="20">
        <v>4.0999999999999996</v>
      </c>
      <c r="T45" s="20">
        <v>4.0999999999999996</v>
      </c>
      <c r="U45" s="20">
        <v>4.0999999999999996</v>
      </c>
      <c r="V45" s="20">
        <v>4.0999999999999996</v>
      </c>
      <c r="W45" s="20">
        <v>4.0999999999999996</v>
      </c>
      <c r="X45" s="20">
        <v>4.0999999999999996</v>
      </c>
      <c r="Y45" s="20">
        <v>4.0999999999999996</v>
      </c>
      <c r="Z45" s="20">
        <v>4.0999999999999996</v>
      </c>
      <c r="AA45" s="22">
        <v>0.45</v>
      </c>
      <c r="AB45" s="236">
        <v>0.45</v>
      </c>
      <c r="AC45" s="236">
        <v>0.45</v>
      </c>
      <c r="AD45" s="236">
        <v>0.45</v>
      </c>
      <c r="AE45" s="236">
        <v>0.45</v>
      </c>
      <c r="AF45" s="236">
        <v>0.45</v>
      </c>
      <c r="AG45" s="236">
        <v>0.45</v>
      </c>
      <c r="AH45" s="236">
        <v>0.45</v>
      </c>
      <c r="AI45" s="236">
        <v>0.45</v>
      </c>
      <c r="AJ45" s="236">
        <v>0.45</v>
      </c>
      <c r="AK45" s="236">
        <v>0.45</v>
      </c>
      <c r="AL45" s="236">
        <v>0.45</v>
      </c>
      <c r="AM45" s="236">
        <v>0.45</v>
      </c>
      <c r="AN45" s="174">
        <v>2840</v>
      </c>
      <c r="AO45" s="254">
        <f t="shared" si="0"/>
        <v>1278</v>
      </c>
      <c r="AP45" s="255">
        <v>1760</v>
      </c>
      <c r="AQ45" s="254">
        <f t="shared" si="1"/>
        <v>792</v>
      </c>
      <c r="AR45" s="255">
        <v>720</v>
      </c>
      <c r="AS45" s="254">
        <f t="shared" si="2"/>
        <v>324</v>
      </c>
      <c r="AT45" s="256">
        <v>400</v>
      </c>
      <c r="AU45" s="257">
        <f t="shared" si="3"/>
        <v>180</v>
      </c>
      <c r="AV45" s="255">
        <v>1840</v>
      </c>
      <c r="AW45" s="257">
        <f t="shared" si="4"/>
        <v>828</v>
      </c>
      <c r="AX45" s="255">
        <v>4640</v>
      </c>
      <c r="AY45" s="257">
        <f t="shared" si="5"/>
        <v>2088</v>
      </c>
      <c r="AZ45" s="255">
        <v>440</v>
      </c>
      <c r="BA45" s="257">
        <f t="shared" si="6"/>
        <v>198</v>
      </c>
      <c r="BB45" s="255"/>
      <c r="BC45" s="257">
        <f t="shared" si="7"/>
        <v>0</v>
      </c>
      <c r="BD45" s="255">
        <v>2120</v>
      </c>
      <c r="BE45" s="257">
        <f t="shared" si="8"/>
        <v>954</v>
      </c>
      <c r="BF45" s="255"/>
      <c r="BG45" s="257">
        <f t="shared" si="9"/>
        <v>0</v>
      </c>
      <c r="BH45" s="255"/>
      <c r="BI45" s="257">
        <f t="shared" si="10"/>
        <v>0</v>
      </c>
      <c r="BJ45" s="255"/>
      <c r="BK45" s="257">
        <f t="shared" si="11"/>
        <v>0</v>
      </c>
    </row>
    <row r="46" spans="1:63" ht="15.75" customHeight="1">
      <c r="A46" s="250" t="s">
        <v>105</v>
      </c>
      <c r="B46" s="59" t="s">
        <v>171</v>
      </c>
      <c r="C46" s="59" t="s">
        <v>172</v>
      </c>
      <c r="D46" s="457"/>
      <c r="E46" s="43" t="s">
        <v>173</v>
      </c>
      <c r="F46" s="450"/>
      <c r="G46" s="202">
        <v>2021</v>
      </c>
      <c r="H46" s="74" t="s">
        <v>193</v>
      </c>
      <c r="I46" s="231" t="s">
        <v>190</v>
      </c>
      <c r="J46" s="172">
        <v>12</v>
      </c>
      <c r="K46" s="74" t="s">
        <v>194</v>
      </c>
      <c r="L46" s="77" t="s">
        <v>177</v>
      </c>
      <c r="M46" s="20" t="s">
        <v>192</v>
      </c>
      <c r="N46" s="20">
        <v>4.0999999999999996</v>
      </c>
      <c r="O46" s="20">
        <v>4.0999999999999996</v>
      </c>
      <c r="P46" s="20">
        <v>4.0999999999999996</v>
      </c>
      <c r="Q46" s="20">
        <v>4.0999999999999996</v>
      </c>
      <c r="R46" s="20">
        <v>4.0999999999999996</v>
      </c>
      <c r="S46" s="20">
        <v>4.0999999999999996</v>
      </c>
      <c r="T46" s="20">
        <v>4.0999999999999996</v>
      </c>
      <c r="U46" s="20">
        <v>4.0999999999999996</v>
      </c>
      <c r="V46" s="20">
        <v>4.0999999999999996</v>
      </c>
      <c r="W46" s="20">
        <v>4.0999999999999996</v>
      </c>
      <c r="X46" s="20">
        <v>4.0999999999999996</v>
      </c>
      <c r="Y46" s="20">
        <v>4.0999999999999996</v>
      </c>
      <c r="Z46" s="20">
        <v>4.0999999999999996</v>
      </c>
      <c r="AA46" s="20">
        <v>0.45</v>
      </c>
      <c r="AB46" s="3">
        <v>0.45</v>
      </c>
      <c r="AC46" s="3">
        <v>0.45</v>
      </c>
      <c r="AD46" s="3">
        <v>0.45</v>
      </c>
      <c r="AE46" s="3">
        <v>0.45</v>
      </c>
      <c r="AF46" s="3">
        <v>0.45</v>
      </c>
      <c r="AG46" s="3">
        <v>0.45</v>
      </c>
      <c r="AH46" s="3">
        <v>0.45</v>
      </c>
      <c r="AI46" s="3">
        <v>0.45</v>
      </c>
      <c r="AJ46" s="3">
        <v>0.45</v>
      </c>
      <c r="AK46" s="3">
        <v>0.45</v>
      </c>
      <c r="AL46" s="3">
        <v>0.45</v>
      </c>
      <c r="AM46" s="3">
        <v>0.45</v>
      </c>
      <c r="AN46" s="168">
        <v>1240</v>
      </c>
      <c r="AO46" s="254">
        <f t="shared" si="0"/>
        <v>558</v>
      </c>
      <c r="AP46" s="255">
        <v>760</v>
      </c>
      <c r="AQ46" s="254">
        <f t="shared" si="1"/>
        <v>342</v>
      </c>
      <c r="AR46" s="255"/>
      <c r="AS46" s="254">
        <f t="shared" si="2"/>
        <v>0</v>
      </c>
      <c r="AT46" s="256"/>
      <c r="AU46" s="257">
        <f t="shared" si="3"/>
        <v>0</v>
      </c>
      <c r="AV46" s="255"/>
      <c r="AW46" s="257">
        <f t="shared" si="4"/>
        <v>0</v>
      </c>
      <c r="AX46" s="255"/>
      <c r="AY46" s="257">
        <f t="shared" si="5"/>
        <v>0</v>
      </c>
      <c r="AZ46" s="255"/>
      <c r="BA46" s="257">
        <f t="shared" si="6"/>
        <v>0</v>
      </c>
      <c r="BB46" s="255"/>
      <c r="BC46" s="257">
        <f t="shared" si="7"/>
        <v>0</v>
      </c>
      <c r="BD46" s="255"/>
      <c r="BE46" s="257">
        <f t="shared" si="8"/>
        <v>0</v>
      </c>
      <c r="BF46" s="255"/>
      <c r="BG46" s="257">
        <f t="shared" si="9"/>
        <v>0</v>
      </c>
      <c r="BH46" s="255"/>
      <c r="BI46" s="257">
        <f t="shared" si="10"/>
        <v>0</v>
      </c>
      <c r="BJ46" s="255"/>
      <c r="BK46" s="257">
        <f t="shared" si="11"/>
        <v>0</v>
      </c>
    </row>
    <row r="47" spans="1:63" ht="15.75" customHeight="1">
      <c r="A47" s="250" t="s">
        <v>105</v>
      </c>
      <c r="B47" s="59" t="s">
        <v>171</v>
      </c>
      <c r="C47" s="59" t="s">
        <v>172</v>
      </c>
      <c r="D47" s="457"/>
      <c r="E47" s="43" t="s">
        <v>173</v>
      </c>
      <c r="F47" s="450"/>
      <c r="G47" s="202">
        <v>2020</v>
      </c>
      <c r="H47" s="74" t="s">
        <v>195</v>
      </c>
      <c r="I47" s="231" t="s">
        <v>190</v>
      </c>
      <c r="J47" s="172">
        <v>14</v>
      </c>
      <c r="K47" s="74" t="s">
        <v>196</v>
      </c>
      <c r="L47" s="77" t="s">
        <v>177</v>
      </c>
      <c r="M47" s="20" t="s">
        <v>192</v>
      </c>
      <c r="N47" s="20">
        <v>3.5</v>
      </c>
      <c r="O47" s="20">
        <v>3.5</v>
      </c>
      <c r="P47" s="20">
        <v>3.5</v>
      </c>
      <c r="Q47" s="20">
        <v>3.5</v>
      </c>
      <c r="R47" s="20">
        <v>3.5</v>
      </c>
      <c r="S47" s="20">
        <v>3.5</v>
      </c>
      <c r="T47" s="20">
        <v>3.5</v>
      </c>
      <c r="U47" s="20">
        <v>3.5</v>
      </c>
      <c r="V47" s="20">
        <v>3.5</v>
      </c>
      <c r="W47" s="20">
        <v>3.5</v>
      </c>
      <c r="X47" s="20">
        <v>3.5</v>
      </c>
      <c r="Y47" s="20">
        <v>3.5</v>
      </c>
      <c r="Z47" s="20">
        <v>3.5</v>
      </c>
      <c r="AA47" s="20">
        <v>0.5</v>
      </c>
      <c r="AB47" s="3">
        <v>0.5</v>
      </c>
      <c r="AC47" s="3">
        <v>0.5</v>
      </c>
      <c r="AD47" s="3">
        <v>0.5</v>
      </c>
      <c r="AE47" s="3">
        <v>0.5</v>
      </c>
      <c r="AF47" s="3">
        <v>0.5</v>
      </c>
      <c r="AG47" s="3">
        <v>0.5</v>
      </c>
      <c r="AH47" s="3">
        <v>0.5</v>
      </c>
      <c r="AI47" s="3">
        <v>0.5</v>
      </c>
      <c r="AJ47" s="3">
        <v>0.5</v>
      </c>
      <c r="AK47" s="3">
        <v>0.5</v>
      </c>
      <c r="AL47" s="3">
        <v>0.5</v>
      </c>
      <c r="AM47" s="3">
        <v>0.5</v>
      </c>
      <c r="AN47" s="168">
        <v>1600</v>
      </c>
      <c r="AO47" s="254">
        <f t="shared" si="0"/>
        <v>800</v>
      </c>
      <c r="AP47" s="255"/>
      <c r="AQ47" s="254">
        <f t="shared" si="1"/>
        <v>0</v>
      </c>
      <c r="AR47" s="255"/>
      <c r="AS47" s="254">
        <f t="shared" si="2"/>
        <v>0</v>
      </c>
      <c r="AT47" s="256">
        <v>2080</v>
      </c>
      <c r="AU47" s="257">
        <f t="shared" si="3"/>
        <v>1040</v>
      </c>
      <c r="AV47" s="255"/>
      <c r="AW47" s="257">
        <f t="shared" si="4"/>
        <v>0</v>
      </c>
      <c r="AX47" s="255">
        <v>360</v>
      </c>
      <c r="AY47" s="257">
        <f t="shared" si="5"/>
        <v>180</v>
      </c>
      <c r="AZ47" s="255"/>
      <c r="BA47" s="257">
        <f t="shared" si="6"/>
        <v>0</v>
      </c>
      <c r="BB47" s="255"/>
      <c r="BC47" s="257">
        <f t="shared" si="7"/>
        <v>0</v>
      </c>
      <c r="BD47" s="255">
        <v>32840</v>
      </c>
      <c r="BE47" s="257">
        <f t="shared" si="8"/>
        <v>16420</v>
      </c>
      <c r="BF47" s="255">
        <v>11240</v>
      </c>
      <c r="BG47" s="257">
        <f t="shared" si="9"/>
        <v>5620</v>
      </c>
      <c r="BH47" s="255">
        <v>28480</v>
      </c>
      <c r="BI47" s="257">
        <f t="shared" si="10"/>
        <v>14240</v>
      </c>
      <c r="BJ47" s="255">
        <v>16640</v>
      </c>
      <c r="BK47" s="257">
        <f t="shared" si="11"/>
        <v>8320</v>
      </c>
    </row>
    <row r="48" spans="1:63" ht="15.75" customHeight="1">
      <c r="A48" s="250" t="s">
        <v>105</v>
      </c>
      <c r="B48" s="59" t="s">
        <v>171</v>
      </c>
      <c r="C48" s="59" t="s">
        <v>172</v>
      </c>
      <c r="D48" s="457"/>
      <c r="E48" s="43" t="s">
        <v>173</v>
      </c>
      <c r="F48" s="450"/>
      <c r="G48" s="202">
        <v>2020</v>
      </c>
      <c r="H48" s="74" t="s">
        <v>195</v>
      </c>
      <c r="I48" s="231" t="s">
        <v>183</v>
      </c>
      <c r="J48" s="172">
        <v>14</v>
      </c>
      <c r="K48" s="74" t="s">
        <v>196</v>
      </c>
      <c r="L48" s="77" t="s">
        <v>177</v>
      </c>
      <c r="M48" s="20" t="s">
        <v>192</v>
      </c>
      <c r="N48" s="20">
        <v>12.15</v>
      </c>
      <c r="O48" s="20">
        <v>12.15</v>
      </c>
      <c r="P48" s="20">
        <v>12.15</v>
      </c>
      <c r="Q48" s="20">
        <v>12.15</v>
      </c>
      <c r="R48" s="20">
        <v>12.15</v>
      </c>
      <c r="S48" s="20">
        <v>12.15</v>
      </c>
      <c r="T48" s="20">
        <v>12.15</v>
      </c>
      <c r="U48" s="20">
        <v>12.15</v>
      </c>
      <c r="V48" s="20">
        <v>12.15</v>
      </c>
      <c r="W48" s="20">
        <v>12.15</v>
      </c>
      <c r="X48" s="20">
        <v>12.15</v>
      </c>
      <c r="Y48" s="20">
        <v>12.15</v>
      </c>
      <c r="Z48" s="20">
        <v>12.15</v>
      </c>
      <c r="AA48" s="20">
        <v>2</v>
      </c>
      <c r="AB48" s="3">
        <v>2</v>
      </c>
      <c r="AC48" s="3">
        <v>2</v>
      </c>
      <c r="AD48" s="3">
        <v>2</v>
      </c>
      <c r="AE48" s="3">
        <v>2</v>
      </c>
      <c r="AF48" s="3">
        <v>2</v>
      </c>
      <c r="AG48" s="3">
        <v>2</v>
      </c>
      <c r="AH48" s="3">
        <v>2</v>
      </c>
      <c r="AI48" s="3">
        <v>2</v>
      </c>
      <c r="AJ48" s="3">
        <v>2</v>
      </c>
      <c r="AK48" s="3">
        <v>2</v>
      </c>
      <c r="AL48" s="3">
        <v>2</v>
      </c>
      <c r="AM48" s="3">
        <v>2</v>
      </c>
      <c r="AN48" s="168"/>
      <c r="AO48" s="254">
        <f t="shared" si="0"/>
        <v>0</v>
      </c>
      <c r="AP48" s="255"/>
      <c r="AQ48" s="254">
        <f t="shared" si="1"/>
        <v>0</v>
      </c>
      <c r="AR48" s="255"/>
      <c r="AS48" s="254">
        <f t="shared" si="2"/>
        <v>0</v>
      </c>
      <c r="AT48" s="256"/>
      <c r="AU48" s="257">
        <f t="shared" si="3"/>
        <v>0</v>
      </c>
      <c r="AV48" s="255"/>
      <c r="AW48" s="257">
        <f t="shared" si="4"/>
        <v>0</v>
      </c>
      <c r="AX48" s="255"/>
      <c r="AY48" s="257">
        <f t="shared" si="5"/>
        <v>0</v>
      </c>
      <c r="AZ48" s="255"/>
      <c r="BA48" s="257">
        <f t="shared" si="6"/>
        <v>0</v>
      </c>
      <c r="BB48" s="255"/>
      <c r="BC48" s="257">
        <f t="shared" si="7"/>
        <v>0</v>
      </c>
      <c r="BD48" s="255"/>
      <c r="BE48" s="257">
        <f t="shared" si="8"/>
        <v>0</v>
      </c>
      <c r="BF48" s="255"/>
      <c r="BG48" s="257">
        <f t="shared" si="9"/>
        <v>0</v>
      </c>
      <c r="BH48" s="255"/>
      <c r="BI48" s="257">
        <f t="shared" si="10"/>
        <v>0</v>
      </c>
      <c r="BJ48" s="255"/>
      <c r="BK48" s="257">
        <f t="shared" si="11"/>
        <v>0</v>
      </c>
    </row>
    <row r="49" spans="1:63" ht="15.75" customHeight="1">
      <c r="A49" s="250" t="s">
        <v>105</v>
      </c>
      <c r="B49" s="59" t="s">
        <v>171</v>
      </c>
      <c r="C49" s="59" t="s">
        <v>172</v>
      </c>
      <c r="D49" s="457"/>
      <c r="E49" s="43" t="s">
        <v>173</v>
      </c>
      <c r="F49" s="450"/>
      <c r="G49" s="202">
        <v>2021</v>
      </c>
      <c r="H49" s="74" t="s">
        <v>197</v>
      </c>
      <c r="I49" s="231" t="s">
        <v>190</v>
      </c>
      <c r="J49" s="172">
        <v>14</v>
      </c>
      <c r="K49" s="74" t="s">
        <v>198</v>
      </c>
      <c r="L49" s="77" t="s">
        <v>177</v>
      </c>
      <c r="M49" s="20" t="s">
        <v>192</v>
      </c>
      <c r="N49" s="20">
        <v>3.5</v>
      </c>
      <c r="O49" s="20">
        <v>3.5</v>
      </c>
      <c r="P49" s="20">
        <v>3.5</v>
      </c>
      <c r="Q49" s="20">
        <v>3.5</v>
      </c>
      <c r="R49" s="20">
        <v>3.5</v>
      </c>
      <c r="S49" s="20">
        <v>3.5</v>
      </c>
      <c r="T49" s="20">
        <v>3.5</v>
      </c>
      <c r="U49" s="20">
        <v>3.5</v>
      </c>
      <c r="V49" s="20">
        <v>3.5</v>
      </c>
      <c r="W49" s="20">
        <v>3.5</v>
      </c>
      <c r="X49" s="20">
        <v>3.5</v>
      </c>
      <c r="Y49" s="20">
        <v>3.5</v>
      </c>
      <c r="Z49" s="20">
        <v>3.5</v>
      </c>
      <c r="AA49" s="20">
        <v>0.5</v>
      </c>
      <c r="AB49" s="3">
        <v>0.5</v>
      </c>
      <c r="AC49" s="3">
        <v>0.5</v>
      </c>
      <c r="AD49" s="3">
        <v>0.5</v>
      </c>
      <c r="AE49" s="3">
        <v>0.5</v>
      </c>
      <c r="AF49" s="3">
        <v>0.5</v>
      </c>
      <c r="AG49" s="3">
        <v>0.5</v>
      </c>
      <c r="AH49" s="3">
        <v>0.5</v>
      </c>
      <c r="AI49" s="3">
        <v>0.5</v>
      </c>
      <c r="AJ49" s="3">
        <v>0.5</v>
      </c>
      <c r="AK49" s="3">
        <v>0.5</v>
      </c>
      <c r="AL49" s="3">
        <v>0.5</v>
      </c>
      <c r="AM49" s="3">
        <v>0.5</v>
      </c>
      <c r="AN49" s="168">
        <v>9940</v>
      </c>
      <c r="AO49" s="254">
        <f t="shared" si="0"/>
        <v>4970</v>
      </c>
      <c r="AP49" s="255">
        <v>8680</v>
      </c>
      <c r="AQ49" s="254">
        <f t="shared" si="1"/>
        <v>4340</v>
      </c>
      <c r="AR49" s="255">
        <v>6720</v>
      </c>
      <c r="AS49" s="254">
        <f t="shared" si="2"/>
        <v>3360</v>
      </c>
      <c r="AT49" s="256">
        <v>560</v>
      </c>
      <c r="AU49" s="257">
        <f t="shared" si="3"/>
        <v>280</v>
      </c>
      <c r="AV49" s="255">
        <v>27477</v>
      </c>
      <c r="AW49" s="257">
        <f t="shared" si="4"/>
        <v>13738.5</v>
      </c>
      <c r="AX49" s="255">
        <v>8086</v>
      </c>
      <c r="AY49" s="257">
        <f t="shared" si="5"/>
        <v>4043</v>
      </c>
      <c r="AZ49" s="255">
        <v>55838</v>
      </c>
      <c r="BA49" s="257">
        <f t="shared" si="6"/>
        <v>27919</v>
      </c>
      <c r="BB49" s="255">
        <v>32600</v>
      </c>
      <c r="BC49" s="257">
        <f t="shared" si="7"/>
        <v>16300</v>
      </c>
      <c r="BD49" s="255">
        <v>15118</v>
      </c>
      <c r="BE49" s="257">
        <f t="shared" si="8"/>
        <v>7559</v>
      </c>
      <c r="BF49" s="255">
        <v>6120</v>
      </c>
      <c r="BG49" s="257">
        <f t="shared" si="9"/>
        <v>3060</v>
      </c>
      <c r="BH49" s="255">
        <v>2120</v>
      </c>
      <c r="BI49" s="257">
        <f t="shared" si="10"/>
        <v>1060</v>
      </c>
      <c r="BJ49" s="255">
        <v>2880</v>
      </c>
      <c r="BK49" s="257">
        <f t="shared" si="11"/>
        <v>1440</v>
      </c>
    </row>
    <row r="50" spans="1:63" ht="15.75" customHeight="1">
      <c r="A50" s="250" t="s">
        <v>105</v>
      </c>
      <c r="B50" s="59" t="s">
        <v>171</v>
      </c>
      <c r="C50" s="59" t="s">
        <v>172</v>
      </c>
      <c r="D50" s="457"/>
      <c r="E50" s="43" t="s">
        <v>173</v>
      </c>
      <c r="F50" s="450"/>
      <c r="G50" s="202">
        <v>2021</v>
      </c>
      <c r="H50" s="74" t="s">
        <v>197</v>
      </c>
      <c r="I50" s="231" t="s">
        <v>183</v>
      </c>
      <c r="J50" s="172">
        <v>14</v>
      </c>
      <c r="K50" s="74" t="s">
        <v>198</v>
      </c>
      <c r="L50" s="77" t="s">
        <v>177</v>
      </c>
      <c r="M50" s="20" t="s">
        <v>192</v>
      </c>
      <c r="N50" s="20">
        <v>12.15</v>
      </c>
      <c r="O50" s="20">
        <v>12.15</v>
      </c>
      <c r="P50" s="20">
        <v>12.15</v>
      </c>
      <c r="Q50" s="20">
        <v>12.15</v>
      </c>
      <c r="R50" s="20">
        <v>12.15</v>
      </c>
      <c r="S50" s="20">
        <v>12.15</v>
      </c>
      <c r="T50" s="20">
        <v>12.15</v>
      </c>
      <c r="U50" s="20">
        <v>12.15</v>
      </c>
      <c r="V50" s="20">
        <v>12.15</v>
      </c>
      <c r="W50" s="20">
        <v>12.15</v>
      </c>
      <c r="X50" s="20">
        <v>12.15</v>
      </c>
      <c r="Y50" s="20">
        <v>12.15</v>
      </c>
      <c r="Z50" s="20">
        <v>12.15</v>
      </c>
      <c r="AA50" s="20">
        <v>2</v>
      </c>
      <c r="AB50" s="3">
        <v>2</v>
      </c>
      <c r="AC50" s="3">
        <v>2</v>
      </c>
      <c r="AD50" s="3">
        <v>2</v>
      </c>
      <c r="AE50" s="3">
        <v>2</v>
      </c>
      <c r="AF50" s="3">
        <v>2</v>
      </c>
      <c r="AG50" s="3">
        <v>2</v>
      </c>
      <c r="AH50" s="3">
        <v>2</v>
      </c>
      <c r="AI50" s="3">
        <v>2</v>
      </c>
      <c r="AJ50" s="3">
        <v>2</v>
      </c>
      <c r="AK50" s="3">
        <v>2</v>
      </c>
      <c r="AL50" s="3">
        <v>2</v>
      </c>
      <c r="AM50" s="3">
        <v>2</v>
      </c>
      <c r="AN50" s="168"/>
      <c r="AO50" s="254">
        <f t="shared" si="0"/>
        <v>0</v>
      </c>
      <c r="AP50" s="255"/>
      <c r="AQ50" s="254">
        <f t="shared" si="1"/>
        <v>0</v>
      </c>
      <c r="AR50" s="255"/>
      <c r="AS50" s="254">
        <f t="shared" si="2"/>
        <v>0</v>
      </c>
      <c r="AT50" s="256"/>
      <c r="AU50" s="257">
        <f t="shared" si="3"/>
        <v>0</v>
      </c>
      <c r="AV50" s="255"/>
      <c r="AW50" s="257">
        <f t="shared" si="4"/>
        <v>0</v>
      </c>
      <c r="AX50" s="255"/>
      <c r="AY50" s="257">
        <f t="shared" si="5"/>
        <v>0</v>
      </c>
      <c r="AZ50" s="255"/>
      <c r="BA50" s="257">
        <f t="shared" si="6"/>
        <v>0</v>
      </c>
      <c r="BB50" s="255"/>
      <c r="BC50" s="257">
        <f t="shared" si="7"/>
        <v>0</v>
      </c>
      <c r="BD50" s="255">
        <v>1160</v>
      </c>
      <c r="BE50" s="257">
        <f t="shared" si="8"/>
        <v>2320</v>
      </c>
      <c r="BF50" s="255">
        <v>120</v>
      </c>
      <c r="BG50" s="257">
        <f t="shared" si="9"/>
        <v>240</v>
      </c>
      <c r="BH50" s="255">
        <v>80</v>
      </c>
      <c r="BI50" s="257">
        <f t="shared" si="10"/>
        <v>160</v>
      </c>
      <c r="BJ50" s="255">
        <v>3200</v>
      </c>
      <c r="BK50" s="257">
        <f t="shared" si="11"/>
        <v>6400</v>
      </c>
    </row>
    <row r="51" spans="1:63" ht="15.75" customHeight="1">
      <c r="A51" s="250" t="s">
        <v>105</v>
      </c>
      <c r="B51" s="59" t="s">
        <v>171</v>
      </c>
      <c r="C51" s="59" t="s">
        <v>172</v>
      </c>
      <c r="D51" s="457"/>
      <c r="E51" s="43" t="s">
        <v>173</v>
      </c>
      <c r="F51" s="450"/>
      <c r="G51" s="202">
        <v>2020</v>
      </c>
      <c r="H51" s="74" t="s">
        <v>199</v>
      </c>
      <c r="I51" s="231" t="s">
        <v>190</v>
      </c>
      <c r="J51" s="172">
        <v>11</v>
      </c>
      <c r="K51" s="74" t="s">
        <v>200</v>
      </c>
      <c r="L51" s="77" t="s">
        <v>177</v>
      </c>
      <c r="M51" s="20" t="s">
        <v>192</v>
      </c>
      <c r="N51" s="20">
        <v>4.0999999999999996</v>
      </c>
      <c r="O51" s="20">
        <v>4.0999999999999996</v>
      </c>
      <c r="P51" s="20">
        <v>4.0999999999999996</v>
      </c>
      <c r="Q51" s="20">
        <v>4.0999999999999996</v>
      </c>
      <c r="R51" s="20">
        <v>4.0999999999999996</v>
      </c>
      <c r="S51" s="20">
        <v>4.0999999999999996</v>
      </c>
      <c r="T51" s="20">
        <v>4.0999999999999996</v>
      </c>
      <c r="U51" s="20">
        <v>4.0999999999999996</v>
      </c>
      <c r="V51" s="20">
        <v>4.0999999999999996</v>
      </c>
      <c r="W51" s="20">
        <v>4.0999999999999996</v>
      </c>
      <c r="X51" s="20">
        <v>4.0999999999999996</v>
      </c>
      <c r="Y51" s="20">
        <v>4.0999999999999996</v>
      </c>
      <c r="Z51" s="20">
        <v>4.0999999999999996</v>
      </c>
      <c r="AA51" s="20">
        <v>0.7</v>
      </c>
      <c r="AB51" s="3">
        <v>0.7</v>
      </c>
      <c r="AC51" s="3">
        <v>0.7</v>
      </c>
      <c r="AD51" s="3">
        <v>0.7</v>
      </c>
      <c r="AE51" s="3">
        <v>0.7</v>
      </c>
      <c r="AF51" s="3">
        <v>0.7</v>
      </c>
      <c r="AG51" s="3">
        <v>0.7</v>
      </c>
      <c r="AH51" s="3">
        <v>0.7</v>
      </c>
      <c r="AI51" s="3">
        <v>0.7</v>
      </c>
      <c r="AJ51" s="3">
        <v>0.7</v>
      </c>
      <c r="AK51" s="3">
        <v>0.7</v>
      </c>
      <c r="AL51" s="3">
        <v>0.7</v>
      </c>
      <c r="AM51" s="3">
        <v>0.7</v>
      </c>
      <c r="AN51" s="168"/>
      <c r="AO51" s="254">
        <f t="shared" si="0"/>
        <v>0</v>
      </c>
      <c r="AP51" s="255"/>
      <c r="AQ51" s="254">
        <f t="shared" si="1"/>
        <v>0</v>
      </c>
      <c r="AR51" s="255"/>
      <c r="AS51" s="254">
        <f t="shared" si="2"/>
        <v>0</v>
      </c>
      <c r="AT51" s="256"/>
      <c r="AU51" s="257">
        <f t="shared" si="3"/>
        <v>0</v>
      </c>
      <c r="AV51" s="255"/>
      <c r="AW51" s="257">
        <f t="shared" si="4"/>
        <v>0</v>
      </c>
      <c r="AX51" s="255"/>
      <c r="AY51" s="257">
        <f t="shared" si="5"/>
        <v>0</v>
      </c>
      <c r="AZ51" s="255">
        <v>2080</v>
      </c>
      <c r="BA51" s="257">
        <f t="shared" si="6"/>
        <v>1456</v>
      </c>
      <c r="BB51" s="255">
        <v>1160</v>
      </c>
      <c r="BC51" s="257">
        <f t="shared" si="7"/>
        <v>812</v>
      </c>
      <c r="BD51" s="255">
        <v>880</v>
      </c>
      <c r="BE51" s="257">
        <f t="shared" si="8"/>
        <v>616</v>
      </c>
      <c r="BF51" s="255"/>
      <c r="BG51" s="257">
        <f t="shared" si="9"/>
        <v>0</v>
      </c>
      <c r="BH51" s="255">
        <v>320</v>
      </c>
      <c r="BI51" s="257">
        <f t="shared" si="10"/>
        <v>224</v>
      </c>
      <c r="BJ51" s="255"/>
      <c r="BK51" s="257">
        <f t="shared" si="11"/>
        <v>0</v>
      </c>
    </row>
    <row r="52" spans="1:63" ht="15.75" customHeight="1">
      <c r="A52" s="250" t="s">
        <v>105</v>
      </c>
      <c r="B52" s="59" t="s">
        <v>171</v>
      </c>
      <c r="C52" s="59" t="s">
        <v>172</v>
      </c>
      <c r="D52" s="457"/>
      <c r="E52" s="43" t="s">
        <v>173</v>
      </c>
      <c r="F52" s="450"/>
      <c r="G52" s="202">
        <v>2021</v>
      </c>
      <c r="H52" s="74" t="s">
        <v>201</v>
      </c>
      <c r="I52" s="231" t="s">
        <v>190</v>
      </c>
      <c r="J52" s="172">
        <v>11</v>
      </c>
      <c r="K52" s="74" t="s">
        <v>198</v>
      </c>
      <c r="L52" s="77" t="s">
        <v>177</v>
      </c>
      <c r="M52" s="20" t="s">
        <v>192</v>
      </c>
      <c r="N52" s="20">
        <v>4.0999999999999996</v>
      </c>
      <c r="O52" s="20">
        <v>4.0999999999999996</v>
      </c>
      <c r="P52" s="20">
        <v>4.0999999999999996</v>
      </c>
      <c r="Q52" s="20">
        <v>4.0999999999999996</v>
      </c>
      <c r="R52" s="20">
        <v>4.0999999999999996</v>
      </c>
      <c r="S52" s="20">
        <v>4.0999999999999996</v>
      </c>
      <c r="T52" s="20">
        <v>4.0999999999999996</v>
      </c>
      <c r="U52" s="20">
        <v>4.0999999999999996</v>
      </c>
      <c r="V52" s="20">
        <v>4.0999999999999996</v>
      </c>
      <c r="W52" s="20">
        <v>4.0999999999999996</v>
      </c>
      <c r="X52" s="20">
        <v>4.0999999999999996</v>
      </c>
      <c r="Y52" s="20">
        <v>4.0999999999999996</v>
      </c>
      <c r="Z52" s="20">
        <v>4.0999999999999996</v>
      </c>
      <c r="AA52" s="20">
        <v>0.7</v>
      </c>
      <c r="AB52" s="3">
        <v>0.7</v>
      </c>
      <c r="AC52" s="3">
        <v>0.7</v>
      </c>
      <c r="AD52" s="3">
        <v>0.7</v>
      </c>
      <c r="AE52" s="3">
        <v>0.7</v>
      </c>
      <c r="AF52" s="3">
        <v>0.7</v>
      </c>
      <c r="AG52" s="3">
        <v>0.7</v>
      </c>
      <c r="AH52" s="3">
        <v>0.7</v>
      </c>
      <c r="AI52" s="3">
        <v>0.7</v>
      </c>
      <c r="AJ52" s="3">
        <v>0.7</v>
      </c>
      <c r="AK52" s="3">
        <v>0.7</v>
      </c>
      <c r="AL52" s="3">
        <v>0.7</v>
      </c>
      <c r="AM52" s="3">
        <v>0.7</v>
      </c>
      <c r="AN52" s="168">
        <v>35120</v>
      </c>
      <c r="AO52" s="254">
        <f t="shared" si="0"/>
        <v>24584</v>
      </c>
      <c r="AP52" s="255">
        <v>25119</v>
      </c>
      <c r="AQ52" s="254">
        <f t="shared" si="1"/>
        <v>17583.3</v>
      </c>
      <c r="AR52" s="255">
        <v>9680</v>
      </c>
      <c r="AS52" s="254">
        <f t="shared" si="2"/>
        <v>6776</v>
      </c>
      <c r="AT52" s="256">
        <v>50360</v>
      </c>
      <c r="AU52" s="257">
        <f t="shared" si="3"/>
        <v>35252</v>
      </c>
      <c r="AV52" s="255">
        <v>93668</v>
      </c>
      <c r="AW52" s="257">
        <f t="shared" si="4"/>
        <v>65567.599999999991</v>
      </c>
      <c r="AX52" s="255">
        <v>41880</v>
      </c>
      <c r="AY52" s="257">
        <f t="shared" si="5"/>
        <v>29315.999999999996</v>
      </c>
      <c r="AZ52" s="255">
        <v>126917</v>
      </c>
      <c r="BA52" s="257">
        <f t="shared" si="6"/>
        <v>88841.9</v>
      </c>
      <c r="BB52" s="255">
        <v>57280</v>
      </c>
      <c r="BC52" s="257">
        <f t="shared" si="7"/>
        <v>40096</v>
      </c>
      <c r="BD52" s="255">
        <v>50360</v>
      </c>
      <c r="BE52" s="257">
        <f t="shared" si="8"/>
        <v>35252</v>
      </c>
      <c r="BF52" s="255">
        <v>22280</v>
      </c>
      <c r="BG52" s="257">
        <f t="shared" si="9"/>
        <v>15595.999999999998</v>
      </c>
      <c r="BH52" s="255"/>
      <c r="BI52" s="257">
        <f t="shared" si="10"/>
        <v>0</v>
      </c>
      <c r="BJ52" s="255">
        <v>7720</v>
      </c>
      <c r="BK52" s="257">
        <f t="shared" si="11"/>
        <v>5404</v>
      </c>
    </row>
    <row r="53" spans="1:63" ht="15.75" customHeight="1">
      <c r="A53" s="250" t="s">
        <v>105</v>
      </c>
      <c r="B53" s="59" t="s">
        <v>171</v>
      </c>
      <c r="C53" s="59" t="s">
        <v>172</v>
      </c>
      <c r="D53" s="457"/>
      <c r="E53" s="43" t="s">
        <v>173</v>
      </c>
      <c r="F53" s="450"/>
      <c r="G53" s="202">
        <v>2021</v>
      </c>
      <c r="H53" s="74" t="s">
        <v>202</v>
      </c>
      <c r="I53" s="231" t="s">
        <v>183</v>
      </c>
      <c r="J53" s="172">
        <v>14</v>
      </c>
      <c r="K53" s="74" t="s">
        <v>203</v>
      </c>
      <c r="L53" s="77" t="s">
        <v>177</v>
      </c>
      <c r="M53" s="20" t="s">
        <v>204</v>
      </c>
      <c r="N53" s="20">
        <v>13.1</v>
      </c>
      <c r="O53" s="20">
        <v>13.1</v>
      </c>
      <c r="P53" s="20">
        <v>13.1</v>
      </c>
      <c r="Q53" s="20">
        <v>13.1</v>
      </c>
      <c r="R53" s="20">
        <v>13.1</v>
      </c>
      <c r="S53" s="20">
        <v>13.1</v>
      </c>
      <c r="T53" s="20">
        <v>13.1</v>
      </c>
      <c r="U53" s="20">
        <v>13.1</v>
      </c>
      <c r="V53" s="20">
        <v>13.1</v>
      </c>
      <c r="W53" s="20">
        <v>13.1</v>
      </c>
      <c r="X53" s="20">
        <v>13.1</v>
      </c>
      <c r="Y53" s="20">
        <v>13.1</v>
      </c>
      <c r="Z53" s="20">
        <v>13.1</v>
      </c>
      <c r="AA53" s="20">
        <v>3</v>
      </c>
      <c r="AB53" s="3">
        <v>4</v>
      </c>
      <c r="AC53" s="3">
        <v>4</v>
      </c>
      <c r="AD53" s="3">
        <v>4</v>
      </c>
      <c r="AE53" s="3">
        <v>4</v>
      </c>
      <c r="AF53" s="3">
        <v>4</v>
      </c>
      <c r="AG53" s="3">
        <v>4</v>
      </c>
      <c r="AH53" s="3">
        <v>4</v>
      </c>
      <c r="AI53" s="3">
        <v>4</v>
      </c>
      <c r="AJ53" s="3">
        <v>4</v>
      </c>
      <c r="AK53" s="3">
        <v>4</v>
      </c>
      <c r="AL53" s="3">
        <v>4</v>
      </c>
      <c r="AM53" s="3">
        <v>4</v>
      </c>
      <c r="AN53" s="168">
        <v>3760</v>
      </c>
      <c r="AO53" s="254">
        <f t="shared" si="0"/>
        <v>15040</v>
      </c>
      <c r="AP53" s="255">
        <v>519</v>
      </c>
      <c r="AQ53" s="254">
        <f t="shared" si="1"/>
        <v>2076</v>
      </c>
      <c r="AR53" s="255">
        <v>162</v>
      </c>
      <c r="AS53" s="254">
        <f t="shared" si="2"/>
        <v>648</v>
      </c>
      <c r="AT53" s="256">
        <v>195</v>
      </c>
      <c r="AU53" s="257">
        <f t="shared" si="3"/>
        <v>780</v>
      </c>
      <c r="AV53" s="255">
        <v>40</v>
      </c>
      <c r="AW53" s="257">
        <f t="shared" si="4"/>
        <v>160</v>
      </c>
      <c r="AX53" s="255">
        <v>200</v>
      </c>
      <c r="AY53" s="257">
        <f t="shared" si="5"/>
        <v>800</v>
      </c>
      <c r="AZ53" s="255">
        <v>160</v>
      </c>
      <c r="BA53" s="257">
        <f t="shared" si="6"/>
        <v>640</v>
      </c>
      <c r="BB53" s="255">
        <v>3200</v>
      </c>
      <c r="BC53" s="257">
        <f t="shared" si="7"/>
        <v>12800</v>
      </c>
      <c r="BD53" s="255">
        <v>1160</v>
      </c>
      <c r="BE53" s="257">
        <f t="shared" si="8"/>
        <v>4640</v>
      </c>
      <c r="BF53" s="255"/>
      <c r="BG53" s="257">
        <f t="shared" si="9"/>
        <v>0</v>
      </c>
      <c r="BH53" s="255"/>
      <c r="BI53" s="257">
        <f t="shared" si="10"/>
        <v>0</v>
      </c>
      <c r="BJ53" s="255"/>
      <c r="BK53" s="257">
        <f t="shared" si="11"/>
        <v>0</v>
      </c>
    </row>
    <row r="54" spans="1:63" ht="15.6" customHeight="1">
      <c r="A54" s="250" t="s">
        <v>105</v>
      </c>
      <c r="B54" s="59" t="s">
        <v>171</v>
      </c>
      <c r="C54" s="59" t="s">
        <v>172</v>
      </c>
      <c r="D54" s="457"/>
      <c r="E54" s="43" t="s">
        <v>173</v>
      </c>
      <c r="F54" s="450"/>
      <c r="G54" s="202">
        <v>2021</v>
      </c>
      <c r="H54" s="74" t="s">
        <v>202</v>
      </c>
      <c r="I54" s="231" t="s">
        <v>190</v>
      </c>
      <c r="J54" s="172">
        <v>14</v>
      </c>
      <c r="K54" s="74" t="s">
        <v>203</v>
      </c>
      <c r="L54" s="77" t="s">
        <v>177</v>
      </c>
      <c r="M54" s="20" t="s">
        <v>204</v>
      </c>
      <c r="N54" s="20">
        <v>5.9</v>
      </c>
      <c r="O54" s="20">
        <v>5.9</v>
      </c>
      <c r="P54" s="20">
        <v>5.9</v>
      </c>
      <c r="Q54" s="20">
        <v>5.9</v>
      </c>
      <c r="R54" s="20">
        <v>5.9</v>
      </c>
      <c r="S54" s="20">
        <v>5.9</v>
      </c>
      <c r="T54" s="20">
        <v>5.9</v>
      </c>
      <c r="U54" s="20">
        <v>5.9</v>
      </c>
      <c r="V54" s="20">
        <v>5.9</v>
      </c>
      <c r="W54" s="20">
        <v>5.9</v>
      </c>
      <c r="X54" s="20">
        <v>5.9</v>
      </c>
      <c r="Y54" s="20">
        <v>5.9</v>
      </c>
      <c r="Z54" s="20">
        <v>5.9</v>
      </c>
      <c r="AA54" s="20">
        <v>0.7</v>
      </c>
      <c r="AB54" s="3">
        <v>0.7</v>
      </c>
      <c r="AC54" s="3">
        <v>0.7</v>
      </c>
      <c r="AD54" s="3">
        <v>0.7</v>
      </c>
      <c r="AE54" s="3">
        <v>0.7</v>
      </c>
      <c r="AF54" s="3">
        <v>0.7</v>
      </c>
      <c r="AG54" s="3">
        <v>0.7</v>
      </c>
      <c r="AH54" s="3">
        <v>0.7</v>
      </c>
      <c r="AI54" s="3">
        <v>0.7</v>
      </c>
      <c r="AJ54" s="3">
        <v>0.7</v>
      </c>
      <c r="AK54" s="3">
        <v>0.7</v>
      </c>
      <c r="AL54" s="3">
        <v>0.7</v>
      </c>
      <c r="AM54" s="3">
        <v>0.7</v>
      </c>
      <c r="AN54" s="168"/>
      <c r="AO54" s="254">
        <f t="shared" si="0"/>
        <v>0</v>
      </c>
      <c r="AP54" s="255"/>
      <c r="AQ54" s="254">
        <f t="shared" si="1"/>
        <v>0</v>
      </c>
      <c r="AR54" s="255"/>
      <c r="AS54" s="254">
        <f t="shared" si="2"/>
        <v>0</v>
      </c>
      <c r="AT54" s="256"/>
      <c r="AU54" s="257">
        <f t="shared" si="3"/>
        <v>0</v>
      </c>
      <c r="AV54" s="255"/>
      <c r="AW54" s="257">
        <f t="shared" si="4"/>
        <v>0</v>
      </c>
      <c r="AX54" s="255"/>
      <c r="AY54" s="257">
        <f t="shared" si="5"/>
        <v>0</v>
      </c>
      <c r="AZ54" s="255"/>
      <c r="BA54" s="257">
        <f t="shared" si="6"/>
        <v>0</v>
      </c>
      <c r="BB54" s="255"/>
      <c r="BC54" s="257">
        <f t="shared" si="7"/>
        <v>0</v>
      </c>
      <c r="BD54" s="255"/>
      <c r="BE54" s="257">
        <f t="shared" si="8"/>
        <v>0</v>
      </c>
      <c r="BF54" s="255"/>
      <c r="BG54" s="257">
        <f t="shared" si="9"/>
        <v>0</v>
      </c>
      <c r="BH54" s="255"/>
      <c r="BI54" s="257">
        <f t="shared" si="10"/>
        <v>0</v>
      </c>
      <c r="BJ54" s="255"/>
      <c r="BK54" s="257">
        <f t="shared" si="11"/>
        <v>0</v>
      </c>
    </row>
    <row r="55" spans="1:63" ht="15.6" customHeight="1">
      <c r="A55" s="250" t="s">
        <v>105</v>
      </c>
      <c r="B55" s="59" t="s">
        <v>171</v>
      </c>
      <c r="C55" s="59" t="s">
        <v>172</v>
      </c>
      <c r="D55" s="457"/>
      <c r="E55" s="43" t="s">
        <v>173</v>
      </c>
      <c r="F55" s="450"/>
      <c r="G55" s="202">
        <v>2021</v>
      </c>
      <c r="H55" s="74" t="s">
        <v>205</v>
      </c>
      <c r="I55" s="231" t="s">
        <v>183</v>
      </c>
      <c r="J55" s="172">
        <v>14</v>
      </c>
      <c r="K55" s="74" t="s">
        <v>206</v>
      </c>
      <c r="L55" s="77" t="s">
        <v>177</v>
      </c>
      <c r="M55" s="20" t="s">
        <v>192</v>
      </c>
      <c r="N55" s="235">
        <v>13.1</v>
      </c>
      <c r="O55" s="235">
        <v>13.1</v>
      </c>
      <c r="P55" s="235">
        <v>13.1</v>
      </c>
      <c r="Q55" s="235">
        <v>13.1</v>
      </c>
      <c r="R55" s="235">
        <v>13.1</v>
      </c>
      <c r="S55" s="235">
        <v>13.1</v>
      </c>
      <c r="T55" s="235">
        <v>13.1</v>
      </c>
      <c r="U55" s="235">
        <v>13.1</v>
      </c>
      <c r="V55" s="235">
        <v>13.1</v>
      </c>
      <c r="W55" s="235">
        <v>13.1</v>
      </c>
      <c r="X55" s="235">
        <v>13.1</v>
      </c>
      <c r="Y55" s="235">
        <v>13.1</v>
      </c>
      <c r="Z55" s="235">
        <v>13.1</v>
      </c>
      <c r="AA55" s="20">
        <v>4</v>
      </c>
      <c r="AB55" s="3">
        <v>4</v>
      </c>
      <c r="AC55" s="3">
        <v>4</v>
      </c>
      <c r="AD55" s="3">
        <v>4</v>
      </c>
      <c r="AE55" s="3">
        <v>4</v>
      </c>
      <c r="AF55" s="3">
        <v>4</v>
      </c>
      <c r="AG55" s="3">
        <v>4</v>
      </c>
      <c r="AH55" s="3">
        <v>4</v>
      </c>
      <c r="AI55" s="3">
        <v>4</v>
      </c>
      <c r="AJ55" s="3">
        <v>4</v>
      </c>
      <c r="AK55" s="3">
        <v>4</v>
      </c>
      <c r="AL55" s="3">
        <v>4</v>
      </c>
      <c r="AM55" s="3">
        <v>4</v>
      </c>
      <c r="AN55" s="168">
        <v>240</v>
      </c>
      <c r="AO55" s="254">
        <f t="shared" si="0"/>
        <v>960</v>
      </c>
      <c r="AP55" s="255">
        <v>440</v>
      </c>
      <c r="AQ55" s="254">
        <f t="shared" si="1"/>
        <v>1760</v>
      </c>
      <c r="AR55" s="255">
        <v>200</v>
      </c>
      <c r="AS55" s="254">
        <f t="shared" si="2"/>
        <v>800</v>
      </c>
      <c r="AT55" s="256">
        <v>40</v>
      </c>
      <c r="AU55" s="257">
        <f t="shared" si="3"/>
        <v>160</v>
      </c>
      <c r="AV55" s="255">
        <v>120</v>
      </c>
      <c r="AW55" s="257">
        <f t="shared" si="4"/>
        <v>480</v>
      </c>
      <c r="AX55" s="255">
        <v>785</v>
      </c>
      <c r="AY55" s="257">
        <f t="shared" si="5"/>
        <v>3140</v>
      </c>
      <c r="AZ55" s="255">
        <v>35</v>
      </c>
      <c r="BA55" s="257">
        <f t="shared" si="6"/>
        <v>140</v>
      </c>
      <c r="BB55" s="255">
        <v>36</v>
      </c>
      <c r="BC55" s="257">
        <f t="shared" si="7"/>
        <v>144</v>
      </c>
      <c r="BD55" s="255">
        <v>40</v>
      </c>
      <c r="BE55" s="257">
        <f t="shared" si="8"/>
        <v>160</v>
      </c>
      <c r="BF55" s="255">
        <v>120</v>
      </c>
      <c r="BG55" s="257">
        <f t="shared" si="9"/>
        <v>480</v>
      </c>
      <c r="BH55" s="255"/>
      <c r="BI55" s="257">
        <f t="shared" si="10"/>
        <v>0</v>
      </c>
      <c r="BJ55" s="255">
        <v>147</v>
      </c>
      <c r="BK55" s="257">
        <f t="shared" si="11"/>
        <v>588</v>
      </c>
    </row>
    <row r="56" spans="1:63" ht="15.75" customHeight="1">
      <c r="A56" s="250" t="s">
        <v>105</v>
      </c>
      <c r="B56" s="59" t="s">
        <v>171</v>
      </c>
      <c r="C56" s="59" t="s">
        <v>172</v>
      </c>
      <c r="D56" s="457"/>
      <c r="E56" s="43" t="s">
        <v>173</v>
      </c>
      <c r="F56" s="450"/>
      <c r="G56" s="202">
        <v>2021</v>
      </c>
      <c r="H56" s="74" t="s">
        <v>205</v>
      </c>
      <c r="I56" s="231" t="s">
        <v>190</v>
      </c>
      <c r="J56" s="172">
        <v>14</v>
      </c>
      <c r="K56" s="74" t="s">
        <v>206</v>
      </c>
      <c r="L56" s="77" t="s">
        <v>177</v>
      </c>
      <c r="M56" s="20" t="s">
        <v>192</v>
      </c>
      <c r="N56" s="235">
        <v>5.9</v>
      </c>
      <c r="O56" s="235">
        <v>5.9</v>
      </c>
      <c r="P56" s="235">
        <v>5.9</v>
      </c>
      <c r="Q56" s="235">
        <v>5.9</v>
      </c>
      <c r="R56" s="235">
        <v>5.9</v>
      </c>
      <c r="S56" s="235">
        <v>5.9</v>
      </c>
      <c r="T56" s="235">
        <v>5.9</v>
      </c>
      <c r="U56" s="235">
        <v>5.9</v>
      </c>
      <c r="V56" s="235">
        <v>5.9</v>
      </c>
      <c r="W56" s="235">
        <v>5.9</v>
      </c>
      <c r="X56" s="235">
        <v>5.9</v>
      </c>
      <c r="Y56" s="235">
        <v>5.9</v>
      </c>
      <c r="Z56" s="235">
        <v>5.9</v>
      </c>
      <c r="AA56" s="20">
        <v>1</v>
      </c>
      <c r="AB56" s="3">
        <v>1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1</v>
      </c>
      <c r="AN56" s="168">
        <v>2720</v>
      </c>
      <c r="AO56" s="254">
        <f t="shared" si="0"/>
        <v>2720</v>
      </c>
      <c r="AP56" s="255">
        <v>520</v>
      </c>
      <c r="AQ56" s="254">
        <f t="shared" si="1"/>
        <v>520</v>
      </c>
      <c r="AR56" s="255">
        <v>120</v>
      </c>
      <c r="AS56" s="254">
        <f t="shared" si="2"/>
        <v>120</v>
      </c>
      <c r="AT56" s="256">
        <v>40</v>
      </c>
      <c r="AU56" s="257">
        <f t="shared" si="3"/>
        <v>40</v>
      </c>
      <c r="AV56" s="255">
        <v>280</v>
      </c>
      <c r="AW56" s="257">
        <f t="shared" si="4"/>
        <v>280</v>
      </c>
      <c r="AX56" s="255"/>
      <c r="AY56" s="257">
        <f t="shared" si="5"/>
        <v>0</v>
      </c>
      <c r="AZ56" s="255"/>
      <c r="BA56" s="257">
        <f t="shared" si="6"/>
        <v>0</v>
      </c>
      <c r="BB56" s="255"/>
      <c r="BC56" s="257">
        <f t="shared" si="7"/>
        <v>0</v>
      </c>
      <c r="BD56" s="255"/>
      <c r="BE56" s="257">
        <f t="shared" si="8"/>
        <v>0</v>
      </c>
      <c r="BF56" s="255">
        <v>40</v>
      </c>
      <c r="BG56" s="257">
        <f t="shared" si="9"/>
        <v>40</v>
      </c>
      <c r="BH56" s="255"/>
      <c r="BI56" s="257">
        <f t="shared" si="10"/>
        <v>0</v>
      </c>
      <c r="BJ56" s="255"/>
      <c r="BK56" s="257">
        <f t="shared" si="11"/>
        <v>0</v>
      </c>
    </row>
    <row r="57" spans="1:63" ht="15.75" customHeight="1">
      <c r="A57" s="250" t="s">
        <v>105</v>
      </c>
      <c r="B57" s="59" t="s">
        <v>171</v>
      </c>
      <c r="C57" s="59" t="s">
        <v>172</v>
      </c>
      <c r="D57" s="457"/>
      <c r="E57" s="43" t="s">
        <v>173</v>
      </c>
      <c r="F57" s="450"/>
      <c r="G57" s="202">
        <v>2019</v>
      </c>
      <c r="H57" s="74" t="s">
        <v>207</v>
      </c>
      <c r="I57" s="231" t="s">
        <v>183</v>
      </c>
      <c r="J57" s="172">
        <v>13</v>
      </c>
      <c r="K57" s="74" t="s">
        <v>208</v>
      </c>
      <c r="L57" s="77" t="s">
        <v>177</v>
      </c>
      <c r="M57" s="20" t="s">
        <v>192</v>
      </c>
      <c r="N57" s="20">
        <v>13.37</v>
      </c>
      <c r="O57" s="20">
        <v>13.37</v>
      </c>
      <c r="P57" s="20">
        <v>13.37</v>
      </c>
      <c r="Q57" s="20">
        <v>13.37</v>
      </c>
      <c r="R57" s="20">
        <v>13.37</v>
      </c>
      <c r="S57" s="20">
        <v>13.37</v>
      </c>
      <c r="T57" s="20">
        <v>13.37</v>
      </c>
      <c r="U57" s="20">
        <v>13.37</v>
      </c>
      <c r="V57" s="20">
        <v>13.37</v>
      </c>
      <c r="W57" s="20">
        <v>13.37</v>
      </c>
      <c r="X57" s="20">
        <v>13.37</v>
      </c>
      <c r="Y57" s="20">
        <v>13.37</v>
      </c>
      <c r="Z57" s="20">
        <v>13.37</v>
      </c>
      <c r="AA57" s="20">
        <v>3.5</v>
      </c>
      <c r="AB57" s="3">
        <v>3.5</v>
      </c>
      <c r="AC57" s="3">
        <v>3.5</v>
      </c>
      <c r="AD57" s="3">
        <v>3.5</v>
      </c>
      <c r="AE57" s="3">
        <v>3.5</v>
      </c>
      <c r="AF57" s="3">
        <v>3.5</v>
      </c>
      <c r="AG57" s="3">
        <v>3.5</v>
      </c>
      <c r="AH57" s="3">
        <v>3.5</v>
      </c>
      <c r="AI57" s="3">
        <v>3.5</v>
      </c>
      <c r="AJ57" s="3">
        <v>3.5</v>
      </c>
      <c r="AK57" s="3">
        <v>3.5</v>
      </c>
      <c r="AL57" s="3">
        <v>3.5</v>
      </c>
      <c r="AM57" s="3">
        <v>3.5</v>
      </c>
      <c r="AN57" s="168"/>
      <c r="AO57" s="254">
        <f t="shared" si="0"/>
        <v>0</v>
      </c>
      <c r="AP57" s="255"/>
      <c r="AQ57" s="254">
        <f t="shared" si="1"/>
        <v>0</v>
      </c>
      <c r="AR57" s="255">
        <v>526</v>
      </c>
      <c r="AS57" s="254">
        <f t="shared" si="2"/>
        <v>1841</v>
      </c>
      <c r="AT57" s="256"/>
      <c r="AU57" s="257">
        <f t="shared" si="3"/>
        <v>0</v>
      </c>
      <c r="AV57" s="255"/>
      <c r="AW57" s="257">
        <f t="shared" si="4"/>
        <v>0</v>
      </c>
      <c r="AX57" s="255"/>
      <c r="AY57" s="257">
        <f t="shared" si="5"/>
        <v>0</v>
      </c>
      <c r="AZ57" s="255"/>
      <c r="BA57" s="257">
        <f t="shared" si="6"/>
        <v>0</v>
      </c>
      <c r="BB57" s="255"/>
      <c r="BC57" s="257">
        <f t="shared" si="7"/>
        <v>0</v>
      </c>
      <c r="BD57" s="255"/>
      <c r="BE57" s="257">
        <f t="shared" si="8"/>
        <v>0</v>
      </c>
      <c r="BF57" s="255"/>
      <c r="BG57" s="257">
        <f t="shared" si="9"/>
        <v>0</v>
      </c>
      <c r="BH57" s="255"/>
      <c r="BI57" s="257">
        <f t="shared" si="10"/>
        <v>0</v>
      </c>
      <c r="BJ57" s="255"/>
      <c r="BK57" s="257">
        <f t="shared" si="11"/>
        <v>0</v>
      </c>
    </row>
    <row r="58" spans="1:63" ht="15.75" customHeight="1">
      <c r="A58" s="250" t="s">
        <v>105</v>
      </c>
      <c r="B58" s="59" t="s">
        <v>171</v>
      </c>
      <c r="C58" s="59" t="s">
        <v>172</v>
      </c>
      <c r="D58" s="457"/>
      <c r="E58" s="43" t="s">
        <v>173</v>
      </c>
      <c r="F58" s="450"/>
      <c r="G58" s="202">
        <v>2022</v>
      </c>
      <c r="H58" s="74" t="s">
        <v>209</v>
      </c>
      <c r="I58" s="231" t="s">
        <v>183</v>
      </c>
      <c r="J58" s="172">
        <v>14</v>
      </c>
      <c r="K58" s="74" t="s">
        <v>210</v>
      </c>
      <c r="L58" s="77" t="s">
        <v>177</v>
      </c>
      <c r="M58" s="20" t="s">
        <v>192</v>
      </c>
      <c r="N58" s="20">
        <v>13.45</v>
      </c>
      <c r="O58" s="20">
        <v>13.45</v>
      </c>
      <c r="P58" s="20">
        <v>13.45</v>
      </c>
      <c r="Q58" s="20">
        <v>13.45</v>
      </c>
      <c r="R58" s="20">
        <v>13.45</v>
      </c>
      <c r="S58" s="20">
        <v>13.45</v>
      </c>
      <c r="T58" s="20">
        <v>13.45</v>
      </c>
      <c r="U58" s="20">
        <v>13.45</v>
      </c>
      <c r="V58" s="20">
        <v>13.45</v>
      </c>
      <c r="W58" s="20">
        <v>13.45</v>
      </c>
      <c r="X58" s="20">
        <v>13.45</v>
      </c>
      <c r="Y58" s="20">
        <v>13.45</v>
      </c>
      <c r="Z58" s="20">
        <v>13.45</v>
      </c>
      <c r="AA58" s="20">
        <v>0</v>
      </c>
      <c r="AB58" s="3">
        <v>1.5</v>
      </c>
      <c r="AC58" s="3">
        <v>1.5</v>
      </c>
      <c r="AD58" s="3">
        <v>1.5</v>
      </c>
      <c r="AE58" s="3">
        <v>1.5</v>
      </c>
      <c r="AF58" s="3">
        <v>1.5</v>
      </c>
      <c r="AG58" s="3">
        <v>1.5</v>
      </c>
      <c r="AH58" s="3">
        <v>1.5</v>
      </c>
      <c r="AI58" s="3">
        <v>1.5</v>
      </c>
      <c r="AJ58" s="3">
        <v>1.5</v>
      </c>
      <c r="AK58" s="3">
        <v>1.5</v>
      </c>
      <c r="AL58" s="3">
        <v>1.5</v>
      </c>
      <c r="AM58" s="3">
        <v>1.5</v>
      </c>
      <c r="AN58" s="168">
        <v>2360</v>
      </c>
      <c r="AO58" s="254">
        <f t="shared" si="0"/>
        <v>3540</v>
      </c>
      <c r="AP58" s="255">
        <v>4590</v>
      </c>
      <c r="AQ58" s="254">
        <f t="shared" si="1"/>
        <v>6885</v>
      </c>
      <c r="AR58" s="255">
        <v>433</v>
      </c>
      <c r="AS58" s="254">
        <f t="shared" si="2"/>
        <v>649.5</v>
      </c>
      <c r="AT58" s="256">
        <v>920</v>
      </c>
      <c r="AU58" s="257">
        <f t="shared" si="3"/>
        <v>1380</v>
      </c>
      <c r="AV58" s="255"/>
      <c r="AW58" s="257">
        <f t="shared" si="4"/>
        <v>0</v>
      </c>
      <c r="AX58" s="255">
        <v>1520</v>
      </c>
      <c r="AY58" s="257">
        <f t="shared" si="5"/>
        <v>2280</v>
      </c>
      <c r="AZ58" s="255">
        <v>2440</v>
      </c>
      <c r="BA58" s="257">
        <f t="shared" si="6"/>
        <v>3660</v>
      </c>
      <c r="BB58" s="255">
        <v>360</v>
      </c>
      <c r="BC58" s="257">
        <f t="shared" si="7"/>
        <v>540</v>
      </c>
      <c r="BD58" s="255">
        <v>840</v>
      </c>
      <c r="BE58" s="257">
        <f t="shared" si="8"/>
        <v>1260</v>
      </c>
      <c r="BF58" s="255">
        <v>2318</v>
      </c>
      <c r="BG58" s="257">
        <f t="shared" si="9"/>
        <v>3477</v>
      </c>
      <c r="BH58" s="255">
        <v>280</v>
      </c>
      <c r="BI58" s="257">
        <f t="shared" si="10"/>
        <v>420</v>
      </c>
      <c r="BJ58" s="255">
        <v>360</v>
      </c>
      <c r="BK58" s="257">
        <f t="shared" si="11"/>
        <v>540</v>
      </c>
    </row>
    <row r="59" spans="1:63" ht="15.75" customHeight="1">
      <c r="A59" s="250" t="s">
        <v>105</v>
      </c>
      <c r="B59" s="59" t="s">
        <v>171</v>
      </c>
      <c r="C59" s="59" t="s">
        <v>172</v>
      </c>
      <c r="D59" s="457"/>
      <c r="E59" s="43" t="s">
        <v>173</v>
      </c>
      <c r="F59" s="450"/>
      <c r="G59" s="202">
        <v>2022</v>
      </c>
      <c r="H59" s="74" t="s">
        <v>211</v>
      </c>
      <c r="I59" s="231" t="s">
        <v>183</v>
      </c>
      <c r="J59" s="172">
        <v>14</v>
      </c>
      <c r="K59" s="74" t="s">
        <v>210</v>
      </c>
      <c r="L59" s="77" t="s">
        <v>177</v>
      </c>
      <c r="M59" s="20" t="s">
        <v>192</v>
      </c>
      <c r="N59" s="20">
        <v>12.45</v>
      </c>
      <c r="O59" s="20">
        <v>12.45</v>
      </c>
      <c r="P59" s="20">
        <v>12.45</v>
      </c>
      <c r="Q59" s="20">
        <v>12.45</v>
      </c>
      <c r="R59" s="20">
        <v>12.45</v>
      </c>
      <c r="S59" s="20">
        <v>12.45</v>
      </c>
      <c r="T59" s="20">
        <v>12.45</v>
      </c>
      <c r="U59" s="20">
        <v>12.45</v>
      </c>
      <c r="V59" s="20">
        <v>12.45</v>
      </c>
      <c r="W59" s="20">
        <v>12.45</v>
      </c>
      <c r="X59" s="20">
        <v>12.45</v>
      </c>
      <c r="Y59" s="20">
        <v>12.45</v>
      </c>
      <c r="Z59" s="20">
        <v>12.45</v>
      </c>
      <c r="AA59" s="20">
        <v>0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>
        <v>1</v>
      </c>
      <c r="AM59" s="3">
        <v>1</v>
      </c>
      <c r="AN59" s="168"/>
      <c r="AO59" s="254">
        <f t="shared" si="0"/>
        <v>0</v>
      </c>
      <c r="AP59" s="255">
        <v>2000</v>
      </c>
      <c r="AQ59" s="254">
        <f t="shared" si="1"/>
        <v>2000</v>
      </c>
      <c r="AR59" s="255"/>
      <c r="AS59" s="254">
        <f t="shared" si="2"/>
        <v>0</v>
      </c>
      <c r="AT59" s="256"/>
      <c r="AU59" s="257">
        <f t="shared" si="3"/>
        <v>0</v>
      </c>
      <c r="AV59" s="255"/>
      <c r="AW59" s="257">
        <f t="shared" si="4"/>
        <v>0</v>
      </c>
      <c r="AX59" s="255">
        <v>3520</v>
      </c>
      <c r="AY59" s="257">
        <f t="shared" si="5"/>
        <v>3520</v>
      </c>
      <c r="AZ59" s="255"/>
      <c r="BA59" s="257">
        <f t="shared" si="6"/>
        <v>0</v>
      </c>
      <c r="BB59" s="255">
        <v>1280</v>
      </c>
      <c r="BC59" s="257">
        <f t="shared" si="7"/>
        <v>1280</v>
      </c>
      <c r="BD59" s="255">
        <v>3040</v>
      </c>
      <c r="BE59" s="257">
        <f t="shared" si="8"/>
        <v>3040</v>
      </c>
      <c r="BF59" s="255">
        <v>760</v>
      </c>
      <c r="BG59" s="257">
        <f t="shared" si="9"/>
        <v>760</v>
      </c>
      <c r="BH59" s="255">
        <v>1320</v>
      </c>
      <c r="BI59" s="257">
        <f t="shared" si="10"/>
        <v>1320</v>
      </c>
      <c r="BJ59" s="255">
        <v>1265</v>
      </c>
      <c r="BK59" s="257">
        <f t="shared" si="11"/>
        <v>1265</v>
      </c>
    </row>
    <row r="60" spans="1:63" ht="15.75" customHeight="1">
      <c r="A60" s="250" t="s">
        <v>105</v>
      </c>
      <c r="B60" s="59" t="s">
        <v>171</v>
      </c>
      <c r="C60" s="59" t="s">
        <v>172</v>
      </c>
      <c r="D60" s="457"/>
      <c r="E60" s="43" t="s">
        <v>173</v>
      </c>
      <c r="F60" s="450"/>
      <c r="G60" s="202">
        <v>2022</v>
      </c>
      <c r="H60" s="74" t="s">
        <v>211</v>
      </c>
      <c r="I60" s="231" t="s">
        <v>190</v>
      </c>
      <c r="J60" s="172">
        <v>14</v>
      </c>
      <c r="K60" s="74" t="s">
        <v>210</v>
      </c>
      <c r="L60" s="77" t="s">
        <v>177</v>
      </c>
      <c r="M60" s="20" t="s">
        <v>192</v>
      </c>
      <c r="N60" s="20">
        <v>5.83</v>
      </c>
      <c r="O60" s="20">
        <v>5.83</v>
      </c>
      <c r="P60" s="20">
        <v>5.83</v>
      </c>
      <c r="Q60" s="20">
        <v>5.83</v>
      </c>
      <c r="R60" s="20">
        <v>5.83</v>
      </c>
      <c r="S60" s="20">
        <v>5.83</v>
      </c>
      <c r="T60" s="20">
        <v>5.83</v>
      </c>
      <c r="U60" s="20">
        <v>5.83</v>
      </c>
      <c r="V60" s="20">
        <v>5.83</v>
      </c>
      <c r="W60" s="20">
        <v>5.83</v>
      </c>
      <c r="X60" s="20">
        <v>5.83</v>
      </c>
      <c r="Y60" s="20">
        <v>5.83</v>
      </c>
      <c r="Z60" s="20">
        <v>5.83</v>
      </c>
      <c r="AA60" s="20">
        <v>0</v>
      </c>
      <c r="AB60" s="3">
        <v>0.2</v>
      </c>
      <c r="AC60" s="3">
        <v>0.2</v>
      </c>
      <c r="AD60" s="3">
        <v>0.2</v>
      </c>
      <c r="AE60" s="3">
        <v>0.2</v>
      </c>
      <c r="AF60" s="3">
        <v>0.2</v>
      </c>
      <c r="AG60" s="3">
        <v>0.2</v>
      </c>
      <c r="AH60" s="3">
        <v>0.2</v>
      </c>
      <c r="AI60" s="3">
        <v>0.2</v>
      </c>
      <c r="AJ60" s="3">
        <v>0.2</v>
      </c>
      <c r="AK60" s="3">
        <v>0.2</v>
      </c>
      <c r="AL60" s="3">
        <v>0.2</v>
      </c>
      <c r="AM60" s="3">
        <v>0.2</v>
      </c>
      <c r="AN60" s="168"/>
      <c r="AO60" s="254">
        <f t="shared" si="0"/>
        <v>0</v>
      </c>
      <c r="AP60" s="255">
        <v>40</v>
      </c>
      <c r="AQ60" s="254">
        <f t="shared" si="1"/>
        <v>8</v>
      </c>
      <c r="AR60" s="255"/>
      <c r="AS60" s="254">
        <f t="shared" si="2"/>
        <v>0</v>
      </c>
      <c r="AT60" s="256"/>
      <c r="AU60" s="257">
        <f t="shared" si="3"/>
        <v>0</v>
      </c>
      <c r="AV60" s="255"/>
      <c r="AW60" s="257">
        <f t="shared" si="4"/>
        <v>0</v>
      </c>
      <c r="AX60" s="255">
        <v>760</v>
      </c>
      <c r="AY60" s="257">
        <f t="shared" si="5"/>
        <v>152</v>
      </c>
      <c r="AZ60" s="255"/>
      <c r="BA60" s="257">
        <f t="shared" si="6"/>
        <v>0</v>
      </c>
      <c r="BB60" s="255">
        <v>200</v>
      </c>
      <c r="BC60" s="257">
        <f t="shared" si="7"/>
        <v>40</v>
      </c>
      <c r="BD60" s="255">
        <v>5560</v>
      </c>
      <c r="BE60" s="257">
        <f t="shared" si="8"/>
        <v>1112</v>
      </c>
      <c r="BF60" s="255">
        <v>280</v>
      </c>
      <c r="BG60" s="257">
        <f t="shared" si="9"/>
        <v>56</v>
      </c>
      <c r="BH60" s="255">
        <v>560</v>
      </c>
      <c r="BI60" s="257">
        <f t="shared" si="10"/>
        <v>112</v>
      </c>
      <c r="BJ60" s="255">
        <v>720</v>
      </c>
      <c r="BK60" s="257">
        <f t="shared" si="11"/>
        <v>144</v>
      </c>
    </row>
    <row r="61" spans="1:63" ht="15.75" customHeight="1" thickBot="1">
      <c r="A61" s="250" t="s">
        <v>105</v>
      </c>
      <c r="B61" s="59" t="s">
        <v>171</v>
      </c>
      <c r="C61" s="59" t="s">
        <v>172</v>
      </c>
      <c r="D61" s="457"/>
      <c r="E61" s="43" t="s">
        <v>173</v>
      </c>
      <c r="F61" s="450"/>
      <c r="G61" s="202">
        <v>2023</v>
      </c>
      <c r="H61" s="77" t="s">
        <v>212</v>
      </c>
      <c r="I61" s="231" t="s">
        <v>183</v>
      </c>
      <c r="J61" s="172">
        <v>14</v>
      </c>
      <c r="K61" s="74" t="s">
        <v>203</v>
      </c>
      <c r="L61" s="77" t="s">
        <v>177</v>
      </c>
      <c r="M61" s="20" t="s">
        <v>204</v>
      </c>
      <c r="N61" s="20">
        <v>12.45</v>
      </c>
      <c r="O61" s="20">
        <v>12.45</v>
      </c>
      <c r="P61" s="20">
        <v>12.45</v>
      </c>
      <c r="Q61" s="20">
        <v>12.45</v>
      </c>
      <c r="R61" s="20">
        <v>12.45</v>
      </c>
      <c r="S61" s="20">
        <v>12.45</v>
      </c>
      <c r="T61" s="20">
        <v>12.45</v>
      </c>
      <c r="U61" s="20">
        <v>12.45</v>
      </c>
      <c r="V61" s="20">
        <v>12.45</v>
      </c>
      <c r="W61" s="20">
        <v>12.45</v>
      </c>
      <c r="X61" s="20">
        <v>12.45</v>
      </c>
      <c r="Y61" s="20">
        <v>12.45</v>
      </c>
      <c r="Z61" s="20">
        <v>12.45</v>
      </c>
      <c r="AA61" s="20">
        <v>0</v>
      </c>
      <c r="AB61" s="3">
        <v>1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>
        <v>1</v>
      </c>
      <c r="AM61" s="3">
        <v>1</v>
      </c>
      <c r="AN61" s="168"/>
      <c r="AO61" s="254">
        <f t="shared" si="0"/>
        <v>0</v>
      </c>
      <c r="AP61" s="255"/>
      <c r="AQ61" s="254">
        <f t="shared" si="1"/>
        <v>0</v>
      </c>
      <c r="AR61" s="255"/>
      <c r="AS61" s="254">
        <f t="shared" si="2"/>
        <v>0</v>
      </c>
      <c r="AT61" s="256">
        <v>1920</v>
      </c>
      <c r="AU61" s="257">
        <f t="shared" si="3"/>
        <v>1920</v>
      </c>
      <c r="AV61" s="270">
        <v>2400</v>
      </c>
      <c r="AW61" s="257">
        <f t="shared" si="4"/>
        <v>2400</v>
      </c>
      <c r="AX61" s="270">
        <v>360</v>
      </c>
      <c r="AY61" s="257">
        <f t="shared" si="5"/>
        <v>360</v>
      </c>
      <c r="AZ61" s="268">
        <v>1600</v>
      </c>
      <c r="BA61" s="257">
        <f t="shared" si="6"/>
        <v>1600</v>
      </c>
      <c r="BB61" s="256">
        <v>40</v>
      </c>
      <c r="BC61" s="257">
        <f t="shared" si="7"/>
        <v>40</v>
      </c>
      <c r="BD61" s="256">
        <v>400</v>
      </c>
      <c r="BE61" s="257">
        <f t="shared" si="8"/>
        <v>400</v>
      </c>
      <c r="BF61" s="256">
        <v>2280</v>
      </c>
      <c r="BG61" s="257">
        <f t="shared" si="9"/>
        <v>2280</v>
      </c>
      <c r="BH61" s="268">
        <v>2200</v>
      </c>
      <c r="BI61" s="257">
        <f t="shared" si="10"/>
        <v>2200</v>
      </c>
      <c r="BJ61" s="256">
        <v>2595</v>
      </c>
      <c r="BK61" s="257">
        <f t="shared" si="11"/>
        <v>2595</v>
      </c>
    </row>
    <row r="62" spans="1:63" ht="15.75" hidden="1" customHeight="1">
      <c r="A62" s="250" t="s">
        <v>105</v>
      </c>
      <c r="C62" s="59"/>
      <c r="D62" s="457"/>
      <c r="E62" s="43"/>
      <c r="F62" s="450"/>
      <c r="G62" s="65"/>
      <c r="H62" s="77"/>
      <c r="I62" s="77"/>
      <c r="J62" s="108"/>
      <c r="K62" s="77"/>
      <c r="L62" s="77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N62" s="168"/>
      <c r="AO62" s="254">
        <f t="shared" si="0"/>
        <v>0</v>
      </c>
      <c r="AP62" s="255"/>
      <c r="AQ62" s="254">
        <f t="shared" si="1"/>
        <v>0</v>
      </c>
      <c r="AR62" s="255"/>
      <c r="AS62" s="254">
        <f t="shared" si="2"/>
        <v>0</v>
      </c>
      <c r="AT62" s="256"/>
      <c r="AU62" s="257">
        <f t="shared" si="3"/>
        <v>0</v>
      </c>
      <c r="AV62" s="270"/>
      <c r="AW62" s="257">
        <f t="shared" si="4"/>
        <v>0</v>
      </c>
      <c r="AX62" s="270"/>
      <c r="AY62" s="257">
        <f t="shared" si="5"/>
        <v>0</v>
      </c>
      <c r="AZ62" s="268"/>
      <c r="BA62" s="257">
        <f t="shared" si="6"/>
        <v>0</v>
      </c>
      <c r="BB62" s="59"/>
      <c r="BC62" s="257">
        <f t="shared" si="7"/>
        <v>0</v>
      </c>
      <c r="BD62" s="59"/>
      <c r="BE62" s="257">
        <f t="shared" si="8"/>
        <v>0</v>
      </c>
      <c r="BF62" s="59"/>
      <c r="BG62" s="257">
        <f t="shared" si="9"/>
        <v>0</v>
      </c>
      <c r="BH62" s="59"/>
      <c r="BI62" s="257">
        <f t="shared" si="10"/>
        <v>0</v>
      </c>
      <c r="BJ62" s="59"/>
      <c r="BK62" s="257">
        <f t="shared" si="11"/>
        <v>0</v>
      </c>
    </row>
    <row r="63" spans="1:63" ht="15.75" hidden="1" customHeight="1">
      <c r="A63" s="250" t="s">
        <v>105</v>
      </c>
      <c r="C63" s="59"/>
      <c r="D63" s="457"/>
      <c r="E63" s="43"/>
      <c r="F63" s="451"/>
      <c r="G63" s="67"/>
      <c r="H63" s="74"/>
      <c r="I63" s="74"/>
      <c r="J63" s="106"/>
      <c r="K63" s="74"/>
      <c r="L63" s="74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N63" s="168"/>
      <c r="AO63" s="254">
        <f t="shared" si="0"/>
        <v>0</v>
      </c>
      <c r="AP63" s="255"/>
      <c r="AQ63" s="254">
        <f t="shared" si="1"/>
        <v>0</v>
      </c>
      <c r="AR63" s="255"/>
      <c r="AS63" s="254">
        <f t="shared" si="2"/>
        <v>0</v>
      </c>
      <c r="AT63" s="256"/>
      <c r="AU63" s="257">
        <f t="shared" si="3"/>
        <v>0</v>
      </c>
      <c r="AV63" s="270"/>
      <c r="AW63" s="257">
        <f t="shared" si="4"/>
        <v>0</v>
      </c>
      <c r="AX63" s="270"/>
      <c r="AY63" s="257">
        <f t="shared" si="5"/>
        <v>0</v>
      </c>
      <c r="AZ63" s="268"/>
      <c r="BA63" s="257">
        <f t="shared" si="6"/>
        <v>0</v>
      </c>
      <c r="BB63" s="59"/>
      <c r="BC63" s="257">
        <f t="shared" si="7"/>
        <v>0</v>
      </c>
      <c r="BD63" s="59"/>
      <c r="BE63" s="257">
        <f t="shared" si="8"/>
        <v>0</v>
      </c>
      <c r="BF63" s="59"/>
      <c r="BG63" s="257">
        <f t="shared" si="9"/>
        <v>0</v>
      </c>
      <c r="BH63" s="59"/>
      <c r="BI63" s="257">
        <f t="shared" si="10"/>
        <v>0</v>
      </c>
      <c r="BJ63" s="59"/>
      <c r="BK63" s="257">
        <f t="shared" si="11"/>
        <v>0</v>
      </c>
    </row>
    <row r="64" spans="1:63" ht="15" hidden="1" customHeight="1" thickBot="1">
      <c r="A64" s="250" t="s">
        <v>105</v>
      </c>
      <c r="C64" s="59"/>
      <c r="D64" s="457"/>
      <c r="E64" s="43"/>
      <c r="F64" s="452"/>
      <c r="G64" s="75"/>
      <c r="H64" s="76"/>
      <c r="I64" s="76"/>
      <c r="J64" s="107"/>
      <c r="K64" s="76"/>
      <c r="L64" s="76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4"/>
      <c r="AC64" s="234"/>
      <c r="AD64" s="234"/>
      <c r="AN64" s="166"/>
      <c r="AO64" s="254">
        <f t="shared" si="0"/>
        <v>0</v>
      </c>
      <c r="AP64" s="255"/>
      <c r="AQ64" s="254">
        <f t="shared" si="1"/>
        <v>0</v>
      </c>
      <c r="AR64" s="255"/>
      <c r="AS64" s="254">
        <f t="shared" si="2"/>
        <v>0</v>
      </c>
      <c r="AT64" s="256"/>
      <c r="AU64" s="257">
        <f t="shared" si="3"/>
        <v>0</v>
      </c>
      <c r="AV64" s="270"/>
      <c r="AW64" s="257">
        <f t="shared" si="4"/>
        <v>0</v>
      </c>
      <c r="AX64" s="270"/>
      <c r="AY64" s="257">
        <f t="shared" si="5"/>
        <v>0</v>
      </c>
      <c r="AZ64" s="268"/>
      <c r="BA64" s="257">
        <f t="shared" si="6"/>
        <v>0</v>
      </c>
      <c r="BB64" s="59"/>
      <c r="BC64" s="257">
        <f t="shared" si="7"/>
        <v>0</v>
      </c>
      <c r="BD64" s="59"/>
      <c r="BE64" s="257">
        <f t="shared" si="8"/>
        <v>0</v>
      </c>
      <c r="BF64" s="59"/>
      <c r="BG64" s="257">
        <f t="shared" si="9"/>
        <v>0</v>
      </c>
      <c r="BH64" s="59"/>
      <c r="BI64" s="257">
        <f t="shared" si="10"/>
        <v>0</v>
      </c>
      <c r="BJ64" s="59"/>
      <c r="BK64" s="257">
        <f t="shared" si="11"/>
        <v>0</v>
      </c>
    </row>
    <row r="65" spans="1:63" ht="17.25" customHeight="1">
      <c r="A65" s="250" t="s">
        <v>105</v>
      </c>
      <c r="B65" s="59" t="s">
        <v>213</v>
      </c>
      <c r="C65" s="59" t="s">
        <v>172</v>
      </c>
      <c r="D65" s="457"/>
      <c r="E65" s="37" t="s">
        <v>214</v>
      </c>
      <c r="F65" s="459" t="s">
        <v>215</v>
      </c>
      <c r="G65" s="228">
        <v>2019</v>
      </c>
      <c r="H65" s="177" t="s">
        <v>216</v>
      </c>
      <c r="I65" s="233" t="s">
        <v>190</v>
      </c>
      <c r="J65" s="232" t="s">
        <v>217</v>
      </c>
      <c r="K65" s="177" t="s">
        <v>217</v>
      </c>
      <c r="L65" s="73" t="s">
        <v>177</v>
      </c>
      <c r="M65" s="25" t="s">
        <v>218</v>
      </c>
      <c r="N65" s="25">
        <v>5.55</v>
      </c>
      <c r="O65" s="25">
        <v>5.55</v>
      </c>
      <c r="P65" s="25">
        <v>5.55</v>
      </c>
      <c r="Q65" s="25">
        <v>5.55</v>
      </c>
      <c r="R65" s="25">
        <v>5.55</v>
      </c>
      <c r="S65" s="25">
        <v>5.55</v>
      </c>
      <c r="T65" s="25">
        <v>5.55</v>
      </c>
      <c r="U65" s="25">
        <v>5.55</v>
      </c>
      <c r="V65" s="25">
        <v>5.55</v>
      </c>
      <c r="W65" s="25">
        <v>5.55</v>
      </c>
      <c r="X65" s="25">
        <v>5.55</v>
      </c>
      <c r="Y65" s="25">
        <v>5.55</v>
      </c>
      <c r="Z65" s="25">
        <v>5.55</v>
      </c>
      <c r="AA65" s="21">
        <v>0.37</v>
      </c>
      <c r="AB65" s="6">
        <v>0.37</v>
      </c>
      <c r="AC65" s="6">
        <v>0.37</v>
      </c>
      <c r="AD65" s="6">
        <v>0.37</v>
      </c>
      <c r="AE65" s="176">
        <v>0.37</v>
      </c>
      <c r="AF65" s="173">
        <v>0.37</v>
      </c>
      <c r="AG65" s="173">
        <v>0.37</v>
      </c>
      <c r="AH65" s="173">
        <v>0.37</v>
      </c>
      <c r="AI65" s="173">
        <v>0.37</v>
      </c>
      <c r="AJ65" s="173">
        <v>0.37</v>
      </c>
      <c r="AK65" s="173">
        <v>0.37</v>
      </c>
      <c r="AL65" s="173">
        <v>0.37</v>
      </c>
      <c r="AM65" s="173">
        <v>0.37</v>
      </c>
      <c r="AN65" s="168">
        <v>2474</v>
      </c>
      <c r="AO65" s="254">
        <f t="shared" si="0"/>
        <v>915.38</v>
      </c>
      <c r="AP65" s="255">
        <v>5808</v>
      </c>
      <c r="AQ65" s="254">
        <f t="shared" si="1"/>
        <v>2148.96</v>
      </c>
      <c r="AR65" s="255">
        <v>1284</v>
      </c>
      <c r="AS65" s="254">
        <f t="shared" si="2"/>
        <v>475.08</v>
      </c>
      <c r="AT65" s="256">
        <v>4020</v>
      </c>
      <c r="AU65" s="257">
        <f t="shared" si="3"/>
        <v>1487.4</v>
      </c>
      <c r="AV65" s="255">
        <v>6516</v>
      </c>
      <c r="AW65" s="257">
        <f t="shared" si="4"/>
        <v>2410.92</v>
      </c>
      <c r="AX65" s="255">
        <v>3849</v>
      </c>
      <c r="AY65" s="257">
        <f t="shared" si="5"/>
        <v>1424.1299999999999</v>
      </c>
      <c r="AZ65" s="255">
        <v>3024</v>
      </c>
      <c r="BA65" s="257">
        <f t="shared" si="6"/>
        <v>1118.8799999999999</v>
      </c>
      <c r="BB65" s="255">
        <v>2400</v>
      </c>
      <c r="BC65" s="257">
        <f t="shared" si="7"/>
        <v>888</v>
      </c>
      <c r="BD65" s="255">
        <v>2112</v>
      </c>
      <c r="BE65" s="257">
        <f t="shared" si="8"/>
        <v>781.43999999999994</v>
      </c>
      <c r="BF65" s="255">
        <v>2652</v>
      </c>
      <c r="BG65" s="257">
        <f t="shared" si="9"/>
        <v>981.24</v>
      </c>
      <c r="BH65" s="255">
        <v>1548</v>
      </c>
      <c r="BI65" s="257">
        <f t="shared" si="10"/>
        <v>572.76</v>
      </c>
      <c r="BJ65" s="255">
        <v>1644</v>
      </c>
      <c r="BK65" s="257">
        <f t="shared" si="11"/>
        <v>608.28</v>
      </c>
    </row>
    <row r="66" spans="1:63" ht="17.25" customHeight="1">
      <c r="A66" s="250" t="s">
        <v>105</v>
      </c>
      <c r="B66" s="59" t="s">
        <v>213</v>
      </c>
      <c r="C66" s="59" t="s">
        <v>172</v>
      </c>
      <c r="D66" s="457"/>
      <c r="E66" s="37" t="s">
        <v>214</v>
      </c>
      <c r="F66" s="460"/>
      <c r="G66" s="202">
        <v>2021</v>
      </c>
      <c r="H66" s="74" t="s">
        <v>219</v>
      </c>
      <c r="I66" s="231" t="s">
        <v>190</v>
      </c>
      <c r="J66" s="230" t="s">
        <v>217</v>
      </c>
      <c r="K66" s="74" t="s">
        <v>217</v>
      </c>
      <c r="L66" s="74" t="s">
        <v>177</v>
      </c>
      <c r="M66" s="21" t="s">
        <v>218</v>
      </c>
      <c r="N66" s="21">
        <v>5.26</v>
      </c>
      <c r="O66" s="21">
        <v>5.26</v>
      </c>
      <c r="P66" s="21">
        <v>5.26</v>
      </c>
      <c r="Q66" s="21">
        <v>5.26</v>
      </c>
      <c r="R66" s="21">
        <v>5.26</v>
      </c>
      <c r="S66" s="21">
        <v>5.26</v>
      </c>
      <c r="T66" s="21">
        <v>5.26</v>
      </c>
      <c r="U66" s="21">
        <v>5.26</v>
      </c>
      <c r="V66" s="21">
        <v>5.26</v>
      </c>
      <c r="W66" s="21">
        <v>5.26</v>
      </c>
      <c r="X66" s="21">
        <v>5.26</v>
      </c>
      <c r="Y66" s="21">
        <v>5.26</v>
      </c>
      <c r="Z66" s="21">
        <v>5.26</v>
      </c>
      <c r="AA66" s="21">
        <v>0.27</v>
      </c>
      <c r="AB66" s="6">
        <v>0.27</v>
      </c>
      <c r="AC66" s="6">
        <v>0.27</v>
      </c>
      <c r="AD66" s="6">
        <v>0.27</v>
      </c>
      <c r="AE66" s="1">
        <v>0.27</v>
      </c>
      <c r="AF66" s="6">
        <v>0.27</v>
      </c>
      <c r="AG66" s="6">
        <v>0.27</v>
      </c>
      <c r="AH66" s="6">
        <v>0.27</v>
      </c>
      <c r="AI66" s="6">
        <v>0.27</v>
      </c>
      <c r="AJ66" s="6">
        <v>0.27</v>
      </c>
      <c r="AK66" s="6">
        <v>0.27</v>
      </c>
      <c r="AL66" s="6">
        <v>0.27</v>
      </c>
      <c r="AM66" s="6">
        <v>0.27</v>
      </c>
      <c r="AN66" s="168">
        <v>131092</v>
      </c>
      <c r="AO66" s="254">
        <f t="shared" si="0"/>
        <v>35394.840000000004</v>
      </c>
      <c r="AP66" s="255">
        <v>100762</v>
      </c>
      <c r="AQ66" s="254">
        <f t="shared" si="1"/>
        <v>27205.74</v>
      </c>
      <c r="AR66" s="255">
        <v>103460</v>
      </c>
      <c r="AS66" s="254">
        <f t="shared" si="2"/>
        <v>27934.2</v>
      </c>
      <c r="AT66" s="256">
        <v>72566</v>
      </c>
      <c r="AU66" s="257">
        <f t="shared" si="3"/>
        <v>19592.82</v>
      </c>
      <c r="AV66" s="255">
        <v>133746</v>
      </c>
      <c r="AW66" s="257">
        <f t="shared" si="4"/>
        <v>36111.420000000006</v>
      </c>
      <c r="AX66" s="255">
        <v>104112</v>
      </c>
      <c r="AY66" s="257">
        <f t="shared" si="5"/>
        <v>28110.240000000002</v>
      </c>
      <c r="AZ66" s="255">
        <v>63612</v>
      </c>
      <c r="BA66" s="257">
        <f t="shared" si="6"/>
        <v>17175.240000000002</v>
      </c>
      <c r="BB66" s="255">
        <v>124676</v>
      </c>
      <c r="BC66" s="257">
        <f t="shared" si="7"/>
        <v>33662.520000000004</v>
      </c>
      <c r="BD66" s="255">
        <v>120572</v>
      </c>
      <c r="BE66" s="257">
        <f t="shared" si="8"/>
        <v>32554.440000000002</v>
      </c>
      <c r="BF66" s="255">
        <v>118297</v>
      </c>
      <c r="BG66" s="257">
        <f t="shared" si="9"/>
        <v>31940.190000000002</v>
      </c>
      <c r="BH66" s="255">
        <v>160525</v>
      </c>
      <c r="BI66" s="257">
        <f t="shared" si="10"/>
        <v>43341.75</v>
      </c>
      <c r="BJ66" s="255">
        <v>94924</v>
      </c>
      <c r="BK66" s="257">
        <f t="shared" si="11"/>
        <v>25629.480000000003</v>
      </c>
    </row>
    <row r="67" spans="1:63" ht="17.25" customHeight="1" thickBot="1">
      <c r="A67" s="250" t="s">
        <v>105</v>
      </c>
      <c r="B67" s="59" t="s">
        <v>213</v>
      </c>
      <c r="C67" s="59" t="s">
        <v>172</v>
      </c>
      <c r="D67" s="457"/>
      <c r="E67" s="37" t="s">
        <v>214</v>
      </c>
      <c r="F67" s="460"/>
      <c r="G67" s="202">
        <v>2021</v>
      </c>
      <c r="H67" s="74" t="s">
        <v>219</v>
      </c>
      <c r="I67" s="231" t="s">
        <v>220</v>
      </c>
      <c r="J67" s="230" t="s">
        <v>217</v>
      </c>
      <c r="K67" s="74" t="s">
        <v>217</v>
      </c>
      <c r="L67" s="74" t="s">
        <v>177</v>
      </c>
      <c r="M67" s="21" t="s">
        <v>218</v>
      </c>
      <c r="N67" s="21">
        <v>2.15</v>
      </c>
      <c r="O67" s="21">
        <v>2.15</v>
      </c>
      <c r="P67" s="21">
        <v>2.15</v>
      </c>
      <c r="Q67" s="21">
        <v>2.15</v>
      </c>
      <c r="R67" s="21">
        <v>2.15</v>
      </c>
      <c r="S67" s="21">
        <v>2.15</v>
      </c>
      <c r="T67" s="21">
        <v>2.15</v>
      </c>
      <c r="U67" s="21">
        <v>2.15</v>
      </c>
      <c r="V67" s="21">
        <v>2.15</v>
      </c>
      <c r="W67" s="21">
        <v>2.15</v>
      </c>
      <c r="X67" s="21">
        <v>2.15</v>
      </c>
      <c r="Y67" s="21">
        <v>2.15</v>
      </c>
      <c r="Z67" s="21">
        <v>2.15</v>
      </c>
      <c r="AA67" s="21">
        <v>0</v>
      </c>
      <c r="AB67" s="6">
        <v>0</v>
      </c>
      <c r="AC67" s="6">
        <v>0</v>
      </c>
      <c r="AD67" s="6">
        <v>0</v>
      </c>
      <c r="AE67" s="1">
        <v>0</v>
      </c>
      <c r="AF67" s="165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168">
        <v>67555</v>
      </c>
      <c r="AO67" s="254">
        <f t="shared" si="0"/>
        <v>0</v>
      </c>
      <c r="AP67" s="255">
        <v>36240</v>
      </c>
      <c r="AQ67" s="254">
        <f t="shared" si="1"/>
        <v>0</v>
      </c>
      <c r="AR67" s="255">
        <v>23280</v>
      </c>
      <c r="AS67" s="254">
        <f t="shared" si="2"/>
        <v>0</v>
      </c>
      <c r="AT67" s="256">
        <v>20640</v>
      </c>
      <c r="AU67" s="257">
        <f t="shared" si="3"/>
        <v>0</v>
      </c>
      <c r="AV67" s="255">
        <v>53734</v>
      </c>
      <c r="AW67" s="257">
        <f t="shared" si="4"/>
        <v>0</v>
      </c>
      <c r="AX67" s="255">
        <v>48100</v>
      </c>
      <c r="AY67" s="257">
        <f t="shared" si="5"/>
        <v>0</v>
      </c>
      <c r="AZ67" s="255">
        <v>71280</v>
      </c>
      <c r="BA67" s="257">
        <f t="shared" si="6"/>
        <v>0</v>
      </c>
      <c r="BB67" s="255">
        <v>76500</v>
      </c>
      <c r="BC67" s="257">
        <f t="shared" si="7"/>
        <v>0</v>
      </c>
      <c r="BD67" s="255">
        <v>20400</v>
      </c>
      <c r="BE67" s="257">
        <f t="shared" si="8"/>
        <v>0</v>
      </c>
      <c r="BF67" s="255">
        <v>30000</v>
      </c>
      <c r="BG67" s="257">
        <f t="shared" si="9"/>
        <v>0</v>
      </c>
      <c r="BH67" s="255">
        <v>45360</v>
      </c>
      <c r="BI67" s="257">
        <f t="shared" si="10"/>
        <v>0</v>
      </c>
      <c r="BJ67" s="255">
        <v>47760</v>
      </c>
      <c r="BK67" s="257">
        <f t="shared" si="11"/>
        <v>0</v>
      </c>
    </row>
    <row r="68" spans="1:63" ht="15" hidden="1" customHeight="1">
      <c r="A68" s="250" t="s">
        <v>105</v>
      </c>
      <c r="C68" s="59"/>
      <c r="D68" s="457"/>
      <c r="E68" s="37"/>
      <c r="F68" s="460"/>
      <c r="G68" s="67"/>
      <c r="H68" s="74"/>
      <c r="I68" s="74"/>
      <c r="J68" s="106"/>
      <c r="K68" s="74"/>
      <c r="L68" s="74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6"/>
      <c r="AC68" s="6"/>
      <c r="AD68" s="6"/>
      <c r="AN68" s="168"/>
      <c r="AO68" s="254">
        <f t="shared" ref="AO68:AO131" si="12">AB68*AN68</f>
        <v>0</v>
      </c>
      <c r="AP68" s="255"/>
      <c r="AQ68" s="254">
        <f t="shared" ref="AQ68:AQ131" si="13">AC68*AP68</f>
        <v>0</v>
      </c>
      <c r="AR68" s="255"/>
      <c r="AS68" s="254">
        <f t="shared" ref="AS68:AS131" si="14">AD68*AR68</f>
        <v>0</v>
      </c>
      <c r="AT68" s="256"/>
      <c r="AU68" s="257">
        <f t="shared" ref="AU68:AU131" si="15">AE68*AT68</f>
        <v>0</v>
      </c>
      <c r="AV68" s="270"/>
      <c r="AW68" s="257">
        <f t="shared" ref="AW68:AW131" si="16">AF68*AV68</f>
        <v>0</v>
      </c>
      <c r="AX68" s="270"/>
      <c r="AY68" s="257">
        <f t="shared" ref="AY68:AY131" si="17">AG68*AX68</f>
        <v>0</v>
      </c>
      <c r="AZ68" s="268"/>
      <c r="BA68" s="257">
        <f t="shared" ref="BA68:BA131" si="18">AH68*AZ68</f>
        <v>0</v>
      </c>
      <c r="BB68" s="59"/>
      <c r="BC68" s="257">
        <f t="shared" ref="BC68:BC131" si="19">AI68*BB68</f>
        <v>0</v>
      </c>
      <c r="BD68" s="59"/>
      <c r="BE68" s="257">
        <f t="shared" ref="BE68:BE131" si="20">AJ68*BD68</f>
        <v>0</v>
      </c>
      <c r="BF68" s="59"/>
      <c r="BG68" s="257">
        <f t="shared" ref="BG68:BG131" si="21">AK68*BF68</f>
        <v>0</v>
      </c>
      <c r="BH68" s="59"/>
      <c r="BI68" s="257">
        <f t="shared" ref="BI68:BI131" si="22">AL68*BH68</f>
        <v>0</v>
      </c>
      <c r="BJ68" s="59"/>
      <c r="BK68" s="257">
        <f t="shared" ref="BK68:BK131" si="23">AM68*BJ68</f>
        <v>0</v>
      </c>
    </row>
    <row r="69" spans="1:63" ht="15.75" hidden="1" customHeight="1">
      <c r="A69" s="250" t="s">
        <v>105</v>
      </c>
      <c r="C69" s="59"/>
      <c r="D69" s="457"/>
      <c r="E69" s="37"/>
      <c r="F69" s="460"/>
      <c r="G69" s="67"/>
      <c r="H69" s="74"/>
      <c r="I69" s="74"/>
      <c r="J69" s="106"/>
      <c r="K69" s="74"/>
      <c r="L69" s="74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6"/>
      <c r="AC69" s="6"/>
      <c r="AD69" s="6"/>
      <c r="AN69" s="168"/>
      <c r="AO69" s="254">
        <f t="shared" si="12"/>
        <v>0</v>
      </c>
      <c r="AP69" s="255"/>
      <c r="AQ69" s="254">
        <f t="shared" si="13"/>
        <v>0</v>
      </c>
      <c r="AR69" s="255"/>
      <c r="AS69" s="254">
        <f t="shared" si="14"/>
        <v>0</v>
      </c>
      <c r="AT69" s="256"/>
      <c r="AU69" s="257">
        <f t="shared" si="15"/>
        <v>0</v>
      </c>
      <c r="AV69" s="270"/>
      <c r="AW69" s="257">
        <f t="shared" si="16"/>
        <v>0</v>
      </c>
      <c r="AX69" s="270"/>
      <c r="AY69" s="257">
        <f t="shared" si="17"/>
        <v>0</v>
      </c>
      <c r="AZ69" s="268"/>
      <c r="BA69" s="257">
        <f t="shared" si="18"/>
        <v>0</v>
      </c>
      <c r="BB69" s="59"/>
      <c r="BC69" s="257">
        <f t="shared" si="19"/>
        <v>0</v>
      </c>
      <c r="BD69" s="59"/>
      <c r="BE69" s="257">
        <f t="shared" si="20"/>
        <v>0</v>
      </c>
      <c r="BF69" s="59"/>
      <c r="BG69" s="257">
        <f t="shared" si="21"/>
        <v>0</v>
      </c>
      <c r="BH69" s="59"/>
      <c r="BI69" s="257">
        <f t="shared" si="22"/>
        <v>0</v>
      </c>
      <c r="BJ69" s="59"/>
      <c r="BK69" s="257">
        <f t="shared" si="23"/>
        <v>0</v>
      </c>
    </row>
    <row r="70" spans="1:63" ht="15.75" hidden="1" customHeight="1">
      <c r="A70" s="250" t="s">
        <v>105</v>
      </c>
      <c r="C70" s="59"/>
      <c r="D70" s="457"/>
      <c r="E70" s="37"/>
      <c r="F70" s="460"/>
      <c r="G70" s="67"/>
      <c r="H70" s="74"/>
      <c r="I70" s="74"/>
      <c r="J70" s="106"/>
      <c r="K70" s="74"/>
      <c r="L70" s="74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6"/>
      <c r="AC70" s="6"/>
      <c r="AD70" s="6"/>
      <c r="AN70" s="168"/>
      <c r="AO70" s="254">
        <f t="shared" si="12"/>
        <v>0</v>
      </c>
      <c r="AP70" s="255"/>
      <c r="AQ70" s="254">
        <f t="shared" si="13"/>
        <v>0</v>
      </c>
      <c r="AR70" s="255"/>
      <c r="AS70" s="254">
        <f t="shared" si="14"/>
        <v>0</v>
      </c>
      <c r="AT70" s="256"/>
      <c r="AU70" s="257">
        <f t="shared" si="15"/>
        <v>0</v>
      </c>
      <c r="AV70" s="270"/>
      <c r="AW70" s="257">
        <f t="shared" si="16"/>
        <v>0</v>
      </c>
      <c r="AX70" s="270"/>
      <c r="AY70" s="257">
        <f t="shared" si="17"/>
        <v>0</v>
      </c>
      <c r="AZ70" s="268"/>
      <c r="BA70" s="257">
        <f t="shared" si="18"/>
        <v>0</v>
      </c>
      <c r="BB70" s="59"/>
      <c r="BC70" s="257">
        <f t="shared" si="19"/>
        <v>0</v>
      </c>
      <c r="BD70" s="59"/>
      <c r="BE70" s="257">
        <f t="shared" si="20"/>
        <v>0</v>
      </c>
      <c r="BF70" s="59"/>
      <c r="BG70" s="257">
        <f t="shared" si="21"/>
        <v>0</v>
      </c>
      <c r="BH70" s="59"/>
      <c r="BI70" s="257">
        <f t="shared" si="22"/>
        <v>0</v>
      </c>
      <c r="BJ70" s="59"/>
      <c r="BK70" s="257">
        <f t="shared" si="23"/>
        <v>0</v>
      </c>
    </row>
    <row r="71" spans="1:63" ht="15.75" hidden="1" customHeight="1">
      <c r="A71" s="250" t="s">
        <v>105</v>
      </c>
      <c r="C71" s="59"/>
      <c r="D71" s="457"/>
      <c r="E71" s="37"/>
      <c r="F71" s="460"/>
      <c r="G71" s="67"/>
      <c r="H71" s="81"/>
      <c r="I71" s="81"/>
      <c r="J71" s="109"/>
      <c r="K71" s="81"/>
      <c r="L71" s="8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6"/>
      <c r="AC71" s="6"/>
      <c r="AD71" s="6"/>
      <c r="AN71" s="168"/>
      <c r="AO71" s="254">
        <f t="shared" si="12"/>
        <v>0</v>
      </c>
      <c r="AP71" s="255"/>
      <c r="AQ71" s="254">
        <f t="shared" si="13"/>
        <v>0</v>
      </c>
      <c r="AR71" s="255"/>
      <c r="AS71" s="254">
        <f t="shared" si="14"/>
        <v>0</v>
      </c>
      <c r="AT71" s="256"/>
      <c r="AU71" s="257">
        <f t="shared" si="15"/>
        <v>0</v>
      </c>
      <c r="AV71" s="270"/>
      <c r="AW71" s="257">
        <f t="shared" si="16"/>
        <v>0</v>
      </c>
      <c r="AX71" s="270"/>
      <c r="AY71" s="257">
        <f t="shared" si="17"/>
        <v>0</v>
      </c>
      <c r="AZ71" s="268"/>
      <c r="BA71" s="257">
        <f t="shared" si="18"/>
        <v>0</v>
      </c>
      <c r="BB71" s="59"/>
      <c r="BC71" s="257">
        <f t="shared" si="19"/>
        <v>0</v>
      </c>
      <c r="BD71" s="59"/>
      <c r="BE71" s="257">
        <f t="shared" si="20"/>
        <v>0</v>
      </c>
      <c r="BF71" s="59"/>
      <c r="BG71" s="257">
        <f t="shared" si="21"/>
        <v>0</v>
      </c>
      <c r="BH71" s="59"/>
      <c r="BI71" s="257">
        <f t="shared" si="22"/>
        <v>0</v>
      </c>
      <c r="BJ71" s="59"/>
      <c r="BK71" s="257">
        <f t="shared" si="23"/>
        <v>0</v>
      </c>
    </row>
    <row r="72" spans="1:63" ht="15.75" hidden="1" customHeight="1">
      <c r="A72" s="250" t="s">
        <v>105</v>
      </c>
      <c r="C72" s="59"/>
      <c r="D72" s="457"/>
      <c r="E72" s="37"/>
      <c r="F72" s="460"/>
      <c r="G72" s="67"/>
      <c r="H72" s="74"/>
      <c r="I72" s="74"/>
      <c r="J72" s="106"/>
      <c r="K72" s="74"/>
      <c r="L72" s="74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6"/>
      <c r="AC72" s="6"/>
      <c r="AD72" s="6"/>
      <c r="AN72" s="168"/>
      <c r="AO72" s="254">
        <f t="shared" si="12"/>
        <v>0</v>
      </c>
      <c r="AP72" s="255"/>
      <c r="AQ72" s="254">
        <f t="shared" si="13"/>
        <v>0</v>
      </c>
      <c r="AR72" s="255"/>
      <c r="AS72" s="254">
        <f t="shared" si="14"/>
        <v>0</v>
      </c>
      <c r="AT72" s="256"/>
      <c r="AU72" s="257">
        <f t="shared" si="15"/>
        <v>0</v>
      </c>
      <c r="AV72" s="270"/>
      <c r="AW72" s="257">
        <f t="shared" si="16"/>
        <v>0</v>
      </c>
      <c r="AX72" s="270"/>
      <c r="AY72" s="257">
        <f t="shared" si="17"/>
        <v>0</v>
      </c>
      <c r="AZ72" s="268"/>
      <c r="BA72" s="257">
        <f t="shared" si="18"/>
        <v>0</v>
      </c>
      <c r="BB72" s="59"/>
      <c r="BC72" s="257">
        <f t="shared" si="19"/>
        <v>0</v>
      </c>
      <c r="BD72" s="59"/>
      <c r="BE72" s="257">
        <f t="shared" si="20"/>
        <v>0</v>
      </c>
      <c r="BF72" s="59"/>
      <c r="BG72" s="257">
        <f t="shared" si="21"/>
        <v>0</v>
      </c>
      <c r="BH72" s="59"/>
      <c r="BI72" s="257">
        <f t="shared" si="22"/>
        <v>0</v>
      </c>
      <c r="BJ72" s="59"/>
      <c r="BK72" s="257">
        <f t="shared" si="23"/>
        <v>0</v>
      </c>
    </row>
    <row r="73" spans="1:63" ht="15.75" hidden="1" customHeight="1">
      <c r="A73" s="250" t="s">
        <v>105</v>
      </c>
      <c r="C73" s="59"/>
      <c r="D73" s="457"/>
      <c r="E73" s="37"/>
      <c r="F73" s="460"/>
      <c r="G73" s="67"/>
      <c r="H73" s="74"/>
      <c r="I73" s="74"/>
      <c r="J73" s="106"/>
      <c r="K73" s="74"/>
      <c r="L73" s="74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6"/>
      <c r="AC73" s="6"/>
      <c r="AD73" s="6"/>
      <c r="AN73" s="168"/>
      <c r="AO73" s="254">
        <f t="shared" si="12"/>
        <v>0</v>
      </c>
      <c r="AP73" s="255"/>
      <c r="AQ73" s="254">
        <f t="shared" si="13"/>
        <v>0</v>
      </c>
      <c r="AR73" s="255"/>
      <c r="AS73" s="254">
        <f t="shared" si="14"/>
        <v>0</v>
      </c>
      <c r="AT73" s="256"/>
      <c r="AU73" s="257">
        <f t="shared" si="15"/>
        <v>0</v>
      </c>
      <c r="AV73" s="270"/>
      <c r="AW73" s="257">
        <f t="shared" si="16"/>
        <v>0</v>
      </c>
      <c r="AX73" s="270"/>
      <c r="AY73" s="257">
        <f t="shared" si="17"/>
        <v>0</v>
      </c>
      <c r="AZ73" s="268"/>
      <c r="BA73" s="257">
        <f t="shared" si="18"/>
        <v>0</v>
      </c>
      <c r="BB73" s="59"/>
      <c r="BC73" s="257">
        <f t="shared" si="19"/>
        <v>0</v>
      </c>
      <c r="BD73" s="59"/>
      <c r="BE73" s="257">
        <f t="shared" si="20"/>
        <v>0</v>
      </c>
      <c r="BF73" s="59"/>
      <c r="BG73" s="257">
        <f t="shared" si="21"/>
        <v>0</v>
      </c>
      <c r="BH73" s="59"/>
      <c r="BI73" s="257">
        <f t="shared" si="22"/>
        <v>0</v>
      </c>
      <c r="BJ73" s="59"/>
      <c r="BK73" s="257">
        <f t="shared" si="23"/>
        <v>0</v>
      </c>
    </row>
    <row r="74" spans="1:63" s="14" customFormat="1" ht="15.75" hidden="1" customHeight="1">
      <c r="A74" s="250" t="s">
        <v>105</v>
      </c>
      <c r="B74" s="60"/>
      <c r="C74" s="60"/>
      <c r="D74" s="457"/>
      <c r="E74" s="37"/>
      <c r="F74" s="460"/>
      <c r="G74" s="72"/>
      <c r="H74" s="16"/>
      <c r="I74" s="16"/>
      <c r="J74" s="33"/>
      <c r="K74" s="16"/>
      <c r="L74" s="16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6"/>
      <c r="AC74" s="169"/>
      <c r="AD74" s="169"/>
      <c r="AN74" s="168"/>
      <c r="AO74" s="254">
        <f t="shared" si="12"/>
        <v>0</v>
      </c>
      <c r="AP74" s="258"/>
      <c r="AQ74" s="254">
        <f t="shared" si="13"/>
        <v>0</v>
      </c>
      <c r="AR74" s="258"/>
      <c r="AS74" s="254">
        <f t="shared" si="14"/>
        <v>0</v>
      </c>
      <c r="AT74" s="259"/>
      <c r="AU74" s="257">
        <f t="shared" si="15"/>
        <v>0</v>
      </c>
      <c r="AV74" s="258"/>
      <c r="AW74" s="257">
        <f t="shared" si="16"/>
        <v>0</v>
      </c>
      <c r="AX74" s="258"/>
      <c r="AY74" s="257">
        <f t="shared" si="17"/>
        <v>0</v>
      </c>
      <c r="AZ74" s="269"/>
      <c r="BA74" s="257">
        <f t="shared" si="18"/>
        <v>0</v>
      </c>
      <c r="BB74" s="60"/>
      <c r="BC74" s="257">
        <f t="shared" si="19"/>
        <v>0</v>
      </c>
      <c r="BD74" s="60"/>
      <c r="BE74" s="257">
        <f t="shared" si="20"/>
        <v>0</v>
      </c>
      <c r="BF74" s="60"/>
      <c r="BG74" s="257">
        <f t="shared" si="21"/>
        <v>0</v>
      </c>
      <c r="BH74" s="60"/>
      <c r="BI74" s="257">
        <f t="shared" si="22"/>
        <v>0</v>
      </c>
      <c r="BJ74" s="60"/>
      <c r="BK74" s="257">
        <f t="shared" si="23"/>
        <v>0</v>
      </c>
    </row>
    <row r="75" spans="1:63" s="14" customFormat="1" ht="15.75" hidden="1" customHeight="1">
      <c r="A75" s="250" t="s">
        <v>105</v>
      </c>
      <c r="B75" s="60"/>
      <c r="C75" s="60"/>
      <c r="D75" s="457"/>
      <c r="E75" s="37"/>
      <c r="F75" s="460"/>
      <c r="G75" s="72"/>
      <c r="H75" s="16"/>
      <c r="I75" s="16"/>
      <c r="J75" s="33"/>
      <c r="K75" s="16"/>
      <c r="L75" s="16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6"/>
      <c r="AC75" s="169"/>
      <c r="AD75" s="169"/>
      <c r="AN75" s="168"/>
      <c r="AO75" s="254">
        <f t="shared" si="12"/>
        <v>0</v>
      </c>
      <c r="AP75" s="258"/>
      <c r="AQ75" s="254">
        <f t="shared" si="13"/>
        <v>0</v>
      </c>
      <c r="AR75" s="258"/>
      <c r="AS75" s="254">
        <f t="shared" si="14"/>
        <v>0</v>
      </c>
      <c r="AT75" s="259"/>
      <c r="AU75" s="257">
        <f t="shared" si="15"/>
        <v>0</v>
      </c>
      <c r="AV75" s="258"/>
      <c r="AW75" s="257">
        <f t="shared" si="16"/>
        <v>0</v>
      </c>
      <c r="AX75" s="258"/>
      <c r="AY75" s="257">
        <f t="shared" si="17"/>
        <v>0</v>
      </c>
      <c r="AZ75" s="269"/>
      <c r="BA75" s="257">
        <f t="shared" si="18"/>
        <v>0</v>
      </c>
      <c r="BB75" s="60"/>
      <c r="BC75" s="257">
        <f t="shared" si="19"/>
        <v>0</v>
      </c>
      <c r="BD75" s="60"/>
      <c r="BE75" s="257">
        <f t="shared" si="20"/>
        <v>0</v>
      </c>
      <c r="BF75" s="60"/>
      <c r="BG75" s="257">
        <f t="shared" si="21"/>
        <v>0</v>
      </c>
      <c r="BH75" s="60"/>
      <c r="BI75" s="257">
        <f t="shared" si="22"/>
        <v>0</v>
      </c>
      <c r="BJ75" s="60"/>
      <c r="BK75" s="257">
        <f t="shared" si="23"/>
        <v>0</v>
      </c>
    </row>
    <row r="76" spans="1:63" s="14" customFormat="1" ht="15.75" hidden="1" customHeight="1" thickBot="1">
      <c r="A76" s="250" t="s">
        <v>105</v>
      </c>
      <c r="B76" s="60"/>
      <c r="C76" s="60"/>
      <c r="D76" s="458"/>
      <c r="E76" s="38"/>
      <c r="F76" s="461"/>
      <c r="G76" s="72"/>
      <c r="H76" s="16"/>
      <c r="I76" s="16"/>
      <c r="J76" s="33"/>
      <c r="K76" s="16"/>
      <c r="L76" s="16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6"/>
      <c r="AC76" s="169"/>
      <c r="AD76" s="169"/>
      <c r="AE76" s="229"/>
      <c r="AF76" s="229"/>
      <c r="AG76" s="229"/>
      <c r="AH76" s="229"/>
      <c r="AI76" s="229"/>
      <c r="AJ76" s="229"/>
      <c r="AK76" s="229"/>
      <c r="AL76" s="229"/>
      <c r="AM76" s="229"/>
      <c r="AN76" s="168"/>
      <c r="AO76" s="254">
        <f t="shared" si="12"/>
        <v>0</v>
      </c>
      <c r="AP76" s="258"/>
      <c r="AQ76" s="254">
        <f t="shared" si="13"/>
        <v>0</v>
      </c>
      <c r="AR76" s="258"/>
      <c r="AS76" s="254">
        <f t="shared" si="14"/>
        <v>0</v>
      </c>
      <c r="AT76" s="259"/>
      <c r="AU76" s="257">
        <f t="shared" si="15"/>
        <v>0</v>
      </c>
      <c r="AV76" s="258"/>
      <c r="AW76" s="257">
        <f t="shared" si="16"/>
        <v>0</v>
      </c>
      <c r="AX76" s="258"/>
      <c r="AY76" s="257">
        <f t="shared" si="17"/>
        <v>0</v>
      </c>
      <c r="AZ76" s="269"/>
      <c r="BA76" s="257">
        <f t="shared" si="18"/>
        <v>0</v>
      </c>
      <c r="BB76" s="60"/>
      <c r="BC76" s="257">
        <f t="shared" si="19"/>
        <v>0</v>
      </c>
      <c r="BD76" s="60"/>
      <c r="BE76" s="257">
        <f t="shared" si="20"/>
        <v>0</v>
      </c>
      <c r="BF76" s="60"/>
      <c r="BG76" s="257">
        <f t="shared" si="21"/>
        <v>0</v>
      </c>
      <c r="BH76" s="60"/>
      <c r="BI76" s="257">
        <f t="shared" si="22"/>
        <v>0</v>
      </c>
      <c r="BJ76" s="60"/>
      <c r="BK76" s="257">
        <f t="shared" si="23"/>
        <v>0</v>
      </c>
    </row>
    <row r="77" spans="1:63" ht="19.5" customHeight="1">
      <c r="A77" s="250" t="s">
        <v>105</v>
      </c>
      <c r="B77" s="59" t="s">
        <v>221</v>
      </c>
      <c r="C77" s="59" t="s">
        <v>172</v>
      </c>
      <c r="D77" s="472" t="s">
        <v>222</v>
      </c>
      <c r="E77" s="44" t="s">
        <v>173</v>
      </c>
      <c r="F77" s="443" t="s">
        <v>75</v>
      </c>
      <c r="G77" s="228" t="s">
        <v>223</v>
      </c>
      <c r="H77" s="225" t="s">
        <v>224</v>
      </c>
      <c r="I77" s="227" t="s">
        <v>183</v>
      </c>
      <c r="J77" s="226" t="s">
        <v>225</v>
      </c>
      <c r="K77" s="225" t="s">
        <v>226</v>
      </c>
      <c r="L77" s="224" t="s">
        <v>177</v>
      </c>
      <c r="M77" s="25" t="s">
        <v>178</v>
      </c>
      <c r="N77" s="25">
        <v>11.9</v>
      </c>
      <c r="O77" s="25">
        <v>11.9</v>
      </c>
      <c r="P77" s="25">
        <v>11.9</v>
      </c>
      <c r="Q77" s="25">
        <v>11.9</v>
      </c>
      <c r="R77" s="25">
        <v>11.9</v>
      </c>
      <c r="S77" s="25">
        <v>11.9</v>
      </c>
      <c r="T77" s="25">
        <v>11.9</v>
      </c>
      <c r="U77" s="25">
        <v>11.9</v>
      </c>
      <c r="V77" s="25">
        <v>11.9</v>
      </c>
      <c r="W77" s="25">
        <v>11.9</v>
      </c>
      <c r="X77" s="25">
        <v>11.9</v>
      </c>
      <c r="Y77" s="25">
        <v>11.9</v>
      </c>
      <c r="Z77" s="25">
        <v>11.9</v>
      </c>
      <c r="AA77" s="25">
        <v>1</v>
      </c>
      <c r="AB77" s="173">
        <v>1</v>
      </c>
      <c r="AC77" s="173">
        <v>1</v>
      </c>
      <c r="AD77" s="173">
        <v>1</v>
      </c>
      <c r="AE77" s="173">
        <v>1</v>
      </c>
      <c r="AF77" s="173">
        <v>1</v>
      </c>
      <c r="AG77" s="173">
        <v>1</v>
      </c>
      <c r="AH77" s="173">
        <v>1</v>
      </c>
      <c r="AI77" s="173">
        <v>1</v>
      </c>
      <c r="AJ77" s="173">
        <v>1</v>
      </c>
      <c r="AK77" s="173">
        <v>1</v>
      </c>
      <c r="AL77" s="173">
        <v>1</v>
      </c>
      <c r="AM77" s="173">
        <v>1</v>
      </c>
      <c r="AN77" s="223">
        <v>600</v>
      </c>
      <c r="AO77" s="254">
        <f t="shared" si="12"/>
        <v>600</v>
      </c>
      <c r="AP77" s="260">
        <v>1199</v>
      </c>
      <c r="AQ77" s="254">
        <f t="shared" si="13"/>
        <v>1199</v>
      </c>
      <c r="AR77" s="261">
        <v>800</v>
      </c>
      <c r="AS77" s="254">
        <f t="shared" si="14"/>
        <v>800</v>
      </c>
      <c r="AT77" s="256"/>
      <c r="AU77" s="257">
        <f t="shared" si="15"/>
        <v>0</v>
      </c>
      <c r="AV77" s="260">
        <v>1720</v>
      </c>
      <c r="AW77" s="257">
        <f t="shared" si="16"/>
        <v>1720</v>
      </c>
      <c r="AX77" s="271"/>
      <c r="AY77" s="257">
        <f t="shared" si="17"/>
        <v>0</v>
      </c>
      <c r="AZ77" s="260">
        <v>3200</v>
      </c>
      <c r="BA77" s="257">
        <f t="shared" si="18"/>
        <v>3200</v>
      </c>
      <c r="BB77" s="260">
        <v>120</v>
      </c>
      <c r="BC77" s="257">
        <f t="shared" si="19"/>
        <v>120</v>
      </c>
      <c r="BD77" s="261">
        <v>440</v>
      </c>
      <c r="BE77" s="257">
        <f t="shared" si="20"/>
        <v>440</v>
      </c>
      <c r="BF77" s="260">
        <v>400</v>
      </c>
      <c r="BG77" s="257">
        <f t="shared" si="21"/>
        <v>400</v>
      </c>
      <c r="BH77" s="260">
        <v>840</v>
      </c>
      <c r="BI77" s="257">
        <f t="shared" si="22"/>
        <v>840</v>
      </c>
      <c r="BJ77" s="260">
        <v>40</v>
      </c>
      <c r="BK77" s="257">
        <f t="shared" si="23"/>
        <v>40</v>
      </c>
    </row>
    <row r="78" spans="1:63" ht="16.5" customHeight="1">
      <c r="A78" s="250" t="s">
        <v>105</v>
      </c>
      <c r="B78" s="59" t="s">
        <v>221</v>
      </c>
      <c r="C78" s="59" t="s">
        <v>172</v>
      </c>
      <c r="D78" s="473"/>
      <c r="E78" s="44" t="s">
        <v>173</v>
      </c>
      <c r="F78" s="444"/>
      <c r="G78" s="202" t="s">
        <v>223</v>
      </c>
      <c r="H78" s="201" t="s">
        <v>224</v>
      </c>
      <c r="I78" s="207" t="s">
        <v>190</v>
      </c>
      <c r="J78" s="217" t="s">
        <v>225</v>
      </c>
      <c r="K78" s="201" t="s">
        <v>227</v>
      </c>
      <c r="L78" s="208" t="s">
        <v>177</v>
      </c>
      <c r="M78" s="21" t="s">
        <v>178</v>
      </c>
      <c r="N78" s="21">
        <v>4</v>
      </c>
      <c r="O78" s="21">
        <v>4</v>
      </c>
      <c r="P78" s="21">
        <v>4</v>
      </c>
      <c r="Q78" s="21">
        <v>4</v>
      </c>
      <c r="R78" s="21">
        <v>4</v>
      </c>
      <c r="S78" s="21">
        <v>4</v>
      </c>
      <c r="T78" s="21">
        <v>4</v>
      </c>
      <c r="U78" s="21">
        <v>4</v>
      </c>
      <c r="V78" s="21">
        <v>4</v>
      </c>
      <c r="W78" s="21">
        <v>4</v>
      </c>
      <c r="X78" s="21">
        <v>4</v>
      </c>
      <c r="Y78" s="21">
        <v>4</v>
      </c>
      <c r="Z78" s="21">
        <v>4</v>
      </c>
      <c r="AA78" s="21">
        <v>0.7</v>
      </c>
      <c r="AB78" s="6">
        <v>0.7</v>
      </c>
      <c r="AC78" s="6">
        <v>0.7</v>
      </c>
      <c r="AD78" s="6">
        <v>0.7</v>
      </c>
      <c r="AE78" s="6">
        <v>0.7</v>
      </c>
      <c r="AF78" s="6">
        <v>0.7</v>
      </c>
      <c r="AG78" s="6">
        <v>0.7</v>
      </c>
      <c r="AH78" s="6">
        <v>0.7</v>
      </c>
      <c r="AI78" s="6">
        <v>0.7</v>
      </c>
      <c r="AJ78" s="6">
        <v>0.7</v>
      </c>
      <c r="AK78" s="6">
        <v>0.7</v>
      </c>
      <c r="AL78" s="6">
        <v>0.7</v>
      </c>
      <c r="AM78" s="6">
        <v>0.7</v>
      </c>
      <c r="AN78" s="215">
        <v>7025</v>
      </c>
      <c r="AO78" s="254">
        <f t="shared" si="12"/>
        <v>4917.5</v>
      </c>
      <c r="AP78" s="260">
        <v>33680</v>
      </c>
      <c r="AQ78" s="254">
        <f t="shared" si="13"/>
        <v>23576</v>
      </c>
      <c r="AR78" s="261">
        <v>27757</v>
      </c>
      <c r="AS78" s="254">
        <f t="shared" si="14"/>
        <v>19429.899999999998</v>
      </c>
      <c r="AT78" s="256">
        <v>12600</v>
      </c>
      <c r="AU78" s="257">
        <f t="shared" si="15"/>
        <v>8820</v>
      </c>
      <c r="AV78" s="260">
        <v>66639</v>
      </c>
      <c r="AW78" s="257">
        <f t="shared" si="16"/>
        <v>46647.299999999996</v>
      </c>
      <c r="AX78" s="271">
        <v>20840</v>
      </c>
      <c r="AY78" s="257">
        <f t="shared" si="17"/>
        <v>14587.999999999998</v>
      </c>
      <c r="AZ78" s="260">
        <v>6720</v>
      </c>
      <c r="BA78" s="257">
        <f t="shared" si="18"/>
        <v>4704</v>
      </c>
      <c r="BB78" s="260">
        <v>10119</v>
      </c>
      <c r="BC78" s="257">
        <f t="shared" si="19"/>
        <v>7083.2999999999993</v>
      </c>
      <c r="BD78" s="261">
        <v>5920</v>
      </c>
      <c r="BE78" s="257">
        <f t="shared" si="20"/>
        <v>4144</v>
      </c>
      <c r="BF78" s="260">
        <v>8080</v>
      </c>
      <c r="BG78" s="257">
        <f t="shared" si="21"/>
        <v>5656</v>
      </c>
      <c r="BH78" s="260">
        <v>6720</v>
      </c>
      <c r="BI78" s="257">
        <f t="shared" si="22"/>
        <v>4704</v>
      </c>
      <c r="BJ78" s="261">
        <v>1520</v>
      </c>
      <c r="BK78" s="257">
        <f t="shared" si="23"/>
        <v>1064</v>
      </c>
    </row>
    <row r="79" spans="1:63" ht="16.5" customHeight="1">
      <c r="A79" s="250" t="s">
        <v>105</v>
      </c>
      <c r="B79" s="59" t="s">
        <v>221</v>
      </c>
      <c r="C79" s="59" t="s">
        <v>172</v>
      </c>
      <c r="D79" s="473"/>
      <c r="E79" s="44" t="s">
        <v>173</v>
      </c>
      <c r="F79" s="444"/>
      <c r="G79" s="219" t="s">
        <v>228</v>
      </c>
      <c r="H79" s="201" t="s">
        <v>229</v>
      </c>
      <c r="I79" s="220" t="s">
        <v>190</v>
      </c>
      <c r="J79" s="217" t="s">
        <v>230</v>
      </c>
      <c r="K79" s="222" t="s">
        <v>227</v>
      </c>
      <c r="L79" s="201" t="s">
        <v>185</v>
      </c>
      <c r="M79" s="21" t="s">
        <v>186</v>
      </c>
      <c r="N79" s="21">
        <v>4.2</v>
      </c>
      <c r="O79" s="21">
        <v>4.2</v>
      </c>
      <c r="P79" s="21">
        <v>4.2</v>
      </c>
      <c r="Q79" s="21">
        <v>4.2</v>
      </c>
      <c r="R79" s="21">
        <v>4.2</v>
      </c>
      <c r="S79" s="21">
        <v>4.2</v>
      </c>
      <c r="T79" s="21">
        <v>4.2</v>
      </c>
      <c r="U79" s="21">
        <v>4.2</v>
      </c>
      <c r="V79" s="21">
        <v>4.2</v>
      </c>
      <c r="W79" s="21">
        <v>4.2</v>
      </c>
      <c r="X79" s="21">
        <v>4.2</v>
      </c>
      <c r="Y79" s="21">
        <v>4.2</v>
      </c>
      <c r="Z79" s="21">
        <v>4.2</v>
      </c>
      <c r="AA79" s="21">
        <v>0.7</v>
      </c>
      <c r="AB79" s="6">
        <v>0.7</v>
      </c>
      <c r="AC79" s="6">
        <v>0.7</v>
      </c>
      <c r="AD79" s="6">
        <v>0.7</v>
      </c>
      <c r="AE79" s="6">
        <v>0.7</v>
      </c>
      <c r="AF79" s="6">
        <v>0.7</v>
      </c>
      <c r="AG79" s="6">
        <v>0.7</v>
      </c>
      <c r="AH79" s="6">
        <v>0.7</v>
      </c>
      <c r="AI79" s="6">
        <v>0.7</v>
      </c>
      <c r="AJ79" s="6">
        <v>0.7</v>
      </c>
      <c r="AK79" s="6">
        <v>0.7</v>
      </c>
      <c r="AL79" s="6">
        <v>0.7</v>
      </c>
      <c r="AM79" s="6">
        <v>0.7</v>
      </c>
      <c r="AN79" s="215">
        <v>16197</v>
      </c>
      <c r="AO79" s="254">
        <f t="shared" si="12"/>
        <v>11337.9</v>
      </c>
      <c r="AP79" s="260">
        <v>28716</v>
      </c>
      <c r="AQ79" s="254">
        <f t="shared" si="13"/>
        <v>20101.199999999997</v>
      </c>
      <c r="AR79" s="261">
        <v>11502</v>
      </c>
      <c r="AS79" s="254">
        <f t="shared" si="14"/>
        <v>8051.4</v>
      </c>
      <c r="AT79" s="256">
        <v>22880</v>
      </c>
      <c r="AU79" s="257">
        <f t="shared" si="15"/>
        <v>16015.999999999998</v>
      </c>
      <c r="AV79" s="260">
        <v>30668</v>
      </c>
      <c r="AW79" s="257">
        <f t="shared" si="16"/>
        <v>21467.599999999999</v>
      </c>
      <c r="AX79" s="271">
        <v>11131</v>
      </c>
      <c r="AY79" s="257">
        <f t="shared" si="17"/>
        <v>7791.7</v>
      </c>
      <c r="AZ79" s="260">
        <v>29151</v>
      </c>
      <c r="BA79" s="257">
        <f t="shared" si="18"/>
        <v>20405.699999999997</v>
      </c>
      <c r="BB79" s="260">
        <v>39871</v>
      </c>
      <c r="BC79" s="257">
        <f t="shared" si="19"/>
        <v>27909.699999999997</v>
      </c>
      <c r="BD79" s="261">
        <v>24819</v>
      </c>
      <c r="BE79" s="257">
        <f t="shared" si="20"/>
        <v>17373.3</v>
      </c>
      <c r="BF79" s="260">
        <v>18275</v>
      </c>
      <c r="BG79" s="257">
        <f t="shared" si="21"/>
        <v>12792.5</v>
      </c>
      <c r="BH79" s="260">
        <v>41235</v>
      </c>
      <c r="BI79" s="257">
        <f t="shared" si="22"/>
        <v>28864.499999999996</v>
      </c>
      <c r="BJ79" s="261">
        <v>24104</v>
      </c>
      <c r="BK79" s="257">
        <f t="shared" si="23"/>
        <v>16872.8</v>
      </c>
    </row>
    <row r="80" spans="1:63" ht="16.5" customHeight="1">
      <c r="A80" s="250" t="s">
        <v>105</v>
      </c>
      <c r="B80" s="59" t="s">
        <v>221</v>
      </c>
      <c r="C80" s="59" t="s">
        <v>172</v>
      </c>
      <c r="D80" s="473"/>
      <c r="E80" s="44" t="s">
        <v>173</v>
      </c>
      <c r="F80" s="444"/>
      <c r="G80" s="219" t="s">
        <v>228</v>
      </c>
      <c r="H80" s="201" t="s">
        <v>229</v>
      </c>
      <c r="I80" s="220" t="s">
        <v>190</v>
      </c>
      <c r="J80" s="217" t="s">
        <v>230</v>
      </c>
      <c r="K80" s="221" t="s">
        <v>208</v>
      </c>
      <c r="L80" s="1" t="s">
        <v>185</v>
      </c>
      <c r="M80" s="21" t="s">
        <v>186</v>
      </c>
      <c r="N80" s="21">
        <v>6.2</v>
      </c>
      <c r="O80" s="21">
        <v>6.2</v>
      </c>
      <c r="P80" s="21">
        <v>6.2</v>
      </c>
      <c r="Q80" s="21">
        <v>6.2</v>
      </c>
      <c r="R80" s="21">
        <v>6.2</v>
      </c>
      <c r="S80" s="21">
        <v>6.2</v>
      </c>
      <c r="T80" s="21">
        <v>6.2</v>
      </c>
      <c r="U80" s="21">
        <v>6.2</v>
      </c>
      <c r="V80" s="21">
        <v>6.2</v>
      </c>
      <c r="W80" s="21">
        <v>6.2</v>
      </c>
      <c r="X80" s="21">
        <v>6.2</v>
      </c>
      <c r="Y80" s="21">
        <v>6.2</v>
      </c>
      <c r="Z80" s="21">
        <v>6.2</v>
      </c>
      <c r="AA80" s="21">
        <v>1.2</v>
      </c>
      <c r="AB80" s="6">
        <v>1.2</v>
      </c>
      <c r="AC80" s="6">
        <v>1.2</v>
      </c>
      <c r="AD80" s="6">
        <v>1.2</v>
      </c>
      <c r="AE80" s="6">
        <v>1.2</v>
      </c>
      <c r="AF80" s="6">
        <v>1.2</v>
      </c>
      <c r="AG80" s="6">
        <v>1.2</v>
      </c>
      <c r="AH80" s="6">
        <v>1.2</v>
      </c>
      <c r="AI80" s="6">
        <v>1.2</v>
      </c>
      <c r="AJ80" s="6">
        <v>1.2</v>
      </c>
      <c r="AK80" s="6">
        <v>1.2</v>
      </c>
      <c r="AL80" s="6">
        <v>1.2</v>
      </c>
      <c r="AM80" s="6">
        <v>1.2</v>
      </c>
      <c r="AN80" s="215">
        <v>31290</v>
      </c>
      <c r="AO80" s="254">
        <f t="shared" si="12"/>
        <v>37548</v>
      </c>
      <c r="AP80" s="262">
        <v>16428</v>
      </c>
      <c r="AQ80" s="254">
        <f t="shared" si="13"/>
        <v>19713.599999999999</v>
      </c>
      <c r="AR80" s="261">
        <v>15011</v>
      </c>
      <c r="AS80" s="254">
        <f t="shared" si="14"/>
        <v>18013.2</v>
      </c>
      <c r="AT80" s="256">
        <v>14880</v>
      </c>
      <c r="AU80" s="257">
        <f t="shared" si="15"/>
        <v>17856</v>
      </c>
      <c r="AV80" s="260">
        <v>21422</v>
      </c>
      <c r="AW80" s="257">
        <f t="shared" si="16"/>
        <v>25706.399999999998</v>
      </c>
      <c r="AX80" s="271">
        <v>9628</v>
      </c>
      <c r="AY80" s="257">
        <f t="shared" si="17"/>
        <v>11553.6</v>
      </c>
      <c r="AZ80" s="260">
        <v>360</v>
      </c>
      <c r="BA80" s="257">
        <f t="shared" si="18"/>
        <v>432</v>
      </c>
      <c r="BB80" s="262">
        <v>996</v>
      </c>
      <c r="BC80" s="257">
        <f t="shared" si="19"/>
        <v>1195.2</v>
      </c>
      <c r="BD80" s="261">
        <v>1160</v>
      </c>
      <c r="BE80" s="257">
        <f t="shared" si="20"/>
        <v>1392</v>
      </c>
      <c r="BF80" s="260"/>
      <c r="BG80" s="257">
        <f t="shared" si="21"/>
        <v>0</v>
      </c>
      <c r="BH80" s="262"/>
      <c r="BI80" s="257">
        <f t="shared" si="22"/>
        <v>0</v>
      </c>
      <c r="BJ80" s="261">
        <v>40</v>
      </c>
      <c r="BK80" s="257">
        <f t="shared" si="23"/>
        <v>48</v>
      </c>
    </row>
    <row r="81" spans="1:63" ht="16.5" customHeight="1">
      <c r="A81" s="250" t="s">
        <v>105</v>
      </c>
      <c r="B81" s="59" t="s">
        <v>221</v>
      </c>
      <c r="C81" s="59" t="s">
        <v>172</v>
      </c>
      <c r="D81" s="473"/>
      <c r="E81" s="44" t="s">
        <v>173</v>
      </c>
      <c r="F81" s="444"/>
      <c r="G81" s="219" t="s">
        <v>228</v>
      </c>
      <c r="H81" s="201" t="s">
        <v>231</v>
      </c>
      <c r="I81" s="220" t="s">
        <v>183</v>
      </c>
      <c r="J81" s="217" t="s">
        <v>230</v>
      </c>
      <c r="K81" s="201" t="s">
        <v>208</v>
      </c>
      <c r="L81" s="201" t="s">
        <v>177</v>
      </c>
      <c r="M81" s="21" t="s">
        <v>192</v>
      </c>
      <c r="N81" s="21">
        <v>13.2</v>
      </c>
      <c r="O81" s="21">
        <v>13.2</v>
      </c>
      <c r="P81" s="21">
        <v>13.2</v>
      </c>
      <c r="Q81" s="21">
        <v>13.2</v>
      </c>
      <c r="R81" s="21">
        <v>13.2</v>
      </c>
      <c r="S81" s="21">
        <v>13.2</v>
      </c>
      <c r="T81" s="21">
        <v>13.2</v>
      </c>
      <c r="U81" s="21">
        <v>13.2</v>
      </c>
      <c r="V81" s="21">
        <v>13.2</v>
      </c>
      <c r="W81" s="21">
        <v>13.2</v>
      </c>
      <c r="X81" s="21">
        <v>13.2</v>
      </c>
      <c r="Y81" s="21">
        <v>13.2</v>
      </c>
      <c r="Z81" s="21">
        <v>13.2</v>
      </c>
      <c r="AA81" s="21">
        <v>2.8</v>
      </c>
      <c r="AB81" s="6">
        <v>2.8</v>
      </c>
      <c r="AC81" s="6">
        <v>2.8</v>
      </c>
      <c r="AD81" s="6">
        <v>2.8</v>
      </c>
      <c r="AE81" s="6">
        <v>2.8</v>
      </c>
      <c r="AF81" s="6">
        <v>2.8</v>
      </c>
      <c r="AG81" s="6">
        <v>2.8</v>
      </c>
      <c r="AH81" s="6">
        <v>2.8</v>
      </c>
      <c r="AI81" s="6">
        <v>2.8</v>
      </c>
      <c r="AJ81" s="6">
        <v>2.8</v>
      </c>
      <c r="AK81" s="6">
        <v>2.8</v>
      </c>
      <c r="AL81" s="6">
        <v>2.8</v>
      </c>
      <c r="AM81" s="6">
        <v>2.8</v>
      </c>
      <c r="AN81" s="215">
        <v>30320</v>
      </c>
      <c r="AO81" s="254">
        <f t="shared" si="12"/>
        <v>84896</v>
      </c>
      <c r="AP81" s="262">
        <v>33352</v>
      </c>
      <c r="AQ81" s="254">
        <f t="shared" si="13"/>
        <v>93385.599999999991</v>
      </c>
      <c r="AR81" s="261">
        <v>21400</v>
      </c>
      <c r="AS81" s="254">
        <f t="shared" si="14"/>
        <v>59919.999999999993</v>
      </c>
      <c r="AT81" s="256">
        <v>12996</v>
      </c>
      <c r="AU81" s="257">
        <f t="shared" si="15"/>
        <v>36388.799999999996</v>
      </c>
      <c r="AV81" s="260">
        <v>15509</v>
      </c>
      <c r="AW81" s="257">
        <f t="shared" si="16"/>
        <v>43425.2</v>
      </c>
      <c r="AX81" s="271">
        <v>11794</v>
      </c>
      <c r="AY81" s="257">
        <f t="shared" si="17"/>
        <v>33023.199999999997</v>
      </c>
      <c r="AZ81" s="260">
        <v>15114</v>
      </c>
      <c r="BA81" s="257">
        <f t="shared" si="18"/>
        <v>42319.199999999997</v>
      </c>
      <c r="BB81" s="262">
        <v>28546</v>
      </c>
      <c r="BC81" s="257">
        <f t="shared" si="19"/>
        <v>79928.799999999988</v>
      </c>
      <c r="BD81" s="261">
        <v>11480</v>
      </c>
      <c r="BE81" s="257">
        <f t="shared" si="20"/>
        <v>32143.999999999996</v>
      </c>
      <c r="BF81" s="261">
        <v>58658</v>
      </c>
      <c r="BG81" s="257">
        <f t="shared" si="21"/>
        <v>164242.4</v>
      </c>
      <c r="BH81" s="262">
        <v>52336</v>
      </c>
      <c r="BI81" s="257">
        <f t="shared" si="22"/>
        <v>146540.79999999999</v>
      </c>
      <c r="BJ81" s="261">
        <v>39950</v>
      </c>
      <c r="BK81" s="257">
        <f t="shared" si="23"/>
        <v>111860</v>
      </c>
    </row>
    <row r="82" spans="1:63" ht="15" customHeight="1">
      <c r="A82" s="250" t="s">
        <v>105</v>
      </c>
      <c r="B82" s="59" t="s">
        <v>221</v>
      </c>
      <c r="C82" s="59" t="s">
        <v>172</v>
      </c>
      <c r="D82" s="473"/>
      <c r="E82" s="44" t="s">
        <v>173</v>
      </c>
      <c r="F82" s="444"/>
      <c r="G82" s="219" t="s">
        <v>228</v>
      </c>
      <c r="H82" s="201" t="s">
        <v>231</v>
      </c>
      <c r="I82" s="220" t="s">
        <v>190</v>
      </c>
      <c r="J82" s="217" t="s">
        <v>230</v>
      </c>
      <c r="K82" s="201" t="s">
        <v>208</v>
      </c>
      <c r="L82" s="201" t="s">
        <v>177</v>
      </c>
      <c r="M82" s="21" t="s">
        <v>192</v>
      </c>
      <c r="N82" s="21">
        <v>6.35</v>
      </c>
      <c r="O82" s="21">
        <v>6.35</v>
      </c>
      <c r="P82" s="21">
        <v>6.35</v>
      </c>
      <c r="Q82" s="21">
        <v>6.35</v>
      </c>
      <c r="R82" s="21">
        <v>6.35</v>
      </c>
      <c r="S82" s="21">
        <v>6.35</v>
      </c>
      <c r="T82" s="21">
        <v>6.35</v>
      </c>
      <c r="U82" s="21">
        <v>6.35</v>
      </c>
      <c r="V82" s="21">
        <v>6.35</v>
      </c>
      <c r="W82" s="21">
        <v>6.35</v>
      </c>
      <c r="X82" s="21">
        <v>6.35</v>
      </c>
      <c r="Y82" s="21">
        <v>6.35</v>
      </c>
      <c r="Z82" s="21">
        <v>6.35</v>
      </c>
      <c r="AA82" s="21">
        <v>0.77</v>
      </c>
      <c r="AB82" s="6">
        <v>0.77</v>
      </c>
      <c r="AC82" s="6">
        <v>0.77</v>
      </c>
      <c r="AD82" s="6">
        <v>0.77</v>
      </c>
      <c r="AE82" s="6">
        <v>0.77</v>
      </c>
      <c r="AF82" s="6">
        <v>0.77</v>
      </c>
      <c r="AG82" s="6">
        <v>0.77</v>
      </c>
      <c r="AH82" s="6">
        <v>0.77</v>
      </c>
      <c r="AI82" s="6">
        <v>0.77</v>
      </c>
      <c r="AJ82" s="6">
        <v>0.77</v>
      </c>
      <c r="AK82" s="6">
        <v>0.77</v>
      </c>
      <c r="AL82" s="6">
        <v>0.77</v>
      </c>
      <c r="AM82" s="6">
        <v>0.77</v>
      </c>
      <c r="AN82" s="215">
        <v>97689</v>
      </c>
      <c r="AO82" s="254">
        <f t="shared" si="12"/>
        <v>75220.53</v>
      </c>
      <c r="AP82" s="260">
        <v>66738</v>
      </c>
      <c r="AQ82" s="254">
        <f t="shared" si="13"/>
        <v>51388.26</v>
      </c>
      <c r="AR82" s="261">
        <v>76999</v>
      </c>
      <c r="AS82" s="254">
        <f t="shared" si="14"/>
        <v>59289.23</v>
      </c>
      <c r="AT82" s="256">
        <v>45644</v>
      </c>
      <c r="AU82" s="257">
        <f t="shared" si="15"/>
        <v>35145.879999999997</v>
      </c>
      <c r="AV82" s="260">
        <v>44038</v>
      </c>
      <c r="AW82" s="257">
        <f t="shared" si="16"/>
        <v>33909.26</v>
      </c>
      <c r="AX82" s="271">
        <v>62867</v>
      </c>
      <c r="AY82" s="257">
        <f t="shared" si="17"/>
        <v>48407.590000000004</v>
      </c>
      <c r="AZ82" s="260">
        <v>61776</v>
      </c>
      <c r="BA82" s="257">
        <f t="shared" si="18"/>
        <v>47567.520000000004</v>
      </c>
      <c r="BB82" s="260">
        <v>46820</v>
      </c>
      <c r="BC82" s="257">
        <f t="shared" si="19"/>
        <v>36051.4</v>
      </c>
      <c r="BD82" s="261">
        <v>87686</v>
      </c>
      <c r="BE82" s="257">
        <f t="shared" si="20"/>
        <v>67518.22</v>
      </c>
      <c r="BF82" s="261">
        <v>112504</v>
      </c>
      <c r="BG82" s="257">
        <f t="shared" si="21"/>
        <v>86628.08</v>
      </c>
      <c r="BH82" s="260">
        <v>88592</v>
      </c>
      <c r="BI82" s="257">
        <f t="shared" si="22"/>
        <v>68215.839999999997</v>
      </c>
      <c r="BJ82" s="261">
        <v>111397</v>
      </c>
      <c r="BK82" s="257">
        <f t="shared" si="23"/>
        <v>85775.69</v>
      </c>
    </row>
    <row r="83" spans="1:63" ht="15" customHeight="1">
      <c r="A83" s="250" t="s">
        <v>105</v>
      </c>
      <c r="B83" s="59" t="s">
        <v>221</v>
      </c>
      <c r="C83" s="59" t="s">
        <v>172</v>
      </c>
      <c r="D83" s="473"/>
      <c r="E83" s="44" t="s">
        <v>173</v>
      </c>
      <c r="F83" s="444"/>
      <c r="G83" s="219" t="s">
        <v>232</v>
      </c>
      <c r="H83" s="201" t="s">
        <v>231</v>
      </c>
      <c r="I83" s="220" t="s">
        <v>183</v>
      </c>
      <c r="J83" s="217" t="s">
        <v>233</v>
      </c>
      <c r="K83" s="201" t="s">
        <v>227</v>
      </c>
      <c r="L83" s="201" t="s">
        <v>177</v>
      </c>
      <c r="M83" s="21" t="s">
        <v>192</v>
      </c>
      <c r="N83" s="21">
        <v>13.2</v>
      </c>
      <c r="O83" s="21">
        <v>13.2</v>
      </c>
      <c r="P83" s="21">
        <v>13.2</v>
      </c>
      <c r="Q83" s="21">
        <v>13.2</v>
      </c>
      <c r="R83" s="21">
        <v>13.2</v>
      </c>
      <c r="S83" s="21">
        <v>13.2</v>
      </c>
      <c r="T83" s="21">
        <v>13.2</v>
      </c>
      <c r="U83" s="21">
        <v>13.2</v>
      </c>
      <c r="V83" s="21">
        <v>13.2</v>
      </c>
      <c r="W83" s="21">
        <v>13.2</v>
      </c>
      <c r="X83" s="21">
        <v>13.2</v>
      </c>
      <c r="Y83" s="21">
        <v>13.2</v>
      </c>
      <c r="Z83" s="21">
        <v>13.2</v>
      </c>
      <c r="AA83" s="21">
        <v>2.6</v>
      </c>
      <c r="AB83" s="6">
        <v>2.6</v>
      </c>
      <c r="AC83" s="6">
        <v>2.6</v>
      </c>
      <c r="AD83" s="6">
        <v>2.6</v>
      </c>
      <c r="AE83" s="6">
        <v>2.6</v>
      </c>
      <c r="AF83" s="6">
        <v>2.6</v>
      </c>
      <c r="AG83" s="6">
        <v>2.6</v>
      </c>
      <c r="AH83" s="6">
        <v>2.6</v>
      </c>
      <c r="AI83" s="6">
        <v>2.6</v>
      </c>
      <c r="AJ83" s="6">
        <v>2.6</v>
      </c>
      <c r="AK83" s="6">
        <v>2.6</v>
      </c>
      <c r="AL83" s="6">
        <v>2.6</v>
      </c>
      <c r="AM83" s="6">
        <v>2.6</v>
      </c>
      <c r="AN83" s="215"/>
      <c r="AO83" s="254">
        <f t="shared" si="12"/>
        <v>0</v>
      </c>
      <c r="AP83" s="260"/>
      <c r="AQ83" s="254">
        <f t="shared" si="13"/>
        <v>0</v>
      </c>
      <c r="AR83" s="261"/>
      <c r="AS83" s="254">
        <f t="shared" si="14"/>
        <v>0</v>
      </c>
      <c r="AT83" s="256"/>
      <c r="AU83" s="257">
        <f t="shared" si="15"/>
        <v>0</v>
      </c>
      <c r="AV83" s="260"/>
      <c r="AW83" s="257">
        <f t="shared" si="16"/>
        <v>0</v>
      </c>
      <c r="AX83" s="271"/>
      <c r="AY83" s="257">
        <f t="shared" si="17"/>
        <v>0</v>
      </c>
      <c r="AZ83" s="260"/>
      <c r="BA83" s="257">
        <f t="shared" si="18"/>
        <v>0</v>
      </c>
      <c r="BB83" s="260"/>
      <c r="BC83" s="257">
        <f t="shared" si="19"/>
        <v>0</v>
      </c>
      <c r="BD83" s="261"/>
      <c r="BE83" s="257">
        <f t="shared" si="20"/>
        <v>0</v>
      </c>
      <c r="BF83" s="260"/>
      <c r="BG83" s="257">
        <f t="shared" si="21"/>
        <v>0</v>
      </c>
      <c r="BH83" s="260"/>
      <c r="BI83" s="257">
        <f t="shared" si="22"/>
        <v>0</v>
      </c>
      <c r="BJ83" s="261"/>
      <c r="BK83" s="257">
        <f t="shared" si="23"/>
        <v>0</v>
      </c>
    </row>
    <row r="84" spans="1:63" ht="16.5" customHeight="1">
      <c r="A84" s="250" t="s">
        <v>105</v>
      </c>
      <c r="B84" s="59" t="s">
        <v>221</v>
      </c>
      <c r="C84" s="59" t="s">
        <v>172</v>
      </c>
      <c r="D84" s="473"/>
      <c r="E84" s="44" t="s">
        <v>173</v>
      </c>
      <c r="F84" s="444"/>
      <c r="G84" s="219" t="s">
        <v>232</v>
      </c>
      <c r="H84" s="201" t="s">
        <v>231</v>
      </c>
      <c r="I84" s="220" t="s">
        <v>190</v>
      </c>
      <c r="J84" s="217" t="s">
        <v>233</v>
      </c>
      <c r="K84" s="201" t="s">
        <v>227</v>
      </c>
      <c r="L84" s="201" t="s">
        <v>177</v>
      </c>
      <c r="M84" s="21" t="s">
        <v>192</v>
      </c>
      <c r="N84" s="21">
        <v>4.3499999999999996</v>
      </c>
      <c r="O84" s="21">
        <v>4.3499999999999996</v>
      </c>
      <c r="P84" s="21">
        <v>4.3499999999999996</v>
      </c>
      <c r="Q84" s="21">
        <v>4.3499999999999996</v>
      </c>
      <c r="R84" s="21">
        <v>4.3499999999999996</v>
      </c>
      <c r="S84" s="21">
        <v>4.3499999999999996</v>
      </c>
      <c r="T84" s="21">
        <v>4.3499999999999996</v>
      </c>
      <c r="U84" s="21">
        <v>4.3499999999999996</v>
      </c>
      <c r="V84" s="21">
        <v>4.3499999999999996</v>
      </c>
      <c r="W84" s="21">
        <v>4.3499999999999996</v>
      </c>
      <c r="X84" s="21">
        <v>4.3499999999999996</v>
      </c>
      <c r="Y84" s="21">
        <v>4.3499999999999996</v>
      </c>
      <c r="Z84" s="21">
        <v>4.3499999999999996</v>
      </c>
      <c r="AA84" s="21">
        <v>0.27</v>
      </c>
      <c r="AB84" s="6">
        <v>0.27</v>
      </c>
      <c r="AC84" s="6">
        <v>0.27</v>
      </c>
      <c r="AD84" s="6">
        <v>0.27</v>
      </c>
      <c r="AE84" s="6">
        <v>0.27</v>
      </c>
      <c r="AF84" s="6">
        <v>0.27</v>
      </c>
      <c r="AG84" s="6">
        <v>0.27</v>
      </c>
      <c r="AH84" s="6">
        <v>0.27</v>
      </c>
      <c r="AI84" s="6">
        <v>0.27</v>
      </c>
      <c r="AJ84" s="6">
        <v>0.27</v>
      </c>
      <c r="AK84" s="6">
        <v>0.27</v>
      </c>
      <c r="AL84" s="6">
        <v>0.27</v>
      </c>
      <c r="AM84" s="6">
        <v>0.27</v>
      </c>
      <c r="AN84" s="215"/>
      <c r="AO84" s="254">
        <f t="shared" si="12"/>
        <v>0</v>
      </c>
      <c r="AP84" s="260"/>
      <c r="AQ84" s="254">
        <f t="shared" si="13"/>
        <v>0</v>
      </c>
      <c r="AR84" s="261"/>
      <c r="AS84" s="254">
        <f t="shared" si="14"/>
        <v>0</v>
      </c>
      <c r="AT84" s="256"/>
      <c r="AU84" s="257">
        <f t="shared" si="15"/>
        <v>0</v>
      </c>
      <c r="AV84" s="260"/>
      <c r="AW84" s="257">
        <f t="shared" si="16"/>
        <v>0</v>
      </c>
      <c r="AX84" s="271"/>
      <c r="AY84" s="257">
        <f t="shared" si="17"/>
        <v>0</v>
      </c>
      <c r="AZ84" s="260"/>
      <c r="BA84" s="257">
        <f t="shared" si="18"/>
        <v>0</v>
      </c>
      <c r="BB84" s="260"/>
      <c r="BC84" s="257">
        <f t="shared" si="19"/>
        <v>0</v>
      </c>
      <c r="BD84" s="261"/>
      <c r="BE84" s="257">
        <f t="shared" si="20"/>
        <v>0</v>
      </c>
      <c r="BF84" s="260"/>
      <c r="BG84" s="257">
        <f t="shared" si="21"/>
        <v>0</v>
      </c>
      <c r="BH84" s="260"/>
      <c r="BI84" s="257">
        <f t="shared" si="22"/>
        <v>0</v>
      </c>
      <c r="BJ84" s="261"/>
      <c r="BK84" s="257">
        <f t="shared" si="23"/>
        <v>0</v>
      </c>
    </row>
    <row r="85" spans="1:63" ht="16.5" customHeight="1">
      <c r="A85" s="250" t="s">
        <v>105</v>
      </c>
      <c r="B85" s="59" t="s">
        <v>221</v>
      </c>
      <c r="C85" s="59" t="s">
        <v>172</v>
      </c>
      <c r="D85" s="473"/>
      <c r="E85" s="44" t="s">
        <v>173</v>
      </c>
      <c r="F85" s="444"/>
      <c r="G85" s="219" t="s">
        <v>232</v>
      </c>
      <c r="H85" s="201" t="s">
        <v>231</v>
      </c>
      <c r="I85" s="220" t="s">
        <v>183</v>
      </c>
      <c r="J85" s="217" t="s">
        <v>233</v>
      </c>
      <c r="K85" s="201" t="s">
        <v>234</v>
      </c>
      <c r="L85" s="201" t="s">
        <v>177</v>
      </c>
      <c r="M85" s="21" t="s">
        <v>192</v>
      </c>
      <c r="N85" s="21">
        <v>14.8</v>
      </c>
      <c r="O85" s="21">
        <v>14.8</v>
      </c>
      <c r="P85" s="21">
        <v>14.8</v>
      </c>
      <c r="Q85" s="21">
        <v>14.8</v>
      </c>
      <c r="R85" s="21">
        <v>14.8</v>
      </c>
      <c r="S85" s="21">
        <v>14.8</v>
      </c>
      <c r="T85" s="21">
        <v>14.8</v>
      </c>
      <c r="U85" s="21">
        <v>14.8</v>
      </c>
      <c r="V85" s="21">
        <v>14.8</v>
      </c>
      <c r="W85" s="21">
        <v>14.8</v>
      </c>
      <c r="X85" s="21">
        <v>14.8</v>
      </c>
      <c r="Y85" s="21">
        <v>14.8</v>
      </c>
      <c r="Z85" s="21">
        <v>14.8</v>
      </c>
      <c r="AA85" s="21">
        <v>4.4000000000000004</v>
      </c>
      <c r="AB85" s="6">
        <v>4.4000000000000004</v>
      </c>
      <c r="AC85" s="6">
        <v>4.4000000000000004</v>
      </c>
      <c r="AD85" s="6">
        <v>4.4000000000000004</v>
      </c>
      <c r="AE85" s="6">
        <v>4.4000000000000004</v>
      </c>
      <c r="AF85" s="6">
        <v>4.4000000000000004</v>
      </c>
      <c r="AG85" s="6">
        <v>4.4000000000000004</v>
      </c>
      <c r="AH85" s="6">
        <v>4.4000000000000004</v>
      </c>
      <c r="AI85" s="6">
        <v>4.4000000000000004</v>
      </c>
      <c r="AJ85" s="6">
        <v>4.4000000000000004</v>
      </c>
      <c r="AK85" s="6">
        <v>4.4000000000000004</v>
      </c>
      <c r="AL85" s="6">
        <v>4.4000000000000004</v>
      </c>
      <c r="AM85" s="6">
        <v>4.4000000000000004</v>
      </c>
      <c r="AN85" s="215">
        <v>3040</v>
      </c>
      <c r="AO85" s="254">
        <f t="shared" si="12"/>
        <v>13376.000000000002</v>
      </c>
      <c r="AP85" s="262">
        <v>2160</v>
      </c>
      <c r="AQ85" s="254">
        <f t="shared" si="13"/>
        <v>9504</v>
      </c>
      <c r="AR85" s="261">
        <v>120</v>
      </c>
      <c r="AS85" s="254">
        <f t="shared" si="14"/>
        <v>528</v>
      </c>
      <c r="AT85" s="256">
        <v>640</v>
      </c>
      <c r="AU85" s="257">
        <f t="shared" si="15"/>
        <v>2816</v>
      </c>
      <c r="AV85" s="260">
        <v>1240</v>
      </c>
      <c r="AW85" s="257">
        <f t="shared" si="16"/>
        <v>5456</v>
      </c>
      <c r="AX85" s="271">
        <v>400</v>
      </c>
      <c r="AY85" s="257">
        <f t="shared" si="17"/>
        <v>1760.0000000000002</v>
      </c>
      <c r="AZ85" s="260">
        <v>40</v>
      </c>
      <c r="BA85" s="257">
        <f t="shared" si="18"/>
        <v>176</v>
      </c>
      <c r="BB85" s="262">
        <v>1080</v>
      </c>
      <c r="BC85" s="257">
        <f t="shared" si="19"/>
        <v>4752</v>
      </c>
      <c r="BD85" s="261"/>
      <c r="BE85" s="257">
        <f t="shared" si="20"/>
        <v>0</v>
      </c>
      <c r="BF85" s="260">
        <v>40</v>
      </c>
      <c r="BG85" s="257">
        <f t="shared" si="21"/>
        <v>176</v>
      </c>
      <c r="BH85" s="262"/>
      <c r="BI85" s="257">
        <f t="shared" si="22"/>
        <v>0</v>
      </c>
      <c r="BJ85" s="261"/>
      <c r="BK85" s="257">
        <f t="shared" si="23"/>
        <v>0</v>
      </c>
    </row>
    <row r="86" spans="1:63" ht="16.5" customHeight="1">
      <c r="A86" s="250" t="s">
        <v>105</v>
      </c>
      <c r="B86" s="59" t="s">
        <v>221</v>
      </c>
      <c r="C86" s="59" t="s">
        <v>172</v>
      </c>
      <c r="D86" s="473"/>
      <c r="E86" s="44" t="s">
        <v>173</v>
      </c>
      <c r="F86" s="444"/>
      <c r="G86" s="219" t="s">
        <v>232</v>
      </c>
      <c r="H86" s="201" t="s">
        <v>231</v>
      </c>
      <c r="I86" s="220" t="s">
        <v>190</v>
      </c>
      <c r="J86" s="217" t="s">
        <v>233</v>
      </c>
      <c r="K86" s="201" t="s">
        <v>234</v>
      </c>
      <c r="L86" s="201" t="s">
        <v>177</v>
      </c>
      <c r="M86" s="21" t="s">
        <v>192</v>
      </c>
      <c r="N86" s="21">
        <v>4.3499999999999996</v>
      </c>
      <c r="O86" s="21">
        <v>4.3499999999999996</v>
      </c>
      <c r="P86" s="21">
        <v>4.3499999999999996</v>
      </c>
      <c r="Q86" s="21">
        <v>4.3499999999999996</v>
      </c>
      <c r="R86" s="21">
        <v>4.3499999999999996</v>
      </c>
      <c r="S86" s="21">
        <v>4.3499999999999996</v>
      </c>
      <c r="T86" s="21">
        <v>4.3499999999999996</v>
      </c>
      <c r="U86" s="21">
        <v>4.3499999999999996</v>
      </c>
      <c r="V86" s="21">
        <v>4.3499999999999996</v>
      </c>
      <c r="W86" s="21">
        <v>4.3499999999999996</v>
      </c>
      <c r="X86" s="21">
        <v>4.3499999999999996</v>
      </c>
      <c r="Y86" s="21">
        <v>4.3499999999999996</v>
      </c>
      <c r="Z86" s="21">
        <v>4.3499999999999996</v>
      </c>
      <c r="AA86" s="21">
        <v>0.27</v>
      </c>
      <c r="AB86" s="6">
        <v>0.27</v>
      </c>
      <c r="AC86" s="6">
        <v>0.27</v>
      </c>
      <c r="AD86" s="6">
        <v>0.27</v>
      </c>
      <c r="AE86" s="6">
        <v>0.27</v>
      </c>
      <c r="AF86" s="6">
        <v>0.27</v>
      </c>
      <c r="AG86" s="6">
        <v>0.27</v>
      </c>
      <c r="AH86" s="6">
        <v>0.27</v>
      </c>
      <c r="AI86" s="6">
        <v>0.27</v>
      </c>
      <c r="AJ86" s="6">
        <v>0.27</v>
      </c>
      <c r="AK86" s="6">
        <v>0.27</v>
      </c>
      <c r="AL86" s="6">
        <v>0.27</v>
      </c>
      <c r="AM86" s="6">
        <v>0.27</v>
      </c>
      <c r="AN86" s="215">
        <v>2240</v>
      </c>
      <c r="AO86" s="254">
        <f t="shared" si="12"/>
        <v>604.80000000000007</v>
      </c>
      <c r="AP86" s="262">
        <v>1440</v>
      </c>
      <c r="AQ86" s="254">
        <f t="shared" si="13"/>
        <v>388.8</v>
      </c>
      <c r="AR86" s="261">
        <v>1400</v>
      </c>
      <c r="AS86" s="254">
        <f t="shared" si="14"/>
        <v>378</v>
      </c>
      <c r="AT86" s="256">
        <v>10320</v>
      </c>
      <c r="AU86" s="257">
        <f t="shared" si="15"/>
        <v>2786.4</v>
      </c>
      <c r="AV86" s="260">
        <v>80</v>
      </c>
      <c r="AW86" s="257">
        <f t="shared" si="16"/>
        <v>21.6</v>
      </c>
      <c r="AX86" s="271">
        <v>518</v>
      </c>
      <c r="AY86" s="257">
        <f t="shared" si="17"/>
        <v>139.86000000000001</v>
      </c>
      <c r="AZ86" s="260"/>
      <c r="BA86" s="257">
        <f t="shared" si="18"/>
        <v>0</v>
      </c>
      <c r="BB86" s="262"/>
      <c r="BC86" s="257">
        <f t="shared" si="19"/>
        <v>0</v>
      </c>
      <c r="BD86" s="261"/>
      <c r="BE86" s="257">
        <f t="shared" si="20"/>
        <v>0</v>
      </c>
      <c r="BF86" s="260"/>
      <c r="BG86" s="257">
        <f t="shared" si="21"/>
        <v>0</v>
      </c>
      <c r="BH86" s="260"/>
      <c r="BI86" s="257">
        <f t="shared" si="22"/>
        <v>0</v>
      </c>
      <c r="BJ86" s="260"/>
      <c r="BK86" s="257">
        <f t="shared" si="23"/>
        <v>0</v>
      </c>
    </row>
    <row r="87" spans="1:63" ht="15" customHeight="1">
      <c r="A87" s="250" t="s">
        <v>105</v>
      </c>
      <c r="B87" s="59" t="s">
        <v>221</v>
      </c>
      <c r="C87" s="59" t="s">
        <v>172</v>
      </c>
      <c r="D87" s="473"/>
      <c r="E87" s="44" t="s">
        <v>173</v>
      </c>
      <c r="F87" s="444"/>
      <c r="G87" s="219" t="s">
        <v>232</v>
      </c>
      <c r="H87" s="201" t="s">
        <v>231</v>
      </c>
      <c r="I87" s="220" t="s">
        <v>190</v>
      </c>
      <c r="J87" s="217" t="s">
        <v>233</v>
      </c>
      <c r="K87" s="201" t="s">
        <v>198</v>
      </c>
      <c r="L87" s="201" t="s">
        <v>177</v>
      </c>
      <c r="M87" s="21" t="s">
        <v>192</v>
      </c>
      <c r="N87" s="21">
        <v>4.3499999999999996</v>
      </c>
      <c r="O87" s="21">
        <v>4.3499999999999996</v>
      </c>
      <c r="P87" s="21">
        <v>4.3499999999999996</v>
      </c>
      <c r="Q87" s="21">
        <v>4.3499999999999996</v>
      </c>
      <c r="R87" s="21">
        <v>4.3499999999999996</v>
      </c>
      <c r="S87" s="21">
        <v>4.3499999999999996</v>
      </c>
      <c r="T87" s="21">
        <v>4.3499999999999996</v>
      </c>
      <c r="U87" s="21">
        <v>4.3499999999999996</v>
      </c>
      <c r="V87" s="21">
        <v>4.3499999999999996</v>
      </c>
      <c r="W87" s="21">
        <v>4.3499999999999996</v>
      </c>
      <c r="X87" s="21">
        <v>4.3499999999999996</v>
      </c>
      <c r="Y87" s="21">
        <v>4.3499999999999996</v>
      </c>
      <c r="Z87" s="21">
        <v>4.3499999999999996</v>
      </c>
      <c r="AA87" s="21">
        <v>0.27</v>
      </c>
      <c r="AB87" s="6">
        <v>0.27</v>
      </c>
      <c r="AC87" s="6">
        <v>0.27</v>
      </c>
      <c r="AD87" s="6">
        <v>0.27</v>
      </c>
      <c r="AE87" s="6">
        <v>0.27</v>
      </c>
      <c r="AF87" s="6">
        <v>0.27</v>
      </c>
      <c r="AG87" s="6">
        <v>0.27</v>
      </c>
      <c r="AH87" s="6">
        <v>0.27</v>
      </c>
      <c r="AI87" s="6">
        <v>0.27</v>
      </c>
      <c r="AJ87" s="6">
        <v>0.27</v>
      </c>
      <c r="AK87" s="6">
        <v>0.27</v>
      </c>
      <c r="AL87" s="6">
        <v>0.27</v>
      </c>
      <c r="AM87" s="6">
        <v>0.27</v>
      </c>
      <c r="AN87" s="215"/>
      <c r="AO87" s="254">
        <f t="shared" si="12"/>
        <v>0</v>
      </c>
      <c r="AP87" s="262"/>
      <c r="AQ87" s="254">
        <f t="shared" si="13"/>
        <v>0</v>
      </c>
      <c r="AR87" s="261"/>
      <c r="AS87" s="254">
        <f t="shared" si="14"/>
        <v>0</v>
      </c>
      <c r="AT87" s="256"/>
      <c r="AU87" s="257">
        <f t="shared" si="15"/>
        <v>0</v>
      </c>
      <c r="AV87" s="260"/>
      <c r="AW87" s="257">
        <f t="shared" si="16"/>
        <v>0</v>
      </c>
      <c r="AX87" s="271"/>
      <c r="AY87" s="257">
        <f t="shared" si="17"/>
        <v>0</v>
      </c>
      <c r="AZ87" s="260"/>
      <c r="BA87" s="257">
        <f t="shared" si="18"/>
        <v>0</v>
      </c>
      <c r="BB87" s="262"/>
      <c r="BC87" s="257">
        <f t="shared" si="19"/>
        <v>0</v>
      </c>
      <c r="BD87" s="261"/>
      <c r="BE87" s="257">
        <f t="shared" si="20"/>
        <v>0</v>
      </c>
      <c r="BF87" s="260"/>
      <c r="BG87" s="257">
        <f t="shared" si="21"/>
        <v>0</v>
      </c>
      <c r="BH87" s="262"/>
      <c r="BI87" s="257">
        <f t="shared" si="22"/>
        <v>0</v>
      </c>
      <c r="BJ87" s="261"/>
      <c r="BK87" s="257">
        <f t="shared" si="23"/>
        <v>0</v>
      </c>
    </row>
    <row r="88" spans="1:63" ht="15" customHeight="1">
      <c r="A88" s="250" t="s">
        <v>105</v>
      </c>
      <c r="B88" s="59" t="s">
        <v>221</v>
      </c>
      <c r="C88" s="59" t="s">
        <v>172</v>
      </c>
      <c r="D88" s="473"/>
      <c r="E88" s="44" t="s">
        <v>173</v>
      </c>
      <c r="F88" s="444"/>
      <c r="G88" s="219" t="s">
        <v>232</v>
      </c>
      <c r="H88" s="201" t="s">
        <v>231</v>
      </c>
      <c r="I88" s="220" t="s">
        <v>183</v>
      </c>
      <c r="J88" s="217" t="s">
        <v>233</v>
      </c>
      <c r="K88" s="201" t="s">
        <v>235</v>
      </c>
      <c r="L88" s="201" t="s">
        <v>177</v>
      </c>
      <c r="M88" s="21" t="s">
        <v>192</v>
      </c>
      <c r="N88" s="21">
        <v>13.9</v>
      </c>
      <c r="O88" s="21">
        <v>13.9</v>
      </c>
      <c r="P88" s="21">
        <v>13.9</v>
      </c>
      <c r="Q88" s="21">
        <v>13.9</v>
      </c>
      <c r="R88" s="21">
        <v>13.9</v>
      </c>
      <c r="S88" s="21">
        <v>13.9</v>
      </c>
      <c r="T88" s="21">
        <v>13.9</v>
      </c>
      <c r="U88" s="21">
        <v>13.9</v>
      </c>
      <c r="V88" s="21">
        <v>13.9</v>
      </c>
      <c r="W88" s="21">
        <v>13.9</v>
      </c>
      <c r="X88" s="21">
        <v>13.9</v>
      </c>
      <c r="Y88" s="21">
        <v>13.9</v>
      </c>
      <c r="Z88" s="21">
        <v>13.9</v>
      </c>
      <c r="AA88" s="21">
        <v>3</v>
      </c>
      <c r="AB88" s="6">
        <v>3</v>
      </c>
      <c r="AC88" s="6">
        <v>3</v>
      </c>
      <c r="AD88" s="6">
        <v>3</v>
      </c>
      <c r="AE88" s="6">
        <v>3</v>
      </c>
      <c r="AF88" s="6">
        <v>3</v>
      </c>
      <c r="AG88" s="6">
        <v>3</v>
      </c>
      <c r="AH88" s="6">
        <v>3</v>
      </c>
      <c r="AI88" s="6">
        <v>3</v>
      </c>
      <c r="AJ88" s="6">
        <v>3</v>
      </c>
      <c r="AK88" s="6">
        <v>3</v>
      </c>
      <c r="AL88" s="6">
        <v>3</v>
      </c>
      <c r="AM88" s="6">
        <v>3</v>
      </c>
      <c r="AN88" s="215"/>
      <c r="AO88" s="254">
        <f t="shared" si="12"/>
        <v>0</v>
      </c>
      <c r="AP88" s="262"/>
      <c r="AQ88" s="254">
        <f t="shared" si="13"/>
        <v>0</v>
      </c>
      <c r="AR88" s="261"/>
      <c r="AS88" s="254">
        <f t="shared" si="14"/>
        <v>0</v>
      </c>
      <c r="AT88" s="256"/>
      <c r="AU88" s="257">
        <f t="shared" si="15"/>
        <v>0</v>
      </c>
      <c r="AV88" s="260"/>
      <c r="AW88" s="257">
        <f t="shared" si="16"/>
        <v>0</v>
      </c>
      <c r="AX88" s="271"/>
      <c r="AY88" s="257">
        <f t="shared" si="17"/>
        <v>0</v>
      </c>
      <c r="AZ88" s="260"/>
      <c r="BA88" s="257">
        <f t="shared" si="18"/>
        <v>0</v>
      </c>
      <c r="BB88" s="262"/>
      <c r="BC88" s="257">
        <f t="shared" si="19"/>
        <v>0</v>
      </c>
      <c r="BD88" s="261"/>
      <c r="BE88" s="257">
        <f t="shared" si="20"/>
        <v>0</v>
      </c>
      <c r="BF88" s="260"/>
      <c r="BG88" s="257">
        <f t="shared" si="21"/>
        <v>0</v>
      </c>
      <c r="BH88" s="262"/>
      <c r="BI88" s="257">
        <f t="shared" si="22"/>
        <v>0</v>
      </c>
      <c r="BJ88" s="261"/>
      <c r="BK88" s="257">
        <f t="shared" si="23"/>
        <v>0</v>
      </c>
    </row>
    <row r="89" spans="1:63" ht="15" customHeight="1">
      <c r="A89" s="250" t="s">
        <v>105</v>
      </c>
      <c r="B89" s="59" t="s">
        <v>221</v>
      </c>
      <c r="C89" s="59" t="s">
        <v>172</v>
      </c>
      <c r="D89" s="473"/>
      <c r="E89" s="44" t="s">
        <v>173</v>
      </c>
      <c r="F89" s="444"/>
      <c r="G89" s="219" t="s">
        <v>232</v>
      </c>
      <c r="H89" s="201" t="s">
        <v>231</v>
      </c>
      <c r="I89" s="220" t="s">
        <v>190</v>
      </c>
      <c r="J89" s="217" t="s">
        <v>233</v>
      </c>
      <c r="K89" s="201" t="s">
        <v>235</v>
      </c>
      <c r="L89" s="201" t="s">
        <v>177</v>
      </c>
      <c r="M89" s="21" t="s">
        <v>192</v>
      </c>
      <c r="N89" s="21">
        <v>6.35</v>
      </c>
      <c r="O89" s="21">
        <v>6.35</v>
      </c>
      <c r="P89" s="21">
        <v>6.35</v>
      </c>
      <c r="Q89" s="21">
        <v>6.35</v>
      </c>
      <c r="R89" s="21">
        <v>6.35</v>
      </c>
      <c r="S89" s="21">
        <v>6.35</v>
      </c>
      <c r="T89" s="21">
        <v>6.35</v>
      </c>
      <c r="U89" s="21">
        <v>6.35</v>
      </c>
      <c r="V89" s="21">
        <v>6.35</v>
      </c>
      <c r="W89" s="21">
        <v>6.35</v>
      </c>
      <c r="X89" s="21">
        <v>6.35</v>
      </c>
      <c r="Y89" s="21">
        <v>6.35</v>
      </c>
      <c r="Z89" s="21">
        <v>6.35</v>
      </c>
      <c r="AA89" s="21">
        <v>0.77</v>
      </c>
      <c r="AB89" s="6">
        <v>0.77</v>
      </c>
      <c r="AC89" s="6">
        <v>0.77</v>
      </c>
      <c r="AD89" s="6">
        <v>0.77</v>
      </c>
      <c r="AE89" s="6">
        <v>0.77</v>
      </c>
      <c r="AF89" s="6">
        <v>0.77</v>
      </c>
      <c r="AG89" s="6">
        <v>0.77</v>
      </c>
      <c r="AH89" s="6">
        <v>0.77</v>
      </c>
      <c r="AI89" s="6">
        <v>0.77</v>
      </c>
      <c r="AJ89" s="6">
        <v>0.77</v>
      </c>
      <c r="AK89" s="6">
        <v>0.77</v>
      </c>
      <c r="AL89" s="6">
        <v>0.77</v>
      </c>
      <c r="AM89" s="6">
        <v>0.77</v>
      </c>
      <c r="AN89" s="215"/>
      <c r="AO89" s="254">
        <f t="shared" si="12"/>
        <v>0</v>
      </c>
      <c r="AP89" s="262"/>
      <c r="AQ89" s="254">
        <f t="shared" si="13"/>
        <v>0</v>
      </c>
      <c r="AR89" s="261"/>
      <c r="AS89" s="254">
        <f t="shared" si="14"/>
        <v>0</v>
      </c>
      <c r="AT89" s="256"/>
      <c r="AU89" s="257">
        <f t="shared" si="15"/>
        <v>0</v>
      </c>
      <c r="AV89" s="260"/>
      <c r="AW89" s="257">
        <f t="shared" si="16"/>
        <v>0</v>
      </c>
      <c r="AX89" s="271"/>
      <c r="AY89" s="257">
        <f t="shared" si="17"/>
        <v>0</v>
      </c>
      <c r="AZ89" s="260"/>
      <c r="BA89" s="257">
        <f t="shared" si="18"/>
        <v>0</v>
      </c>
      <c r="BB89" s="262"/>
      <c r="BC89" s="257">
        <f t="shared" si="19"/>
        <v>0</v>
      </c>
      <c r="BD89" s="261"/>
      <c r="BE89" s="257">
        <f t="shared" si="20"/>
        <v>0</v>
      </c>
      <c r="BF89" s="260"/>
      <c r="BG89" s="257">
        <f t="shared" si="21"/>
        <v>0</v>
      </c>
      <c r="BH89" s="262"/>
      <c r="BI89" s="257">
        <f t="shared" si="22"/>
        <v>0</v>
      </c>
      <c r="BJ89" s="261"/>
      <c r="BK89" s="257">
        <f t="shared" si="23"/>
        <v>0</v>
      </c>
    </row>
    <row r="90" spans="1:63" ht="15" customHeight="1">
      <c r="A90" s="250" t="s">
        <v>105</v>
      </c>
      <c r="B90" s="59" t="s">
        <v>221</v>
      </c>
      <c r="C90" s="59" t="s">
        <v>172</v>
      </c>
      <c r="D90" s="473"/>
      <c r="E90" s="44" t="s">
        <v>173</v>
      </c>
      <c r="F90" s="444"/>
      <c r="G90" s="219" t="s">
        <v>236</v>
      </c>
      <c r="H90" s="201" t="s">
        <v>237</v>
      </c>
      <c r="I90" s="220" t="s">
        <v>183</v>
      </c>
      <c r="J90" s="217" t="s">
        <v>238</v>
      </c>
      <c r="K90" s="201" t="s">
        <v>234</v>
      </c>
      <c r="L90" s="201" t="s">
        <v>177</v>
      </c>
      <c r="M90" s="21" t="s">
        <v>178</v>
      </c>
      <c r="N90" s="21">
        <v>15.2</v>
      </c>
      <c r="O90" s="21">
        <v>15.2</v>
      </c>
      <c r="P90" s="21">
        <v>15.2</v>
      </c>
      <c r="Q90" s="21">
        <v>15.2</v>
      </c>
      <c r="R90" s="21">
        <v>15.2</v>
      </c>
      <c r="S90" s="21">
        <v>15.2</v>
      </c>
      <c r="T90" s="21">
        <v>15.2</v>
      </c>
      <c r="U90" s="21">
        <v>15.2</v>
      </c>
      <c r="V90" s="21">
        <v>15.2</v>
      </c>
      <c r="W90" s="21">
        <v>15.2</v>
      </c>
      <c r="X90" s="21">
        <v>15.2</v>
      </c>
      <c r="Y90" s="21">
        <v>15.2</v>
      </c>
      <c r="Z90" s="21">
        <v>15.2</v>
      </c>
      <c r="AA90" s="21">
        <v>2.5</v>
      </c>
      <c r="AB90" s="6">
        <v>2.5</v>
      </c>
      <c r="AC90" s="6">
        <v>2.5</v>
      </c>
      <c r="AD90" s="6">
        <v>3.5</v>
      </c>
      <c r="AE90" s="6">
        <v>3.5</v>
      </c>
      <c r="AF90" s="6">
        <v>3.5</v>
      </c>
      <c r="AG90" s="6">
        <v>3.5</v>
      </c>
      <c r="AH90" s="6">
        <v>4</v>
      </c>
      <c r="AI90" s="6">
        <v>4</v>
      </c>
      <c r="AJ90" s="6">
        <v>4</v>
      </c>
      <c r="AK90" s="6">
        <v>4</v>
      </c>
      <c r="AL90" s="6">
        <v>4</v>
      </c>
      <c r="AM90" s="6">
        <v>4</v>
      </c>
      <c r="AN90" s="215"/>
      <c r="AO90" s="254">
        <f t="shared" si="12"/>
        <v>0</v>
      </c>
      <c r="AP90" s="260"/>
      <c r="AQ90" s="254">
        <f t="shared" si="13"/>
        <v>0</v>
      </c>
      <c r="AR90" s="261"/>
      <c r="AS90" s="254">
        <f t="shared" si="14"/>
        <v>0</v>
      </c>
      <c r="AT90" s="256"/>
      <c r="AU90" s="257">
        <f t="shared" si="15"/>
        <v>0</v>
      </c>
      <c r="AV90" s="260"/>
      <c r="AW90" s="257">
        <f t="shared" si="16"/>
        <v>0</v>
      </c>
      <c r="AX90" s="271"/>
      <c r="AY90" s="257">
        <f t="shared" si="17"/>
        <v>0</v>
      </c>
      <c r="AZ90" s="260"/>
      <c r="BA90" s="257">
        <f t="shared" si="18"/>
        <v>0</v>
      </c>
      <c r="BB90" s="260"/>
      <c r="BC90" s="257">
        <f t="shared" si="19"/>
        <v>0</v>
      </c>
      <c r="BD90" s="261"/>
      <c r="BE90" s="257">
        <f t="shared" si="20"/>
        <v>0</v>
      </c>
      <c r="BF90" s="260"/>
      <c r="BG90" s="257">
        <f t="shared" si="21"/>
        <v>0</v>
      </c>
      <c r="BH90" s="260"/>
      <c r="BI90" s="257">
        <f t="shared" si="22"/>
        <v>0</v>
      </c>
      <c r="BJ90" s="261"/>
      <c r="BK90" s="257">
        <f t="shared" si="23"/>
        <v>0</v>
      </c>
    </row>
    <row r="91" spans="1:63" ht="15" customHeight="1">
      <c r="A91" s="250" t="s">
        <v>105</v>
      </c>
      <c r="B91" s="59" t="s">
        <v>221</v>
      </c>
      <c r="C91" s="59" t="s">
        <v>172</v>
      </c>
      <c r="D91" s="473"/>
      <c r="E91" s="44" t="s">
        <v>173</v>
      </c>
      <c r="F91" s="444"/>
      <c r="G91" s="219" t="s">
        <v>236</v>
      </c>
      <c r="H91" s="201" t="s">
        <v>237</v>
      </c>
      <c r="I91" s="218" t="s">
        <v>190</v>
      </c>
      <c r="J91" s="217" t="s">
        <v>238</v>
      </c>
      <c r="K91" s="201" t="s">
        <v>234</v>
      </c>
      <c r="L91" s="201" t="s">
        <v>177</v>
      </c>
      <c r="M91" s="21" t="s">
        <v>178</v>
      </c>
      <c r="N91" s="21">
        <v>4.4000000000000004</v>
      </c>
      <c r="O91" s="21">
        <v>4.4000000000000004</v>
      </c>
      <c r="P91" s="21">
        <v>4.4000000000000004</v>
      </c>
      <c r="Q91" s="21">
        <v>4.4000000000000004</v>
      </c>
      <c r="R91" s="21">
        <v>4.4000000000000004</v>
      </c>
      <c r="S91" s="21">
        <v>4.4000000000000004</v>
      </c>
      <c r="T91" s="21">
        <v>4.4000000000000004</v>
      </c>
      <c r="U91" s="21">
        <v>4.4000000000000004</v>
      </c>
      <c r="V91" s="21">
        <v>4.4000000000000004</v>
      </c>
      <c r="W91" s="21">
        <v>4.4000000000000004</v>
      </c>
      <c r="X91" s="21">
        <v>4.4000000000000004</v>
      </c>
      <c r="Y91" s="21">
        <v>4.4000000000000004</v>
      </c>
      <c r="Z91" s="21">
        <v>4.4000000000000004</v>
      </c>
      <c r="AA91" s="21">
        <v>0.7</v>
      </c>
      <c r="AB91" s="6">
        <v>0.7</v>
      </c>
      <c r="AC91" s="6">
        <v>0.7</v>
      </c>
      <c r="AD91" s="6">
        <v>0.7</v>
      </c>
      <c r="AE91" s="6">
        <v>0.7</v>
      </c>
      <c r="AF91" s="6">
        <v>0.7</v>
      </c>
      <c r="AG91" s="6">
        <v>0.7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215"/>
      <c r="AO91" s="254">
        <f t="shared" si="12"/>
        <v>0</v>
      </c>
      <c r="AP91" s="260"/>
      <c r="AQ91" s="254">
        <f t="shared" si="13"/>
        <v>0</v>
      </c>
      <c r="AR91" s="261"/>
      <c r="AS91" s="254">
        <f t="shared" si="14"/>
        <v>0</v>
      </c>
      <c r="AT91" s="256"/>
      <c r="AU91" s="257">
        <f t="shared" si="15"/>
        <v>0</v>
      </c>
      <c r="AV91" s="260"/>
      <c r="AW91" s="257">
        <f t="shared" si="16"/>
        <v>0</v>
      </c>
      <c r="AX91" s="271"/>
      <c r="AY91" s="257">
        <f t="shared" si="17"/>
        <v>0</v>
      </c>
      <c r="AZ91" s="260"/>
      <c r="BA91" s="257">
        <f t="shared" si="18"/>
        <v>0</v>
      </c>
      <c r="BB91" s="260"/>
      <c r="BC91" s="257">
        <f t="shared" si="19"/>
        <v>0</v>
      </c>
      <c r="BD91" s="261"/>
      <c r="BE91" s="257">
        <f t="shared" si="20"/>
        <v>0</v>
      </c>
      <c r="BF91" s="260"/>
      <c r="BG91" s="257">
        <f t="shared" si="21"/>
        <v>0</v>
      </c>
      <c r="BH91" s="260"/>
      <c r="BI91" s="257">
        <f t="shared" si="22"/>
        <v>0</v>
      </c>
      <c r="BJ91" s="261"/>
      <c r="BK91" s="257">
        <f t="shared" si="23"/>
        <v>0</v>
      </c>
    </row>
    <row r="92" spans="1:63" ht="16.5" customHeight="1">
      <c r="A92" s="250" t="s">
        <v>105</v>
      </c>
      <c r="B92" s="59" t="s">
        <v>221</v>
      </c>
      <c r="C92" s="59" t="s">
        <v>172</v>
      </c>
      <c r="D92" s="473"/>
      <c r="E92" s="44" t="s">
        <v>173</v>
      </c>
      <c r="F92" s="444"/>
      <c r="G92" s="219" t="s">
        <v>239</v>
      </c>
      <c r="H92" s="201" t="s">
        <v>240</v>
      </c>
      <c r="I92" s="218" t="s">
        <v>190</v>
      </c>
      <c r="J92" s="217" t="s">
        <v>241</v>
      </c>
      <c r="K92" s="201" t="s">
        <v>198</v>
      </c>
      <c r="L92" s="201" t="s">
        <v>177</v>
      </c>
      <c r="M92" s="21" t="s">
        <v>178</v>
      </c>
      <c r="N92" s="21">
        <v>4.4000000000000004</v>
      </c>
      <c r="O92" s="21">
        <v>4.4000000000000004</v>
      </c>
      <c r="P92" s="21">
        <v>4.4000000000000004</v>
      </c>
      <c r="Q92" s="21">
        <v>4.4000000000000004</v>
      </c>
      <c r="R92" s="21">
        <v>4.4000000000000004</v>
      </c>
      <c r="S92" s="21">
        <v>4.4000000000000004</v>
      </c>
      <c r="T92" s="21">
        <v>4.4000000000000004</v>
      </c>
      <c r="U92" s="21">
        <v>4.4000000000000004</v>
      </c>
      <c r="V92" s="21">
        <v>4.4000000000000004</v>
      </c>
      <c r="W92" s="21">
        <v>4.4000000000000004</v>
      </c>
      <c r="X92" s="21">
        <v>4.4000000000000004</v>
      </c>
      <c r="Y92" s="21">
        <v>4.4000000000000004</v>
      </c>
      <c r="Z92" s="21">
        <v>4.4000000000000004</v>
      </c>
      <c r="AA92" s="21">
        <v>0.7</v>
      </c>
      <c r="AB92" s="6">
        <v>0.7</v>
      </c>
      <c r="AC92" s="6">
        <v>0.7</v>
      </c>
      <c r="AD92" s="6">
        <v>0.7</v>
      </c>
      <c r="AE92" s="6">
        <v>0.7</v>
      </c>
      <c r="AF92" s="6">
        <v>0.7</v>
      </c>
      <c r="AG92" s="6">
        <v>0.7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215"/>
      <c r="AO92" s="254">
        <f t="shared" si="12"/>
        <v>0</v>
      </c>
      <c r="AP92" s="260"/>
      <c r="AQ92" s="254">
        <f t="shared" si="13"/>
        <v>0</v>
      </c>
      <c r="AR92" s="261"/>
      <c r="AS92" s="254">
        <f t="shared" si="14"/>
        <v>0</v>
      </c>
      <c r="AT92" s="256"/>
      <c r="AU92" s="257">
        <f t="shared" si="15"/>
        <v>0</v>
      </c>
      <c r="AV92" s="260"/>
      <c r="AW92" s="257">
        <f t="shared" si="16"/>
        <v>0</v>
      </c>
      <c r="AX92" s="271"/>
      <c r="AY92" s="257">
        <f t="shared" si="17"/>
        <v>0</v>
      </c>
      <c r="AZ92" s="260"/>
      <c r="BA92" s="257">
        <f t="shared" si="18"/>
        <v>0</v>
      </c>
      <c r="BB92" s="260"/>
      <c r="BC92" s="257">
        <f t="shared" si="19"/>
        <v>0</v>
      </c>
      <c r="BD92" s="261"/>
      <c r="BE92" s="257">
        <f t="shared" si="20"/>
        <v>0</v>
      </c>
      <c r="BF92" s="260"/>
      <c r="BG92" s="257">
        <f t="shared" si="21"/>
        <v>0</v>
      </c>
      <c r="BH92" s="260"/>
      <c r="BI92" s="257">
        <f t="shared" si="22"/>
        <v>0</v>
      </c>
      <c r="BJ92" s="261"/>
      <c r="BK92" s="257">
        <f t="shared" si="23"/>
        <v>0</v>
      </c>
    </row>
    <row r="93" spans="1:63" ht="16.5" customHeight="1">
      <c r="A93" s="250" t="s">
        <v>105</v>
      </c>
      <c r="B93" s="59" t="s">
        <v>221</v>
      </c>
      <c r="C93" s="59" t="s">
        <v>172</v>
      </c>
      <c r="D93" s="473"/>
      <c r="E93" s="44" t="s">
        <v>173</v>
      </c>
      <c r="F93" s="444"/>
      <c r="G93" s="219" t="s">
        <v>239</v>
      </c>
      <c r="H93" s="201" t="s">
        <v>240</v>
      </c>
      <c r="I93" s="218" t="s">
        <v>190</v>
      </c>
      <c r="J93" s="217" t="s">
        <v>241</v>
      </c>
      <c r="K93" s="201" t="s">
        <v>242</v>
      </c>
      <c r="L93" s="201" t="s">
        <v>177</v>
      </c>
      <c r="M93" s="21" t="s">
        <v>178</v>
      </c>
      <c r="N93" s="21">
        <v>4.4000000000000004</v>
      </c>
      <c r="O93" s="21">
        <v>4.4000000000000004</v>
      </c>
      <c r="P93" s="21">
        <v>4.4000000000000004</v>
      </c>
      <c r="Q93" s="21">
        <v>4.4000000000000004</v>
      </c>
      <c r="R93" s="21">
        <v>4.4000000000000004</v>
      </c>
      <c r="S93" s="21">
        <v>4.4000000000000004</v>
      </c>
      <c r="T93" s="21">
        <v>4.4000000000000004</v>
      </c>
      <c r="U93" s="21">
        <v>4.4000000000000004</v>
      </c>
      <c r="V93" s="21">
        <v>4.4000000000000004</v>
      </c>
      <c r="W93" s="21">
        <v>4.4000000000000004</v>
      </c>
      <c r="X93" s="21">
        <v>4.4000000000000004</v>
      </c>
      <c r="Y93" s="21">
        <v>4.4000000000000004</v>
      </c>
      <c r="Z93" s="21">
        <v>4.4000000000000004</v>
      </c>
      <c r="AA93" s="21">
        <v>0.7</v>
      </c>
      <c r="AB93" s="6">
        <v>0.7</v>
      </c>
      <c r="AC93" s="6">
        <v>0.7</v>
      </c>
      <c r="AD93" s="6">
        <v>0.7</v>
      </c>
      <c r="AE93" s="6">
        <v>0.7</v>
      </c>
      <c r="AF93" s="6">
        <v>0.7</v>
      </c>
      <c r="AG93" s="6">
        <v>0.7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215"/>
      <c r="AO93" s="254">
        <f t="shared" si="12"/>
        <v>0</v>
      </c>
      <c r="AP93" s="260"/>
      <c r="AQ93" s="254">
        <f t="shared" si="13"/>
        <v>0</v>
      </c>
      <c r="AR93" s="261"/>
      <c r="AS93" s="254">
        <f t="shared" si="14"/>
        <v>0</v>
      </c>
      <c r="AT93" s="256"/>
      <c r="AU93" s="257">
        <f t="shared" si="15"/>
        <v>0</v>
      </c>
      <c r="AV93" s="260"/>
      <c r="AW93" s="257">
        <f t="shared" si="16"/>
        <v>0</v>
      </c>
      <c r="AX93" s="271"/>
      <c r="AY93" s="257">
        <f t="shared" si="17"/>
        <v>0</v>
      </c>
      <c r="AZ93" s="260"/>
      <c r="BA93" s="257">
        <f t="shared" si="18"/>
        <v>0</v>
      </c>
      <c r="BB93" s="260"/>
      <c r="BC93" s="257">
        <f t="shared" si="19"/>
        <v>0</v>
      </c>
      <c r="BD93" s="261"/>
      <c r="BE93" s="257">
        <f t="shared" si="20"/>
        <v>0</v>
      </c>
      <c r="BF93" s="260"/>
      <c r="BG93" s="257">
        <f t="shared" si="21"/>
        <v>0</v>
      </c>
      <c r="BH93" s="260"/>
      <c r="BI93" s="257">
        <f t="shared" si="22"/>
        <v>0</v>
      </c>
      <c r="BJ93" s="261"/>
      <c r="BK93" s="257">
        <f t="shared" si="23"/>
        <v>0</v>
      </c>
    </row>
    <row r="94" spans="1:63" ht="16.5" customHeight="1">
      <c r="A94" s="250" t="s">
        <v>105</v>
      </c>
      <c r="B94" s="59" t="s">
        <v>221</v>
      </c>
      <c r="C94" s="59" t="s">
        <v>172</v>
      </c>
      <c r="D94" s="473"/>
      <c r="E94" s="44" t="s">
        <v>173</v>
      </c>
      <c r="F94" s="444"/>
      <c r="G94" s="219" t="s">
        <v>239</v>
      </c>
      <c r="H94" s="201" t="s">
        <v>240</v>
      </c>
      <c r="I94" s="218" t="s">
        <v>190</v>
      </c>
      <c r="J94" s="217" t="s">
        <v>241</v>
      </c>
      <c r="K94" s="201" t="s">
        <v>227</v>
      </c>
      <c r="L94" s="201" t="s">
        <v>177</v>
      </c>
      <c r="M94" s="21" t="s">
        <v>178</v>
      </c>
      <c r="N94" s="21">
        <v>4.4000000000000004</v>
      </c>
      <c r="O94" s="21">
        <v>4.4000000000000004</v>
      </c>
      <c r="P94" s="21">
        <v>4.4000000000000004</v>
      </c>
      <c r="Q94" s="21">
        <v>4.4000000000000004</v>
      </c>
      <c r="R94" s="21">
        <v>4.4000000000000004</v>
      </c>
      <c r="S94" s="21">
        <v>4.4000000000000004</v>
      </c>
      <c r="T94" s="21">
        <v>4.4000000000000004</v>
      </c>
      <c r="U94" s="21">
        <v>4.4000000000000004</v>
      </c>
      <c r="V94" s="21">
        <v>4.4000000000000004</v>
      </c>
      <c r="W94" s="21">
        <v>4.4000000000000004</v>
      </c>
      <c r="X94" s="21">
        <v>4.4000000000000004</v>
      </c>
      <c r="Y94" s="21">
        <v>4.4000000000000004</v>
      </c>
      <c r="Z94" s="21">
        <v>4.4000000000000004</v>
      </c>
      <c r="AA94" s="21">
        <v>0.7</v>
      </c>
      <c r="AB94" s="6">
        <v>0.7</v>
      </c>
      <c r="AC94" s="6">
        <v>0.7</v>
      </c>
      <c r="AD94" s="6">
        <v>0.7</v>
      </c>
      <c r="AE94" s="6">
        <v>0.7</v>
      </c>
      <c r="AF94" s="6">
        <v>0.7</v>
      </c>
      <c r="AG94" s="6">
        <v>0.7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215"/>
      <c r="AO94" s="254">
        <f t="shared" si="12"/>
        <v>0</v>
      </c>
      <c r="AP94" s="260"/>
      <c r="AQ94" s="254">
        <f t="shared" si="13"/>
        <v>0</v>
      </c>
      <c r="AR94" s="261"/>
      <c r="AS94" s="254">
        <f t="shared" si="14"/>
        <v>0</v>
      </c>
      <c r="AT94" s="256"/>
      <c r="AU94" s="257">
        <f t="shared" si="15"/>
        <v>0</v>
      </c>
      <c r="AV94" s="260"/>
      <c r="AW94" s="257">
        <f t="shared" si="16"/>
        <v>0</v>
      </c>
      <c r="AX94" s="271"/>
      <c r="AY94" s="257">
        <f t="shared" si="17"/>
        <v>0</v>
      </c>
      <c r="AZ94" s="260"/>
      <c r="BA94" s="257">
        <f t="shared" si="18"/>
        <v>0</v>
      </c>
      <c r="BB94" s="260"/>
      <c r="BC94" s="257">
        <f t="shared" si="19"/>
        <v>0</v>
      </c>
      <c r="BD94" s="261"/>
      <c r="BE94" s="257">
        <f t="shared" si="20"/>
        <v>0</v>
      </c>
      <c r="BF94" s="260"/>
      <c r="BG94" s="257">
        <f t="shared" si="21"/>
        <v>0</v>
      </c>
      <c r="BH94" s="260"/>
      <c r="BI94" s="257">
        <f t="shared" si="22"/>
        <v>0</v>
      </c>
      <c r="BJ94" s="261"/>
      <c r="BK94" s="257">
        <f t="shared" si="23"/>
        <v>0</v>
      </c>
    </row>
    <row r="95" spans="1:63" ht="16.5" customHeight="1">
      <c r="A95" s="250" t="s">
        <v>105</v>
      </c>
      <c r="B95" s="59" t="s">
        <v>221</v>
      </c>
      <c r="C95" s="59" t="s">
        <v>172</v>
      </c>
      <c r="D95" s="473"/>
      <c r="E95" s="44" t="s">
        <v>173</v>
      </c>
      <c r="F95" s="444"/>
      <c r="G95" s="219" t="s">
        <v>239</v>
      </c>
      <c r="H95" s="201" t="s">
        <v>240</v>
      </c>
      <c r="I95" s="220" t="s">
        <v>183</v>
      </c>
      <c r="J95" s="217" t="s">
        <v>241</v>
      </c>
      <c r="K95" s="201" t="s">
        <v>227</v>
      </c>
      <c r="L95" s="201" t="s">
        <v>177</v>
      </c>
      <c r="M95" s="21" t="s">
        <v>178</v>
      </c>
      <c r="N95" s="21">
        <v>13.6</v>
      </c>
      <c r="O95" s="21">
        <v>13.6</v>
      </c>
      <c r="P95" s="21">
        <v>13.6</v>
      </c>
      <c r="Q95" s="21">
        <v>13.6</v>
      </c>
      <c r="R95" s="21">
        <v>13.6</v>
      </c>
      <c r="S95" s="21">
        <v>13.6</v>
      </c>
      <c r="T95" s="21">
        <v>13.6</v>
      </c>
      <c r="U95" s="21">
        <v>13.6</v>
      </c>
      <c r="V95" s="21">
        <v>13.6</v>
      </c>
      <c r="W95" s="21">
        <v>13.6</v>
      </c>
      <c r="X95" s="21">
        <v>13.6</v>
      </c>
      <c r="Y95" s="21">
        <v>13.6</v>
      </c>
      <c r="Z95" s="21">
        <v>13.6</v>
      </c>
      <c r="AA95" s="21">
        <v>2.5</v>
      </c>
      <c r="AB95" s="6">
        <v>2.5</v>
      </c>
      <c r="AC95" s="6">
        <v>2.5</v>
      </c>
      <c r="AD95" s="6">
        <v>3.5</v>
      </c>
      <c r="AE95" s="6">
        <v>3.5</v>
      </c>
      <c r="AF95" s="6">
        <v>3.5</v>
      </c>
      <c r="AG95" s="6">
        <v>3.5</v>
      </c>
      <c r="AH95" s="6">
        <v>4</v>
      </c>
      <c r="AI95" s="6">
        <v>4</v>
      </c>
      <c r="AJ95" s="6">
        <v>4</v>
      </c>
      <c r="AK95" s="6">
        <v>4</v>
      </c>
      <c r="AL95" s="6">
        <v>4</v>
      </c>
      <c r="AM95" s="6">
        <v>4</v>
      </c>
      <c r="AN95" s="215"/>
      <c r="AO95" s="254">
        <f t="shared" si="12"/>
        <v>0</v>
      </c>
      <c r="AP95" s="260"/>
      <c r="AQ95" s="254">
        <f t="shared" si="13"/>
        <v>0</v>
      </c>
      <c r="AR95" s="261"/>
      <c r="AS95" s="254">
        <f t="shared" si="14"/>
        <v>0</v>
      </c>
      <c r="AT95" s="256"/>
      <c r="AU95" s="257">
        <f t="shared" si="15"/>
        <v>0</v>
      </c>
      <c r="AV95" s="260"/>
      <c r="AW95" s="257">
        <f t="shared" si="16"/>
        <v>0</v>
      </c>
      <c r="AX95" s="271"/>
      <c r="AY95" s="257">
        <f t="shared" si="17"/>
        <v>0</v>
      </c>
      <c r="AZ95" s="260"/>
      <c r="BA95" s="257">
        <f t="shared" si="18"/>
        <v>0</v>
      </c>
      <c r="BB95" s="260"/>
      <c r="BC95" s="257">
        <f t="shared" si="19"/>
        <v>0</v>
      </c>
      <c r="BD95" s="261"/>
      <c r="BE95" s="257">
        <f t="shared" si="20"/>
        <v>0</v>
      </c>
      <c r="BF95" s="260"/>
      <c r="BG95" s="257">
        <f t="shared" si="21"/>
        <v>0</v>
      </c>
      <c r="BH95" s="260"/>
      <c r="BI95" s="257">
        <f t="shared" si="22"/>
        <v>0</v>
      </c>
      <c r="BJ95" s="261"/>
      <c r="BK95" s="257">
        <f t="shared" si="23"/>
        <v>0</v>
      </c>
    </row>
    <row r="96" spans="1:63" ht="16.5" customHeight="1">
      <c r="A96" s="250" t="s">
        <v>105</v>
      </c>
      <c r="B96" s="59" t="s">
        <v>221</v>
      </c>
      <c r="C96" s="59" t="s">
        <v>172</v>
      </c>
      <c r="D96" s="473"/>
      <c r="E96" s="44" t="s">
        <v>173</v>
      </c>
      <c r="F96" s="444"/>
      <c r="G96" s="219" t="s">
        <v>239</v>
      </c>
      <c r="H96" s="201" t="s">
        <v>240</v>
      </c>
      <c r="I96" s="220" t="s">
        <v>183</v>
      </c>
      <c r="J96" s="217" t="s">
        <v>241</v>
      </c>
      <c r="K96" s="201" t="s">
        <v>208</v>
      </c>
      <c r="L96" s="201" t="s">
        <v>177</v>
      </c>
      <c r="M96" s="21" t="s">
        <v>178</v>
      </c>
      <c r="N96" s="21">
        <v>13.6</v>
      </c>
      <c r="O96" s="21">
        <v>13.6</v>
      </c>
      <c r="P96" s="21">
        <v>13.6</v>
      </c>
      <c r="Q96" s="21">
        <v>13.6</v>
      </c>
      <c r="R96" s="21">
        <v>13.6</v>
      </c>
      <c r="S96" s="21">
        <v>13.6</v>
      </c>
      <c r="T96" s="21">
        <v>13.6</v>
      </c>
      <c r="U96" s="21">
        <v>13.6</v>
      </c>
      <c r="V96" s="21">
        <v>13.6</v>
      </c>
      <c r="W96" s="21">
        <v>13.6</v>
      </c>
      <c r="X96" s="21">
        <v>13.6</v>
      </c>
      <c r="Y96" s="21">
        <v>13.6</v>
      </c>
      <c r="Z96" s="21">
        <v>13.6</v>
      </c>
      <c r="AA96" s="21">
        <v>2.5</v>
      </c>
      <c r="AB96" s="6">
        <v>2.5</v>
      </c>
      <c r="AC96" s="6">
        <v>2.5</v>
      </c>
      <c r="AD96" s="6">
        <v>3.5</v>
      </c>
      <c r="AE96" s="6">
        <v>3.5</v>
      </c>
      <c r="AF96" s="6">
        <v>3.5</v>
      </c>
      <c r="AG96" s="6">
        <v>3.5</v>
      </c>
      <c r="AH96" s="6">
        <v>4</v>
      </c>
      <c r="AI96" s="6">
        <v>4</v>
      </c>
      <c r="AJ96" s="6">
        <v>4</v>
      </c>
      <c r="AK96" s="6">
        <v>4</v>
      </c>
      <c r="AL96" s="6">
        <v>4</v>
      </c>
      <c r="AM96" s="6">
        <v>4</v>
      </c>
      <c r="AN96" s="215">
        <v>6880</v>
      </c>
      <c r="AO96" s="254">
        <f t="shared" si="12"/>
        <v>17200</v>
      </c>
      <c r="AP96" s="260">
        <v>5160</v>
      </c>
      <c r="AQ96" s="254">
        <f t="shared" si="13"/>
        <v>12900</v>
      </c>
      <c r="AR96" s="261">
        <v>6880</v>
      </c>
      <c r="AS96" s="254">
        <f t="shared" si="14"/>
        <v>24080</v>
      </c>
      <c r="AT96" s="256">
        <v>5240</v>
      </c>
      <c r="AU96" s="257">
        <f t="shared" si="15"/>
        <v>18340</v>
      </c>
      <c r="AV96" s="260">
        <v>7200</v>
      </c>
      <c r="AW96" s="257">
        <f t="shared" si="16"/>
        <v>25200</v>
      </c>
      <c r="AX96" s="271">
        <v>3480</v>
      </c>
      <c r="AY96" s="257">
        <f t="shared" si="17"/>
        <v>12180</v>
      </c>
      <c r="AZ96" s="260">
        <v>1040</v>
      </c>
      <c r="BA96" s="257">
        <f t="shared" si="18"/>
        <v>4160</v>
      </c>
      <c r="BB96" s="260">
        <v>4240</v>
      </c>
      <c r="BC96" s="257">
        <f t="shared" si="19"/>
        <v>16960</v>
      </c>
      <c r="BD96" s="261">
        <v>2880</v>
      </c>
      <c r="BE96" s="257">
        <f t="shared" si="20"/>
        <v>11520</v>
      </c>
      <c r="BF96" s="261">
        <v>2600</v>
      </c>
      <c r="BG96" s="257">
        <f t="shared" si="21"/>
        <v>10400</v>
      </c>
      <c r="BH96" s="261">
        <v>6680</v>
      </c>
      <c r="BI96" s="257">
        <f t="shared" si="22"/>
        <v>26720</v>
      </c>
      <c r="BJ96" s="261">
        <v>80</v>
      </c>
      <c r="BK96" s="257">
        <f t="shared" si="23"/>
        <v>320</v>
      </c>
    </row>
    <row r="97" spans="1:63" ht="16.5" customHeight="1">
      <c r="A97" s="250" t="s">
        <v>105</v>
      </c>
      <c r="B97" s="59" t="s">
        <v>221</v>
      </c>
      <c r="C97" s="59" t="s">
        <v>172</v>
      </c>
      <c r="D97" s="473"/>
      <c r="E97" s="44" t="s">
        <v>173</v>
      </c>
      <c r="F97" s="444"/>
      <c r="G97" s="219" t="s">
        <v>239</v>
      </c>
      <c r="H97" s="201" t="s">
        <v>240</v>
      </c>
      <c r="I97" s="218" t="s">
        <v>190</v>
      </c>
      <c r="J97" s="217" t="s">
        <v>241</v>
      </c>
      <c r="K97" s="201" t="s">
        <v>208</v>
      </c>
      <c r="L97" s="201" t="s">
        <v>177</v>
      </c>
      <c r="M97" s="21" t="s">
        <v>178</v>
      </c>
      <c r="N97" s="21">
        <v>6.4</v>
      </c>
      <c r="O97" s="21">
        <v>6.4</v>
      </c>
      <c r="P97" s="21">
        <v>6.4</v>
      </c>
      <c r="Q97" s="21">
        <v>6.4</v>
      </c>
      <c r="R97" s="21">
        <v>6.4</v>
      </c>
      <c r="S97" s="21">
        <v>6.4</v>
      </c>
      <c r="T97" s="21">
        <v>6.4</v>
      </c>
      <c r="U97" s="21">
        <v>6.4</v>
      </c>
      <c r="V97" s="21">
        <v>6.4</v>
      </c>
      <c r="W97" s="21">
        <v>6.4</v>
      </c>
      <c r="X97" s="21">
        <v>6.4</v>
      </c>
      <c r="Y97" s="21">
        <v>6.4</v>
      </c>
      <c r="Z97" s="21">
        <v>6.4</v>
      </c>
      <c r="AA97" s="21">
        <v>1</v>
      </c>
      <c r="AB97" s="6">
        <v>1</v>
      </c>
      <c r="AC97" s="6">
        <v>1</v>
      </c>
      <c r="AD97" s="6">
        <v>1.4</v>
      </c>
      <c r="AE97" s="6">
        <v>1.4</v>
      </c>
      <c r="AF97" s="6">
        <v>1.4</v>
      </c>
      <c r="AG97" s="6">
        <v>1.4</v>
      </c>
      <c r="AH97" s="6">
        <v>1.7</v>
      </c>
      <c r="AI97" s="6">
        <v>1.7</v>
      </c>
      <c r="AJ97" s="6">
        <v>1.7</v>
      </c>
      <c r="AK97" s="6">
        <v>1.7</v>
      </c>
      <c r="AL97" s="6">
        <v>1.7</v>
      </c>
      <c r="AM97" s="6">
        <v>1.7</v>
      </c>
      <c r="AN97" s="215">
        <v>6000</v>
      </c>
      <c r="AO97" s="254">
        <f t="shared" si="12"/>
        <v>6000</v>
      </c>
      <c r="AP97" s="260">
        <v>6520</v>
      </c>
      <c r="AQ97" s="254">
        <f t="shared" si="13"/>
        <v>6520</v>
      </c>
      <c r="AR97" s="261">
        <v>7177</v>
      </c>
      <c r="AS97" s="254">
        <f t="shared" si="14"/>
        <v>10047.799999999999</v>
      </c>
      <c r="AT97" s="256">
        <v>13640</v>
      </c>
      <c r="AU97" s="257">
        <f t="shared" si="15"/>
        <v>19096</v>
      </c>
      <c r="AV97" s="260">
        <v>17040</v>
      </c>
      <c r="AW97" s="257">
        <f t="shared" si="16"/>
        <v>23856</v>
      </c>
      <c r="AX97" s="271">
        <v>10959</v>
      </c>
      <c r="AY97" s="257">
        <f t="shared" si="17"/>
        <v>15342.599999999999</v>
      </c>
      <c r="AZ97" s="260">
        <v>17120</v>
      </c>
      <c r="BA97" s="257">
        <f t="shared" si="18"/>
        <v>29104</v>
      </c>
      <c r="BB97" s="260">
        <v>15040</v>
      </c>
      <c r="BC97" s="257">
        <f t="shared" si="19"/>
        <v>25568</v>
      </c>
      <c r="BD97" s="261">
        <v>6160</v>
      </c>
      <c r="BE97" s="257">
        <f t="shared" si="20"/>
        <v>10472</v>
      </c>
      <c r="BF97" s="260">
        <v>16120</v>
      </c>
      <c r="BG97" s="257">
        <f t="shared" si="21"/>
        <v>27404</v>
      </c>
      <c r="BH97" s="260">
        <v>18000</v>
      </c>
      <c r="BI97" s="257">
        <f t="shared" si="22"/>
        <v>30600</v>
      </c>
      <c r="BJ97" s="260">
        <v>6320</v>
      </c>
      <c r="BK97" s="257">
        <f t="shared" si="23"/>
        <v>10744</v>
      </c>
    </row>
    <row r="98" spans="1:63" ht="16.5" customHeight="1">
      <c r="A98" s="250" t="s">
        <v>105</v>
      </c>
      <c r="B98" s="59" t="s">
        <v>221</v>
      </c>
      <c r="C98" s="59" t="s">
        <v>172</v>
      </c>
      <c r="D98" s="473"/>
      <c r="E98" s="44" t="s">
        <v>173</v>
      </c>
      <c r="F98" s="444"/>
      <c r="G98" s="219" t="s">
        <v>239</v>
      </c>
      <c r="H98" s="201" t="s">
        <v>240</v>
      </c>
      <c r="I98" s="220" t="s">
        <v>183</v>
      </c>
      <c r="J98" s="217" t="s">
        <v>241</v>
      </c>
      <c r="K98" s="201" t="s">
        <v>243</v>
      </c>
      <c r="L98" s="201" t="s">
        <v>177</v>
      </c>
      <c r="M98" s="21" t="s">
        <v>178</v>
      </c>
      <c r="N98" s="21">
        <v>15.2</v>
      </c>
      <c r="O98" s="21">
        <v>15.2</v>
      </c>
      <c r="P98" s="21">
        <v>15.2</v>
      </c>
      <c r="Q98" s="21">
        <v>15.2</v>
      </c>
      <c r="R98" s="21">
        <v>15.2</v>
      </c>
      <c r="S98" s="21">
        <v>15.2</v>
      </c>
      <c r="T98" s="21">
        <v>15.2</v>
      </c>
      <c r="U98" s="21">
        <v>15.2</v>
      </c>
      <c r="V98" s="21">
        <v>15.2</v>
      </c>
      <c r="W98" s="21">
        <v>15.2</v>
      </c>
      <c r="X98" s="21">
        <v>15.2</v>
      </c>
      <c r="Y98" s="21">
        <v>15.2</v>
      </c>
      <c r="Z98" s="21">
        <v>15.2</v>
      </c>
      <c r="AA98" s="21">
        <v>0</v>
      </c>
      <c r="AB98" s="6">
        <v>0</v>
      </c>
      <c r="AC98" s="6">
        <v>0</v>
      </c>
      <c r="AD98" s="6">
        <v>3.5</v>
      </c>
      <c r="AE98" s="6">
        <v>3.5</v>
      </c>
      <c r="AF98" s="6">
        <v>3.5</v>
      </c>
      <c r="AG98" s="6">
        <v>3.5</v>
      </c>
      <c r="AH98" s="6">
        <v>4</v>
      </c>
      <c r="AI98" s="6">
        <v>4</v>
      </c>
      <c r="AJ98" s="6">
        <v>4</v>
      </c>
      <c r="AK98" s="6">
        <v>4</v>
      </c>
      <c r="AL98" s="6">
        <v>4</v>
      </c>
      <c r="AM98" s="6">
        <v>4</v>
      </c>
      <c r="AN98" s="215"/>
      <c r="AO98" s="254">
        <f t="shared" si="12"/>
        <v>0</v>
      </c>
      <c r="AP98" s="260"/>
      <c r="AQ98" s="254">
        <f t="shared" si="13"/>
        <v>0</v>
      </c>
      <c r="AR98" s="261"/>
      <c r="AS98" s="254">
        <f t="shared" si="14"/>
        <v>0</v>
      </c>
      <c r="AT98" s="256">
        <v>1720</v>
      </c>
      <c r="AU98" s="257">
        <f t="shared" si="15"/>
        <v>6020</v>
      </c>
      <c r="AV98" s="270">
        <v>6159</v>
      </c>
      <c r="AW98" s="257">
        <f t="shared" si="16"/>
        <v>21556.5</v>
      </c>
      <c r="AX98" s="270">
        <v>9160</v>
      </c>
      <c r="AY98" s="257">
        <f t="shared" si="17"/>
        <v>32060</v>
      </c>
      <c r="AZ98" s="268">
        <v>11560</v>
      </c>
      <c r="BA98" s="257">
        <f t="shared" si="18"/>
        <v>46240</v>
      </c>
      <c r="BB98" s="256">
        <v>15280</v>
      </c>
      <c r="BC98" s="257">
        <f t="shared" si="19"/>
        <v>61120</v>
      </c>
      <c r="BD98" s="256">
        <v>4800</v>
      </c>
      <c r="BE98" s="257">
        <f t="shared" si="20"/>
        <v>19200</v>
      </c>
      <c r="BF98" s="256">
        <v>20960</v>
      </c>
      <c r="BG98" s="257">
        <f t="shared" si="21"/>
        <v>83840</v>
      </c>
      <c r="BH98" s="256">
        <v>22240</v>
      </c>
      <c r="BI98" s="257">
        <f t="shared" si="22"/>
        <v>88960</v>
      </c>
      <c r="BJ98" s="256">
        <v>11638</v>
      </c>
      <c r="BK98" s="257">
        <f t="shared" si="23"/>
        <v>46552</v>
      </c>
    </row>
    <row r="99" spans="1:63" ht="16.5" customHeight="1">
      <c r="A99" s="250" t="s">
        <v>105</v>
      </c>
      <c r="B99" s="59" t="s">
        <v>221</v>
      </c>
      <c r="C99" s="59" t="s">
        <v>172</v>
      </c>
      <c r="D99" s="473"/>
      <c r="E99" s="44" t="s">
        <v>173</v>
      </c>
      <c r="F99" s="444"/>
      <c r="G99" s="219" t="s">
        <v>239</v>
      </c>
      <c r="H99" s="201" t="s">
        <v>240</v>
      </c>
      <c r="I99" s="218" t="s">
        <v>190</v>
      </c>
      <c r="J99" s="217" t="s">
        <v>241</v>
      </c>
      <c r="K99" s="201" t="s">
        <v>243</v>
      </c>
      <c r="L99" s="201" t="s">
        <v>177</v>
      </c>
      <c r="M99" s="21" t="s">
        <v>178</v>
      </c>
      <c r="N99" s="21">
        <v>4.4000000000000004</v>
      </c>
      <c r="O99" s="21">
        <v>4.4000000000000004</v>
      </c>
      <c r="P99" s="21">
        <v>4.4000000000000004</v>
      </c>
      <c r="Q99" s="21">
        <v>4.4000000000000004</v>
      </c>
      <c r="R99" s="21">
        <v>4.4000000000000004</v>
      </c>
      <c r="S99" s="21">
        <v>4.4000000000000004</v>
      </c>
      <c r="T99" s="21">
        <v>4.4000000000000004</v>
      </c>
      <c r="U99" s="21">
        <v>4.4000000000000004</v>
      </c>
      <c r="V99" s="21">
        <v>4.4000000000000004</v>
      </c>
      <c r="W99" s="21">
        <v>4.4000000000000004</v>
      </c>
      <c r="X99" s="21">
        <v>4.4000000000000004</v>
      </c>
      <c r="Y99" s="21">
        <v>4.4000000000000004</v>
      </c>
      <c r="Z99" s="21">
        <v>4.4000000000000004</v>
      </c>
      <c r="AA99" s="21">
        <v>0</v>
      </c>
      <c r="AB99" s="6">
        <v>0</v>
      </c>
      <c r="AC99" s="6">
        <v>0</v>
      </c>
      <c r="AD99" s="6">
        <v>0.7</v>
      </c>
      <c r="AE99" s="6">
        <v>0.7</v>
      </c>
      <c r="AF99" s="6">
        <v>0.7</v>
      </c>
      <c r="AG99" s="6">
        <v>0.7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215"/>
      <c r="AO99" s="254">
        <f t="shared" si="12"/>
        <v>0</v>
      </c>
      <c r="AP99" s="260"/>
      <c r="AQ99" s="254">
        <f t="shared" si="13"/>
        <v>0</v>
      </c>
      <c r="AR99" s="261"/>
      <c r="AS99" s="254">
        <f t="shared" si="14"/>
        <v>0</v>
      </c>
      <c r="AT99" s="256">
        <v>2400</v>
      </c>
      <c r="AU99" s="257">
        <f t="shared" si="15"/>
        <v>1680</v>
      </c>
      <c r="AV99" s="270">
        <v>30919</v>
      </c>
      <c r="AW99" s="257">
        <f t="shared" si="16"/>
        <v>21643.3</v>
      </c>
      <c r="AX99" s="270">
        <v>7120</v>
      </c>
      <c r="AY99" s="257">
        <f t="shared" si="17"/>
        <v>4984</v>
      </c>
      <c r="AZ99" s="268">
        <v>20360</v>
      </c>
      <c r="BA99" s="257">
        <f t="shared" si="18"/>
        <v>20360</v>
      </c>
      <c r="BB99" s="256">
        <v>22760</v>
      </c>
      <c r="BC99" s="257">
        <f t="shared" si="19"/>
        <v>22760</v>
      </c>
      <c r="BD99" s="256">
        <v>20240</v>
      </c>
      <c r="BE99" s="257">
        <f t="shared" si="20"/>
        <v>20240</v>
      </c>
      <c r="BF99" s="256">
        <v>21480</v>
      </c>
      <c r="BG99" s="257">
        <f t="shared" si="21"/>
        <v>21480</v>
      </c>
      <c r="BH99" s="256">
        <v>40640</v>
      </c>
      <c r="BI99" s="257">
        <f t="shared" si="22"/>
        <v>40640</v>
      </c>
      <c r="BJ99" s="256">
        <v>14320</v>
      </c>
      <c r="BK99" s="257">
        <f t="shared" si="23"/>
        <v>14320</v>
      </c>
    </row>
    <row r="100" spans="1:63" ht="16.5" customHeight="1">
      <c r="A100" s="250" t="s">
        <v>105</v>
      </c>
      <c r="B100" s="59" t="s">
        <v>221</v>
      </c>
      <c r="C100" s="59" t="s">
        <v>172</v>
      </c>
      <c r="D100" s="473"/>
      <c r="E100" s="44" t="s">
        <v>173</v>
      </c>
      <c r="F100" s="444"/>
      <c r="G100" s="202">
        <v>2023</v>
      </c>
      <c r="H100" s="201" t="s">
        <v>244</v>
      </c>
      <c r="I100" s="207" t="s">
        <v>190</v>
      </c>
      <c r="J100" s="206">
        <v>14</v>
      </c>
      <c r="K100" s="201" t="s">
        <v>198</v>
      </c>
      <c r="L100" s="201" t="s">
        <v>177</v>
      </c>
      <c r="M100" s="21" t="s">
        <v>178</v>
      </c>
      <c r="N100" s="21">
        <v>4.9000000000000004</v>
      </c>
      <c r="O100" s="21">
        <v>4.9000000000000004</v>
      </c>
      <c r="P100" s="21">
        <v>4.9000000000000004</v>
      </c>
      <c r="Q100" s="21">
        <v>4.9000000000000004</v>
      </c>
      <c r="R100" s="21">
        <v>4.9000000000000004</v>
      </c>
      <c r="S100" s="21">
        <v>4.9000000000000004</v>
      </c>
      <c r="T100" s="21">
        <v>4.9000000000000004</v>
      </c>
      <c r="U100" s="21">
        <v>4.9000000000000004</v>
      </c>
      <c r="V100" s="21">
        <v>4.9000000000000004</v>
      </c>
      <c r="W100" s="21">
        <v>4.9000000000000004</v>
      </c>
      <c r="X100" s="21">
        <v>4.9000000000000004</v>
      </c>
      <c r="Y100" s="21">
        <v>4.9000000000000004</v>
      </c>
      <c r="Z100" s="21">
        <v>4.9000000000000004</v>
      </c>
      <c r="AA100" s="21">
        <v>0</v>
      </c>
      <c r="AB100" s="6">
        <v>0</v>
      </c>
      <c r="AC100" s="6">
        <v>0</v>
      </c>
      <c r="AD100" s="6">
        <v>0</v>
      </c>
      <c r="AE100" s="1">
        <v>0.5</v>
      </c>
      <c r="AF100" s="1">
        <v>0.5</v>
      </c>
      <c r="AG100" s="1">
        <v>0.5</v>
      </c>
      <c r="AH100" s="1">
        <v>0.5</v>
      </c>
      <c r="AI100" s="1">
        <v>0.5</v>
      </c>
      <c r="AJ100" s="1">
        <v>0.5</v>
      </c>
      <c r="AK100" s="1">
        <v>0.5</v>
      </c>
      <c r="AL100" s="1">
        <v>0.5</v>
      </c>
      <c r="AM100" s="1">
        <v>0.5</v>
      </c>
      <c r="AN100" s="215"/>
      <c r="AO100" s="254">
        <f t="shared" si="12"/>
        <v>0</v>
      </c>
      <c r="AP100" s="260"/>
      <c r="AQ100" s="254">
        <f t="shared" si="13"/>
        <v>0</v>
      </c>
      <c r="AR100" s="261"/>
      <c r="AS100" s="254">
        <f t="shared" si="14"/>
        <v>0</v>
      </c>
      <c r="AT100" s="256">
        <v>1680</v>
      </c>
      <c r="AU100" s="257">
        <f t="shared" si="15"/>
        <v>840</v>
      </c>
      <c r="AV100" s="270">
        <v>3719</v>
      </c>
      <c r="AW100" s="257">
        <f t="shared" si="16"/>
        <v>1859.5</v>
      </c>
      <c r="AX100" s="270">
        <v>720</v>
      </c>
      <c r="AY100" s="257">
        <f t="shared" si="17"/>
        <v>360</v>
      </c>
      <c r="AZ100" s="268">
        <v>3000</v>
      </c>
      <c r="BA100" s="257">
        <f t="shared" si="18"/>
        <v>1500</v>
      </c>
      <c r="BB100" s="256">
        <v>3440</v>
      </c>
      <c r="BC100" s="257">
        <f t="shared" si="19"/>
        <v>1720</v>
      </c>
      <c r="BD100" s="256">
        <v>1440</v>
      </c>
      <c r="BE100" s="257">
        <f t="shared" si="20"/>
        <v>720</v>
      </c>
      <c r="BF100" s="256">
        <v>2160</v>
      </c>
      <c r="BG100" s="257">
        <f t="shared" si="21"/>
        <v>1080</v>
      </c>
      <c r="BH100" s="256">
        <v>4800</v>
      </c>
      <c r="BI100" s="257">
        <f t="shared" si="22"/>
        <v>2400</v>
      </c>
      <c r="BJ100" s="256">
        <v>1070</v>
      </c>
      <c r="BK100" s="257">
        <f t="shared" si="23"/>
        <v>535</v>
      </c>
    </row>
    <row r="101" spans="1:63" ht="16.5" customHeight="1">
      <c r="A101" s="250" t="s">
        <v>105</v>
      </c>
      <c r="B101" s="59" t="s">
        <v>221</v>
      </c>
      <c r="C101" s="59" t="s">
        <v>172</v>
      </c>
      <c r="D101" s="473"/>
      <c r="E101" s="44" t="s">
        <v>173</v>
      </c>
      <c r="F101" s="444"/>
      <c r="G101" s="202">
        <v>2023</v>
      </c>
      <c r="H101" s="201" t="s">
        <v>244</v>
      </c>
      <c r="I101" s="188" t="s">
        <v>183</v>
      </c>
      <c r="J101" s="206">
        <v>14</v>
      </c>
      <c r="K101" s="201" t="s">
        <v>210</v>
      </c>
      <c r="L101" s="201" t="s">
        <v>177</v>
      </c>
      <c r="M101" s="21" t="s">
        <v>178</v>
      </c>
      <c r="N101" s="21">
        <v>15.1</v>
      </c>
      <c r="O101" s="21">
        <v>15.1</v>
      </c>
      <c r="P101" s="21">
        <v>15.1</v>
      </c>
      <c r="Q101" s="21">
        <v>15.1</v>
      </c>
      <c r="R101" s="21">
        <v>15.1</v>
      </c>
      <c r="S101" s="21">
        <v>15.1</v>
      </c>
      <c r="T101" s="21">
        <v>15.1</v>
      </c>
      <c r="U101" s="21">
        <v>15.1</v>
      </c>
      <c r="V101" s="21">
        <v>15.1</v>
      </c>
      <c r="W101" s="21">
        <v>15.1</v>
      </c>
      <c r="X101" s="21">
        <v>15.1</v>
      </c>
      <c r="Y101" s="21">
        <v>15.1</v>
      </c>
      <c r="Z101" s="21">
        <v>15.1</v>
      </c>
      <c r="AA101" s="21">
        <v>0</v>
      </c>
      <c r="AB101" s="6">
        <v>0</v>
      </c>
      <c r="AC101" s="6">
        <v>0</v>
      </c>
      <c r="AD101" s="6">
        <v>0</v>
      </c>
      <c r="AE101" s="1">
        <v>1.5</v>
      </c>
      <c r="AF101" s="1">
        <v>1.5</v>
      </c>
      <c r="AG101" s="1">
        <v>1.5</v>
      </c>
      <c r="AH101" s="1">
        <v>1.5</v>
      </c>
      <c r="AI101" s="1">
        <v>1.5</v>
      </c>
      <c r="AJ101" s="1">
        <v>1.5</v>
      </c>
      <c r="AK101" s="1">
        <v>1.5</v>
      </c>
      <c r="AL101" s="1">
        <v>1.5</v>
      </c>
      <c r="AM101" s="1">
        <v>1.5</v>
      </c>
      <c r="AN101" s="215"/>
      <c r="AO101" s="254">
        <f t="shared" si="12"/>
        <v>0</v>
      </c>
      <c r="AP101" s="260"/>
      <c r="AQ101" s="254">
        <f t="shared" si="13"/>
        <v>0</v>
      </c>
      <c r="AR101" s="261"/>
      <c r="AS101" s="254">
        <f t="shared" si="14"/>
        <v>0</v>
      </c>
      <c r="AT101" s="256"/>
      <c r="AU101" s="257">
        <f t="shared" si="15"/>
        <v>0</v>
      </c>
      <c r="AV101" s="270"/>
      <c r="AW101" s="257">
        <f t="shared" si="16"/>
        <v>0</v>
      </c>
      <c r="AX101" s="270"/>
      <c r="AY101" s="257">
        <f t="shared" si="17"/>
        <v>0</v>
      </c>
      <c r="AZ101" s="268"/>
      <c r="BA101" s="257">
        <f t="shared" si="18"/>
        <v>0</v>
      </c>
      <c r="BB101" s="59"/>
      <c r="BC101" s="257">
        <f t="shared" si="19"/>
        <v>0</v>
      </c>
      <c r="BD101" s="59"/>
      <c r="BE101" s="257">
        <f t="shared" si="20"/>
        <v>0</v>
      </c>
      <c r="BF101" s="59"/>
      <c r="BG101" s="257">
        <f t="shared" si="21"/>
        <v>0</v>
      </c>
      <c r="BH101" s="59"/>
      <c r="BI101" s="257">
        <f t="shared" si="22"/>
        <v>0</v>
      </c>
      <c r="BJ101" s="59"/>
      <c r="BK101" s="257">
        <f t="shared" si="23"/>
        <v>0</v>
      </c>
    </row>
    <row r="102" spans="1:63" ht="16.5" customHeight="1">
      <c r="A102" s="250" t="s">
        <v>105</v>
      </c>
      <c r="B102" s="59" t="s">
        <v>221</v>
      </c>
      <c r="C102" s="59" t="s">
        <v>172</v>
      </c>
      <c r="D102" s="473"/>
      <c r="E102" s="44" t="s">
        <v>173</v>
      </c>
      <c r="F102" s="444"/>
      <c r="G102" s="202">
        <v>2023</v>
      </c>
      <c r="H102" s="201" t="s">
        <v>244</v>
      </c>
      <c r="I102" s="207" t="s">
        <v>190</v>
      </c>
      <c r="J102" s="206">
        <v>14</v>
      </c>
      <c r="K102" s="201" t="s">
        <v>210</v>
      </c>
      <c r="L102" s="201" t="s">
        <v>177</v>
      </c>
      <c r="M102" s="21" t="s">
        <v>178</v>
      </c>
      <c r="N102" s="21">
        <v>6.5</v>
      </c>
      <c r="O102" s="21">
        <v>6.5</v>
      </c>
      <c r="P102" s="21">
        <v>6.5</v>
      </c>
      <c r="Q102" s="21">
        <v>6.5</v>
      </c>
      <c r="R102" s="21">
        <v>6.5</v>
      </c>
      <c r="S102" s="21">
        <v>6.5</v>
      </c>
      <c r="T102" s="21">
        <v>6.5</v>
      </c>
      <c r="U102" s="21">
        <v>6.5</v>
      </c>
      <c r="V102" s="21">
        <v>6.5</v>
      </c>
      <c r="W102" s="21">
        <v>6.5</v>
      </c>
      <c r="X102" s="21">
        <v>6.5</v>
      </c>
      <c r="Y102" s="21">
        <v>6.5</v>
      </c>
      <c r="Z102" s="21">
        <v>6.5</v>
      </c>
      <c r="AA102" s="21">
        <v>0</v>
      </c>
      <c r="AB102" s="6">
        <v>0</v>
      </c>
      <c r="AC102" s="6">
        <v>0</v>
      </c>
      <c r="AD102" s="6">
        <v>0</v>
      </c>
      <c r="AE102" s="1">
        <v>0.5</v>
      </c>
      <c r="AF102" s="1">
        <v>0.5</v>
      </c>
      <c r="AG102" s="1">
        <v>0.5</v>
      </c>
      <c r="AH102" s="1">
        <v>0.5</v>
      </c>
      <c r="AI102" s="1">
        <v>0.5</v>
      </c>
      <c r="AJ102" s="1">
        <v>0.5</v>
      </c>
      <c r="AK102" s="1">
        <v>0.5</v>
      </c>
      <c r="AL102" s="1">
        <v>0.5</v>
      </c>
      <c r="AM102" s="1">
        <v>0.5</v>
      </c>
      <c r="AN102" s="215"/>
      <c r="AO102" s="254">
        <f t="shared" si="12"/>
        <v>0</v>
      </c>
      <c r="AP102" s="260"/>
      <c r="AQ102" s="254">
        <f t="shared" si="13"/>
        <v>0</v>
      </c>
      <c r="AR102" s="261"/>
      <c r="AS102" s="254">
        <f t="shared" si="14"/>
        <v>0</v>
      </c>
      <c r="AT102" s="256"/>
      <c r="AU102" s="257">
        <f t="shared" si="15"/>
        <v>0</v>
      </c>
      <c r="AV102" s="270"/>
      <c r="AW102" s="257">
        <f t="shared" si="16"/>
        <v>0</v>
      </c>
      <c r="AX102" s="270"/>
      <c r="AY102" s="257">
        <f t="shared" si="17"/>
        <v>0</v>
      </c>
      <c r="AZ102" s="268"/>
      <c r="BA102" s="257">
        <f t="shared" si="18"/>
        <v>0</v>
      </c>
      <c r="BB102" s="59"/>
      <c r="BC102" s="257">
        <f t="shared" si="19"/>
        <v>0</v>
      </c>
      <c r="BD102" s="59"/>
      <c r="BE102" s="257">
        <f t="shared" si="20"/>
        <v>0</v>
      </c>
      <c r="BF102" s="59"/>
      <c r="BG102" s="257">
        <f t="shared" si="21"/>
        <v>0</v>
      </c>
      <c r="BH102" s="59"/>
      <c r="BI102" s="257">
        <f t="shared" si="22"/>
        <v>0</v>
      </c>
      <c r="BJ102" s="59"/>
      <c r="BK102" s="257">
        <f t="shared" si="23"/>
        <v>0</v>
      </c>
    </row>
    <row r="103" spans="1:63" ht="16.5" customHeight="1">
      <c r="A103" s="250" t="s">
        <v>105</v>
      </c>
      <c r="B103" s="59" t="s">
        <v>221</v>
      </c>
      <c r="C103" s="59" t="s">
        <v>172</v>
      </c>
      <c r="D103" s="473"/>
      <c r="E103" s="44" t="s">
        <v>173</v>
      </c>
      <c r="F103" s="444"/>
      <c r="G103" s="202">
        <v>2023</v>
      </c>
      <c r="H103" s="208" t="s">
        <v>244</v>
      </c>
      <c r="I103" s="188" t="s">
        <v>183</v>
      </c>
      <c r="J103" s="206">
        <v>14</v>
      </c>
      <c r="K103" s="208" t="s">
        <v>243</v>
      </c>
      <c r="L103" s="201" t="s">
        <v>177</v>
      </c>
      <c r="M103" s="21" t="s">
        <v>178</v>
      </c>
      <c r="N103" s="21">
        <v>16.100000000000001</v>
      </c>
      <c r="O103" s="21">
        <v>16.100000000000001</v>
      </c>
      <c r="P103" s="21">
        <v>16.100000000000001</v>
      </c>
      <c r="Q103" s="21">
        <v>16.100000000000001</v>
      </c>
      <c r="R103" s="21">
        <v>16.100000000000001</v>
      </c>
      <c r="S103" s="21">
        <v>16.100000000000001</v>
      </c>
      <c r="T103" s="21">
        <v>16.100000000000001</v>
      </c>
      <c r="U103" s="21">
        <v>16.100000000000001</v>
      </c>
      <c r="V103" s="21">
        <v>16.100000000000001</v>
      </c>
      <c r="W103" s="21">
        <v>16.100000000000001</v>
      </c>
      <c r="X103" s="21">
        <v>16.100000000000001</v>
      </c>
      <c r="Y103" s="21">
        <v>16.100000000000001</v>
      </c>
      <c r="Z103" s="21">
        <v>16.100000000000001</v>
      </c>
      <c r="AA103" s="21">
        <v>0</v>
      </c>
      <c r="AB103" s="6">
        <v>0</v>
      </c>
      <c r="AC103" s="6">
        <v>0</v>
      </c>
      <c r="AD103" s="6">
        <v>0</v>
      </c>
      <c r="AE103" s="1">
        <v>1.5</v>
      </c>
      <c r="AF103" s="1">
        <v>1.5</v>
      </c>
      <c r="AG103" s="1">
        <v>1.5</v>
      </c>
      <c r="AH103" s="1">
        <v>1.5</v>
      </c>
      <c r="AI103" s="1">
        <v>1.5</v>
      </c>
      <c r="AJ103" s="1">
        <v>1.5</v>
      </c>
      <c r="AK103" s="1">
        <v>1.5</v>
      </c>
      <c r="AL103" s="1">
        <v>1.5</v>
      </c>
      <c r="AM103" s="1">
        <v>1.5</v>
      </c>
      <c r="AN103" s="215"/>
      <c r="AO103" s="254">
        <f t="shared" si="12"/>
        <v>0</v>
      </c>
      <c r="AP103" s="260"/>
      <c r="AQ103" s="254">
        <f t="shared" si="13"/>
        <v>0</v>
      </c>
      <c r="AR103" s="261"/>
      <c r="AS103" s="254">
        <f t="shared" si="14"/>
        <v>0</v>
      </c>
      <c r="AT103" s="256">
        <v>6640</v>
      </c>
      <c r="AU103" s="257">
        <f t="shared" si="15"/>
        <v>9960</v>
      </c>
      <c r="AV103" s="270">
        <v>19800</v>
      </c>
      <c r="AW103" s="257">
        <f t="shared" si="16"/>
        <v>29700</v>
      </c>
      <c r="AX103" s="270">
        <v>8360</v>
      </c>
      <c r="AY103" s="257">
        <f t="shared" si="17"/>
        <v>12540</v>
      </c>
      <c r="AZ103" s="268">
        <v>11040</v>
      </c>
      <c r="BA103" s="257">
        <f t="shared" si="18"/>
        <v>16560</v>
      </c>
      <c r="BB103" s="268">
        <v>7480</v>
      </c>
      <c r="BC103" s="257">
        <f t="shared" si="19"/>
        <v>11220</v>
      </c>
      <c r="BD103" s="256">
        <v>8360</v>
      </c>
      <c r="BE103" s="257">
        <f t="shared" si="20"/>
        <v>12540</v>
      </c>
      <c r="BF103" s="256">
        <v>11520</v>
      </c>
      <c r="BG103" s="257">
        <f t="shared" si="21"/>
        <v>17280</v>
      </c>
      <c r="BH103" s="268">
        <v>11800</v>
      </c>
      <c r="BI103" s="257">
        <f t="shared" si="22"/>
        <v>17700</v>
      </c>
      <c r="BJ103" s="268">
        <v>8195</v>
      </c>
      <c r="BK103" s="257">
        <f t="shared" si="23"/>
        <v>12292.5</v>
      </c>
    </row>
    <row r="104" spans="1:63" ht="16.5" customHeight="1">
      <c r="A104" s="250" t="s">
        <v>105</v>
      </c>
      <c r="B104" s="59" t="s">
        <v>221</v>
      </c>
      <c r="C104" s="59" t="s">
        <v>172</v>
      </c>
      <c r="D104" s="473"/>
      <c r="E104" s="44" t="s">
        <v>173</v>
      </c>
      <c r="F104" s="444"/>
      <c r="G104" s="202">
        <v>2023</v>
      </c>
      <c r="H104" s="201" t="s">
        <v>244</v>
      </c>
      <c r="I104" s="207" t="s">
        <v>190</v>
      </c>
      <c r="J104" s="206">
        <v>14</v>
      </c>
      <c r="K104" s="208" t="s">
        <v>243</v>
      </c>
      <c r="L104" s="201" t="s">
        <v>177</v>
      </c>
      <c r="M104" s="21" t="s">
        <v>178</v>
      </c>
      <c r="N104" s="21">
        <v>4.9000000000000004</v>
      </c>
      <c r="O104" s="21">
        <v>4.9000000000000004</v>
      </c>
      <c r="P104" s="21">
        <v>4.9000000000000004</v>
      </c>
      <c r="Q104" s="21">
        <v>4.9000000000000004</v>
      </c>
      <c r="R104" s="21">
        <v>4.9000000000000004</v>
      </c>
      <c r="S104" s="21">
        <v>4.9000000000000004</v>
      </c>
      <c r="T104" s="21">
        <v>4.9000000000000004</v>
      </c>
      <c r="U104" s="21">
        <v>4.9000000000000004</v>
      </c>
      <c r="V104" s="21">
        <v>4.9000000000000004</v>
      </c>
      <c r="W104" s="21">
        <v>4.9000000000000004</v>
      </c>
      <c r="X104" s="21">
        <v>4.9000000000000004</v>
      </c>
      <c r="Y104" s="21">
        <v>4.9000000000000004</v>
      </c>
      <c r="Z104" s="21">
        <v>4.9000000000000004</v>
      </c>
      <c r="AA104" s="21">
        <v>0</v>
      </c>
      <c r="AB104" s="6">
        <v>0</v>
      </c>
      <c r="AC104" s="6">
        <v>0</v>
      </c>
      <c r="AD104" s="6">
        <v>0</v>
      </c>
      <c r="AE104" s="1">
        <v>0.5</v>
      </c>
      <c r="AF104" s="1">
        <v>0.5</v>
      </c>
      <c r="AG104" s="1">
        <v>0.5</v>
      </c>
      <c r="AH104" s="1">
        <v>0.5</v>
      </c>
      <c r="AI104" s="1">
        <v>0.5</v>
      </c>
      <c r="AJ104" s="1">
        <v>0.5</v>
      </c>
      <c r="AK104" s="1">
        <v>0.5</v>
      </c>
      <c r="AL104" s="1">
        <v>0.5</v>
      </c>
      <c r="AM104" s="1">
        <v>0.5</v>
      </c>
      <c r="AN104" s="215"/>
      <c r="AO104" s="254">
        <f t="shared" si="12"/>
        <v>0</v>
      </c>
      <c r="AP104" s="260"/>
      <c r="AQ104" s="254">
        <f t="shared" si="13"/>
        <v>0</v>
      </c>
      <c r="AR104" s="261"/>
      <c r="AS104" s="254">
        <f t="shared" si="14"/>
        <v>0</v>
      </c>
      <c r="AT104" s="256">
        <v>1040</v>
      </c>
      <c r="AU104" s="257">
        <f t="shared" si="15"/>
        <v>520</v>
      </c>
      <c r="AV104" s="270">
        <v>11560</v>
      </c>
      <c r="AW104" s="257">
        <f t="shared" si="16"/>
        <v>5780</v>
      </c>
      <c r="AX104" s="270">
        <v>11840</v>
      </c>
      <c r="AY104" s="257">
        <f t="shared" si="17"/>
        <v>5920</v>
      </c>
      <c r="AZ104" s="268">
        <v>9000</v>
      </c>
      <c r="BA104" s="257">
        <f t="shared" si="18"/>
        <v>4500</v>
      </c>
      <c r="BB104" s="268">
        <v>10397</v>
      </c>
      <c r="BC104" s="257">
        <f t="shared" si="19"/>
        <v>5198.5</v>
      </c>
      <c r="BD104" s="256">
        <v>18480</v>
      </c>
      <c r="BE104" s="257">
        <f t="shared" si="20"/>
        <v>9240</v>
      </c>
      <c r="BF104" s="256">
        <v>8400</v>
      </c>
      <c r="BG104" s="257">
        <f t="shared" si="21"/>
        <v>4200</v>
      </c>
      <c r="BH104" s="268">
        <v>12000</v>
      </c>
      <c r="BI104" s="257">
        <f t="shared" si="22"/>
        <v>6000</v>
      </c>
      <c r="BJ104" s="268">
        <v>3038</v>
      </c>
      <c r="BK104" s="257">
        <f t="shared" si="23"/>
        <v>1519</v>
      </c>
    </row>
    <row r="105" spans="1:63" ht="16.5" customHeight="1">
      <c r="A105" s="250" t="s">
        <v>105</v>
      </c>
      <c r="B105" s="59" t="s">
        <v>221</v>
      </c>
      <c r="C105" s="59" t="s">
        <v>172</v>
      </c>
      <c r="D105" s="473"/>
      <c r="E105" s="44" t="s">
        <v>173</v>
      </c>
      <c r="F105" s="444"/>
      <c r="G105" s="202">
        <v>2023</v>
      </c>
      <c r="H105" s="201" t="s">
        <v>244</v>
      </c>
      <c r="I105" s="188" t="s">
        <v>183</v>
      </c>
      <c r="J105" s="206">
        <v>14</v>
      </c>
      <c r="K105" s="201" t="s">
        <v>245</v>
      </c>
      <c r="L105" s="201" t="s">
        <v>177</v>
      </c>
      <c r="M105" s="21" t="s">
        <v>178</v>
      </c>
      <c r="N105" s="21">
        <v>17.600000000000001</v>
      </c>
      <c r="O105" s="21">
        <v>17.600000000000001</v>
      </c>
      <c r="P105" s="21">
        <v>17.600000000000001</v>
      </c>
      <c r="Q105" s="21">
        <v>17.600000000000001</v>
      </c>
      <c r="R105" s="21">
        <v>17.600000000000001</v>
      </c>
      <c r="S105" s="21">
        <v>17.600000000000001</v>
      </c>
      <c r="T105" s="21">
        <v>17.600000000000001</v>
      </c>
      <c r="U105" s="21">
        <v>17.600000000000001</v>
      </c>
      <c r="V105" s="21">
        <v>17.600000000000001</v>
      </c>
      <c r="W105" s="21">
        <v>17.600000000000001</v>
      </c>
      <c r="X105" s="21">
        <v>17.600000000000001</v>
      </c>
      <c r="Y105" s="21">
        <v>17.600000000000001</v>
      </c>
      <c r="Z105" s="21">
        <v>17.600000000000001</v>
      </c>
      <c r="AA105" s="21">
        <v>0</v>
      </c>
      <c r="AB105" s="6">
        <v>0</v>
      </c>
      <c r="AC105" s="6">
        <v>0</v>
      </c>
      <c r="AD105" s="6">
        <v>0</v>
      </c>
      <c r="AE105" s="1">
        <v>1.5</v>
      </c>
      <c r="AF105" s="1">
        <v>1.5</v>
      </c>
      <c r="AG105" s="1">
        <v>1.5</v>
      </c>
      <c r="AH105" s="1">
        <v>1.5</v>
      </c>
      <c r="AI105" s="1">
        <v>1.5</v>
      </c>
      <c r="AJ105" s="1">
        <v>1.5</v>
      </c>
      <c r="AK105" s="1">
        <v>1.5</v>
      </c>
      <c r="AL105" s="1">
        <v>1.5</v>
      </c>
      <c r="AM105" s="1">
        <v>1.5</v>
      </c>
      <c r="AN105" s="215"/>
      <c r="AO105" s="254">
        <f t="shared" si="12"/>
        <v>0</v>
      </c>
      <c r="AP105" s="260"/>
      <c r="AQ105" s="254">
        <f t="shared" si="13"/>
        <v>0</v>
      </c>
      <c r="AR105" s="261"/>
      <c r="AS105" s="254">
        <f t="shared" si="14"/>
        <v>0</v>
      </c>
      <c r="AT105" s="256"/>
      <c r="AU105" s="257">
        <f t="shared" si="15"/>
        <v>0</v>
      </c>
      <c r="AV105" s="270"/>
      <c r="AW105" s="257">
        <f t="shared" si="16"/>
        <v>0</v>
      </c>
      <c r="AX105" s="270"/>
      <c r="AY105" s="257">
        <f t="shared" si="17"/>
        <v>0</v>
      </c>
      <c r="AZ105" s="268">
        <v>120</v>
      </c>
      <c r="BA105" s="257">
        <f t="shared" si="18"/>
        <v>180</v>
      </c>
      <c r="BB105" s="268">
        <v>920</v>
      </c>
      <c r="BC105" s="257">
        <f t="shared" si="19"/>
        <v>1380</v>
      </c>
      <c r="BD105" s="256">
        <v>720</v>
      </c>
      <c r="BE105" s="257">
        <f t="shared" si="20"/>
        <v>1080</v>
      </c>
      <c r="BF105" s="256">
        <v>280</v>
      </c>
      <c r="BG105" s="257">
        <f t="shared" si="21"/>
        <v>420</v>
      </c>
      <c r="BH105" s="268">
        <v>240</v>
      </c>
      <c r="BI105" s="257">
        <f t="shared" si="22"/>
        <v>360</v>
      </c>
      <c r="BJ105" s="268">
        <v>160</v>
      </c>
      <c r="BK105" s="257">
        <f t="shared" si="23"/>
        <v>240</v>
      </c>
    </row>
    <row r="106" spans="1:63" ht="16.5" customHeight="1">
      <c r="A106" s="250" t="s">
        <v>105</v>
      </c>
      <c r="B106" s="59" t="s">
        <v>221</v>
      </c>
      <c r="C106" s="59" t="s">
        <v>172</v>
      </c>
      <c r="D106" s="473"/>
      <c r="E106" s="44" t="s">
        <v>173</v>
      </c>
      <c r="F106" s="444"/>
      <c r="G106" s="202">
        <v>2023</v>
      </c>
      <c r="H106" s="201" t="s">
        <v>246</v>
      </c>
      <c r="I106" s="207" t="s">
        <v>190</v>
      </c>
      <c r="J106" s="206">
        <v>15</v>
      </c>
      <c r="K106" s="201" t="s">
        <v>198</v>
      </c>
      <c r="L106" s="201" t="s">
        <v>177</v>
      </c>
      <c r="M106" s="21" t="s">
        <v>192</v>
      </c>
      <c r="N106" s="21">
        <v>4.6500000000000004</v>
      </c>
      <c r="O106" s="21">
        <v>4.6500000000000004</v>
      </c>
      <c r="P106" s="21">
        <v>4.6500000000000004</v>
      </c>
      <c r="Q106" s="21">
        <v>4.6500000000000004</v>
      </c>
      <c r="R106" s="21">
        <v>4.6500000000000004</v>
      </c>
      <c r="S106" s="21">
        <v>4.6500000000000004</v>
      </c>
      <c r="T106" s="21">
        <v>4.6500000000000004</v>
      </c>
      <c r="U106" s="21">
        <v>4.6500000000000004</v>
      </c>
      <c r="V106" s="21">
        <v>4.6500000000000004</v>
      </c>
      <c r="W106" s="21">
        <v>4.6500000000000004</v>
      </c>
      <c r="X106" s="21">
        <v>4.6500000000000004</v>
      </c>
      <c r="Y106" s="21">
        <v>4.6500000000000004</v>
      </c>
      <c r="Z106" s="21">
        <v>4.6500000000000004</v>
      </c>
      <c r="AA106" s="21">
        <v>0</v>
      </c>
      <c r="AB106" s="6">
        <v>0</v>
      </c>
      <c r="AC106" s="6">
        <v>0</v>
      </c>
      <c r="AD106" s="6">
        <v>0</v>
      </c>
      <c r="AE106" s="1">
        <v>0.5</v>
      </c>
      <c r="AF106" s="1">
        <v>0.5</v>
      </c>
      <c r="AG106" s="1">
        <v>0.5</v>
      </c>
      <c r="AH106" s="1">
        <v>0.5</v>
      </c>
      <c r="AI106" s="1">
        <v>0.5</v>
      </c>
      <c r="AJ106" s="1">
        <v>0.5</v>
      </c>
      <c r="AK106" s="1">
        <v>0.5</v>
      </c>
      <c r="AL106" s="1">
        <v>0.5</v>
      </c>
      <c r="AM106" s="1">
        <v>0.5</v>
      </c>
      <c r="AN106" s="215"/>
      <c r="AO106" s="254">
        <f t="shared" si="12"/>
        <v>0</v>
      </c>
      <c r="AP106" s="260"/>
      <c r="AQ106" s="254">
        <f t="shared" si="13"/>
        <v>0</v>
      </c>
      <c r="AR106" s="261"/>
      <c r="AS106" s="254">
        <f t="shared" si="14"/>
        <v>0</v>
      </c>
      <c r="AT106" s="256">
        <v>3200</v>
      </c>
      <c r="AU106" s="257">
        <f t="shared" si="15"/>
        <v>1600</v>
      </c>
      <c r="AV106" s="270">
        <v>11920</v>
      </c>
      <c r="AW106" s="257">
        <f t="shared" si="16"/>
        <v>5960</v>
      </c>
      <c r="AX106" s="270">
        <v>12400</v>
      </c>
      <c r="AY106" s="257">
        <f t="shared" si="17"/>
        <v>6200</v>
      </c>
      <c r="AZ106" s="268">
        <v>9360</v>
      </c>
      <c r="BA106" s="257">
        <f t="shared" si="18"/>
        <v>4680</v>
      </c>
      <c r="BB106" s="268">
        <v>12057</v>
      </c>
      <c r="BC106" s="257">
        <f t="shared" si="19"/>
        <v>6028.5</v>
      </c>
      <c r="BD106" s="268">
        <v>13000</v>
      </c>
      <c r="BE106" s="257">
        <f t="shared" si="20"/>
        <v>6500</v>
      </c>
      <c r="BF106" s="268">
        <v>11569</v>
      </c>
      <c r="BG106" s="257">
        <f t="shared" si="21"/>
        <v>5784.5</v>
      </c>
      <c r="BH106" s="268">
        <v>28760</v>
      </c>
      <c r="BI106" s="257">
        <f t="shared" si="22"/>
        <v>14380</v>
      </c>
      <c r="BJ106" s="268">
        <v>14160</v>
      </c>
      <c r="BK106" s="257">
        <f t="shared" si="23"/>
        <v>7080</v>
      </c>
    </row>
    <row r="107" spans="1:63" ht="16.5" customHeight="1">
      <c r="A107" s="250" t="s">
        <v>105</v>
      </c>
      <c r="B107" s="59" t="s">
        <v>221</v>
      </c>
      <c r="C107" s="59" t="s">
        <v>172</v>
      </c>
      <c r="D107" s="473"/>
      <c r="E107" s="44" t="s">
        <v>173</v>
      </c>
      <c r="F107" s="444"/>
      <c r="G107" s="202">
        <v>2023</v>
      </c>
      <c r="H107" s="201" t="s">
        <v>246</v>
      </c>
      <c r="I107" s="188" t="s">
        <v>183</v>
      </c>
      <c r="J107" s="206">
        <v>15</v>
      </c>
      <c r="K107" s="201" t="s">
        <v>210</v>
      </c>
      <c r="L107" s="201" t="s">
        <v>177</v>
      </c>
      <c r="M107" s="21" t="s">
        <v>192</v>
      </c>
      <c r="N107" s="21">
        <v>14.3</v>
      </c>
      <c r="O107" s="21">
        <v>14.3</v>
      </c>
      <c r="P107" s="21">
        <v>14.3</v>
      </c>
      <c r="Q107" s="21">
        <v>14.3</v>
      </c>
      <c r="R107" s="21">
        <v>14.3</v>
      </c>
      <c r="S107" s="21">
        <v>14.3</v>
      </c>
      <c r="T107" s="21">
        <v>14.3</v>
      </c>
      <c r="U107" s="21">
        <v>14.3</v>
      </c>
      <c r="V107" s="21">
        <v>14.3</v>
      </c>
      <c r="W107" s="21">
        <v>14.3</v>
      </c>
      <c r="X107" s="21">
        <v>14.3</v>
      </c>
      <c r="Y107" s="21">
        <v>14.3</v>
      </c>
      <c r="Z107" s="21">
        <v>14.3</v>
      </c>
      <c r="AA107" s="21">
        <v>0</v>
      </c>
      <c r="AB107" s="6">
        <v>0</v>
      </c>
      <c r="AC107" s="6">
        <v>0</v>
      </c>
      <c r="AD107" s="6">
        <v>0</v>
      </c>
      <c r="AE107" s="1">
        <v>1.5</v>
      </c>
      <c r="AF107" s="1">
        <v>1.5</v>
      </c>
      <c r="AG107" s="1">
        <v>1.5</v>
      </c>
      <c r="AH107" s="1">
        <v>1.5</v>
      </c>
      <c r="AI107" s="1">
        <v>1.5</v>
      </c>
      <c r="AJ107" s="1">
        <v>1.5</v>
      </c>
      <c r="AK107" s="1">
        <v>1.5</v>
      </c>
      <c r="AL107" s="1">
        <v>1.5</v>
      </c>
      <c r="AM107" s="1">
        <v>1.5</v>
      </c>
      <c r="AN107" s="215"/>
      <c r="AO107" s="254">
        <f t="shared" si="12"/>
        <v>0</v>
      </c>
      <c r="AP107" s="260"/>
      <c r="AQ107" s="254">
        <f t="shared" si="13"/>
        <v>0</v>
      </c>
      <c r="AR107" s="261"/>
      <c r="AS107" s="254">
        <f t="shared" si="14"/>
        <v>0</v>
      </c>
      <c r="AT107" s="256"/>
      <c r="AU107" s="257">
        <f t="shared" si="15"/>
        <v>0</v>
      </c>
      <c r="AV107" s="270"/>
      <c r="AW107" s="257">
        <f t="shared" si="16"/>
        <v>0</v>
      </c>
      <c r="AX107" s="270">
        <v>480</v>
      </c>
      <c r="AY107" s="257">
        <f t="shared" si="17"/>
        <v>720</v>
      </c>
      <c r="AZ107" s="268"/>
      <c r="BA107" s="257">
        <f t="shared" si="18"/>
        <v>0</v>
      </c>
      <c r="BB107" s="268">
        <v>3120</v>
      </c>
      <c r="BC107" s="257">
        <f t="shared" si="19"/>
        <v>4680</v>
      </c>
      <c r="BD107" s="268">
        <v>480</v>
      </c>
      <c r="BE107" s="257">
        <f t="shared" si="20"/>
        <v>720</v>
      </c>
      <c r="BF107" s="268">
        <v>2840</v>
      </c>
      <c r="BG107" s="257">
        <f t="shared" si="21"/>
        <v>4260</v>
      </c>
      <c r="BH107" s="268">
        <v>1240</v>
      </c>
      <c r="BI107" s="257">
        <f t="shared" si="22"/>
        <v>1860</v>
      </c>
      <c r="BJ107" s="268">
        <v>200</v>
      </c>
      <c r="BK107" s="257">
        <f t="shared" si="23"/>
        <v>300</v>
      </c>
    </row>
    <row r="108" spans="1:63" ht="16.5" customHeight="1">
      <c r="A108" s="250" t="s">
        <v>105</v>
      </c>
      <c r="B108" s="59" t="s">
        <v>221</v>
      </c>
      <c r="C108" s="59" t="s">
        <v>172</v>
      </c>
      <c r="D108" s="473"/>
      <c r="E108" s="44" t="s">
        <v>173</v>
      </c>
      <c r="F108" s="444"/>
      <c r="G108" s="202">
        <v>2023</v>
      </c>
      <c r="H108" s="201" t="s">
        <v>246</v>
      </c>
      <c r="I108" s="207" t="s">
        <v>190</v>
      </c>
      <c r="J108" s="206">
        <v>15</v>
      </c>
      <c r="K108" s="201" t="s">
        <v>210</v>
      </c>
      <c r="L108" s="201" t="s">
        <v>177</v>
      </c>
      <c r="M108" s="21" t="s">
        <v>192</v>
      </c>
      <c r="N108" s="21">
        <v>6.65</v>
      </c>
      <c r="O108" s="21">
        <v>6.65</v>
      </c>
      <c r="P108" s="21">
        <v>6.65</v>
      </c>
      <c r="Q108" s="21">
        <v>6.65</v>
      </c>
      <c r="R108" s="21">
        <v>6.65</v>
      </c>
      <c r="S108" s="21">
        <v>6.65</v>
      </c>
      <c r="T108" s="21">
        <v>6.65</v>
      </c>
      <c r="U108" s="21">
        <v>6.65</v>
      </c>
      <c r="V108" s="21">
        <v>6.65</v>
      </c>
      <c r="W108" s="21">
        <v>6.65</v>
      </c>
      <c r="X108" s="21">
        <v>6.65</v>
      </c>
      <c r="Y108" s="21">
        <v>6.65</v>
      </c>
      <c r="Z108" s="21">
        <v>6.65</v>
      </c>
      <c r="AA108" s="21">
        <v>0</v>
      </c>
      <c r="AB108" s="6">
        <v>0</v>
      </c>
      <c r="AC108" s="6">
        <v>0</v>
      </c>
      <c r="AD108" s="6">
        <v>0</v>
      </c>
      <c r="AE108" s="1">
        <v>0.7</v>
      </c>
      <c r="AF108" s="1">
        <v>0.7</v>
      </c>
      <c r="AG108" s="1">
        <v>0.7</v>
      </c>
      <c r="AH108" s="1">
        <v>0.7</v>
      </c>
      <c r="AI108" s="1">
        <v>0.7</v>
      </c>
      <c r="AJ108" s="1">
        <v>0.7</v>
      </c>
      <c r="AK108" s="1">
        <v>0.7</v>
      </c>
      <c r="AL108" s="1">
        <v>0.7</v>
      </c>
      <c r="AM108" s="1">
        <v>0.7</v>
      </c>
      <c r="AN108" s="215"/>
      <c r="AO108" s="254">
        <f t="shared" si="12"/>
        <v>0</v>
      </c>
      <c r="AP108" s="260"/>
      <c r="AQ108" s="254">
        <f t="shared" si="13"/>
        <v>0</v>
      </c>
      <c r="AR108" s="261"/>
      <c r="AS108" s="254">
        <f t="shared" si="14"/>
        <v>0</v>
      </c>
      <c r="AT108" s="256"/>
      <c r="AU108" s="257">
        <f t="shared" si="15"/>
        <v>0</v>
      </c>
      <c r="AV108" s="270"/>
      <c r="AW108" s="257">
        <f t="shared" si="16"/>
        <v>0</v>
      </c>
      <c r="AX108" s="270">
        <v>7560</v>
      </c>
      <c r="AY108" s="257">
        <f t="shared" si="17"/>
        <v>5292</v>
      </c>
      <c r="AZ108" s="268">
        <v>5680</v>
      </c>
      <c r="BA108" s="257">
        <f t="shared" si="18"/>
        <v>3975.9999999999995</v>
      </c>
      <c r="BB108" s="268">
        <v>6560</v>
      </c>
      <c r="BC108" s="257">
        <f t="shared" si="19"/>
        <v>4592</v>
      </c>
      <c r="BD108" s="268">
        <v>5520</v>
      </c>
      <c r="BE108" s="257">
        <f t="shared" si="20"/>
        <v>3863.9999999999995</v>
      </c>
      <c r="BF108" s="268">
        <v>5800</v>
      </c>
      <c r="BG108" s="257">
        <f t="shared" si="21"/>
        <v>4059.9999999999995</v>
      </c>
      <c r="BH108" s="268">
        <v>3960</v>
      </c>
      <c r="BI108" s="257">
        <f t="shared" si="22"/>
        <v>2772</v>
      </c>
      <c r="BJ108" s="268">
        <v>2520</v>
      </c>
      <c r="BK108" s="257">
        <f t="shared" si="23"/>
        <v>1764</v>
      </c>
    </row>
    <row r="109" spans="1:63" ht="16.5" customHeight="1">
      <c r="A109" s="250" t="s">
        <v>105</v>
      </c>
      <c r="B109" s="59" t="s">
        <v>221</v>
      </c>
      <c r="C109" s="59" t="s">
        <v>172</v>
      </c>
      <c r="D109" s="473"/>
      <c r="E109" s="44" t="s">
        <v>173</v>
      </c>
      <c r="F109" s="444"/>
      <c r="G109" s="202">
        <v>2023</v>
      </c>
      <c r="H109" s="201" t="s">
        <v>246</v>
      </c>
      <c r="I109" s="188" t="s">
        <v>183</v>
      </c>
      <c r="J109" s="206">
        <v>15</v>
      </c>
      <c r="K109" s="208" t="s">
        <v>243</v>
      </c>
      <c r="L109" s="201" t="s">
        <v>177</v>
      </c>
      <c r="M109" s="21" t="s">
        <v>192</v>
      </c>
      <c r="N109" s="21">
        <v>15.2</v>
      </c>
      <c r="O109" s="21">
        <v>15.2</v>
      </c>
      <c r="P109" s="21">
        <v>15.2</v>
      </c>
      <c r="Q109" s="21">
        <v>15.2</v>
      </c>
      <c r="R109" s="21">
        <v>15.2</v>
      </c>
      <c r="S109" s="21">
        <v>15.2</v>
      </c>
      <c r="T109" s="21">
        <v>15.2</v>
      </c>
      <c r="U109" s="21">
        <v>15.2</v>
      </c>
      <c r="V109" s="21">
        <v>15.2</v>
      </c>
      <c r="W109" s="21">
        <v>15.2</v>
      </c>
      <c r="X109" s="21">
        <v>15.2</v>
      </c>
      <c r="Y109" s="21">
        <v>15.2</v>
      </c>
      <c r="Z109" s="21">
        <v>15.2</v>
      </c>
      <c r="AA109" s="21">
        <v>0</v>
      </c>
      <c r="AB109" s="6">
        <v>0</v>
      </c>
      <c r="AC109" s="6">
        <v>0</v>
      </c>
      <c r="AD109" s="6">
        <v>0</v>
      </c>
      <c r="AE109" s="1">
        <v>1.5</v>
      </c>
      <c r="AF109" s="1">
        <v>1.5</v>
      </c>
      <c r="AG109" s="1">
        <v>1.5</v>
      </c>
      <c r="AH109" s="1">
        <v>1.5</v>
      </c>
      <c r="AI109" s="1">
        <v>1.5</v>
      </c>
      <c r="AJ109" s="1">
        <v>1.5</v>
      </c>
      <c r="AK109" s="1">
        <v>1.5</v>
      </c>
      <c r="AL109" s="1">
        <v>1.5</v>
      </c>
      <c r="AM109" s="1">
        <v>1.5</v>
      </c>
      <c r="AN109" s="215"/>
      <c r="AO109" s="254">
        <f t="shared" si="12"/>
        <v>0</v>
      </c>
      <c r="AP109" s="260"/>
      <c r="AQ109" s="254">
        <f t="shared" si="13"/>
        <v>0</v>
      </c>
      <c r="AR109" s="261"/>
      <c r="AS109" s="254">
        <f t="shared" si="14"/>
        <v>0</v>
      </c>
      <c r="AT109" s="256">
        <v>3840</v>
      </c>
      <c r="AU109" s="257">
        <f t="shared" si="15"/>
        <v>5760</v>
      </c>
      <c r="AV109" s="270">
        <v>33562</v>
      </c>
      <c r="AW109" s="257">
        <f t="shared" si="16"/>
        <v>50343</v>
      </c>
      <c r="AX109" s="270">
        <v>22559</v>
      </c>
      <c r="AY109" s="257">
        <f t="shared" si="17"/>
        <v>33838.5</v>
      </c>
      <c r="AZ109" s="268">
        <v>31494</v>
      </c>
      <c r="BA109" s="257">
        <f t="shared" si="18"/>
        <v>47241</v>
      </c>
      <c r="BB109" s="268">
        <v>17959</v>
      </c>
      <c r="BC109" s="257">
        <f t="shared" si="19"/>
        <v>26938.5</v>
      </c>
      <c r="BD109" s="268">
        <v>30907</v>
      </c>
      <c r="BE109" s="257">
        <f t="shared" si="20"/>
        <v>46360.5</v>
      </c>
      <c r="BF109" s="268">
        <v>40200</v>
      </c>
      <c r="BG109" s="257">
        <f t="shared" si="21"/>
        <v>60300</v>
      </c>
      <c r="BH109" s="268">
        <v>30920</v>
      </c>
      <c r="BI109" s="257">
        <f t="shared" si="22"/>
        <v>46380</v>
      </c>
      <c r="BJ109" s="268">
        <v>40120</v>
      </c>
      <c r="BK109" s="257">
        <f t="shared" si="23"/>
        <v>60180</v>
      </c>
    </row>
    <row r="110" spans="1:63" ht="16.5" customHeight="1">
      <c r="A110" s="250" t="s">
        <v>105</v>
      </c>
      <c r="B110" s="59" t="s">
        <v>221</v>
      </c>
      <c r="C110" s="59" t="s">
        <v>172</v>
      </c>
      <c r="D110" s="473"/>
      <c r="E110" s="44" t="s">
        <v>173</v>
      </c>
      <c r="F110" s="444"/>
      <c r="G110" s="202">
        <v>2023</v>
      </c>
      <c r="H110" s="201" t="s">
        <v>246</v>
      </c>
      <c r="I110" s="207" t="s">
        <v>190</v>
      </c>
      <c r="J110" s="206">
        <v>15</v>
      </c>
      <c r="K110" s="208" t="s">
        <v>243</v>
      </c>
      <c r="L110" s="201" t="s">
        <v>177</v>
      </c>
      <c r="M110" s="21" t="s">
        <v>192</v>
      </c>
      <c r="N110" s="21">
        <v>4.6500000000000004</v>
      </c>
      <c r="O110" s="21">
        <v>4.6500000000000004</v>
      </c>
      <c r="P110" s="21">
        <v>4.6500000000000004</v>
      </c>
      <c r="Q110" s="21">
        <v>4.6500000000000004</v>
      </c>
      <c r="R110" s="21">
        <v>4.6500000000000004</v>
      </c>
      <c r="S110" s="21">
        <v>4.6500000000000004</v>
      </c>
      <c r="T110" s="21">
        <v>4.6500000000000004</v>
      </c>
      <c r="U110" s="21">
        <v>4.6500000000000004</v>
      </c>
      <c r="V110" s="21">
        <v>4.6500000000000004</v>
      </c>
      <c r="W110" s="21">
        <v>4.6500000000000004</v>
      </c>
      <c r="X110" s="21">
        <v>4.6500000000000004</v>
      </c>
      <c r="Y110" s="21">
        <v>4.6500000000000004</v>
      </c>
      <c r="Z110" s="21">
        <v>4.6500000000000004</v>
      </c>
      <c r="AA110" s="21">
        <v>0</v>
      </c>
      <c r="AB110" s="6">
        <v>0</v>
      </c>
      <c r="AC110" s="6">
        <v>0</v>
      </c>
      <c r="AD110" s="6">
        <v>0</v>
      </c>
      <c r="AE110" s="1">
        <v>0.5</v>
      </c>
      <c r="AF110" s="1">
        <v>0.5</v>
      </c>
      <c r="AG110" s="1">
        <v>0.5</v>
      </c>
      <c r="AH110" s="1">
        <v>0.5</v>
      </c>
      <c r="AI110" s="1">
        <v>0.5</v>
      </c>
      <c r="AJ110" s="1">
        <v>0.5</v>
      </c>
      <c r="AK110" s="1">
        <v>0.5</v>
      </c>
      <c r="AL110" s="1">
        <v>0.5</v>
      </c>
      <c r="AM110" s="1">
        <v>0.5</v>
      </c>
      <c r="AN110" s="215"/>
      <c r="AO110" s="254">
        <f t="shared" si="12"/>
        <v>0</v>
      </c>
      <c r="AP110" s="260"/>
      <c r="AQ110" s="254">
        <f t="shared" si="13"/>
        <v>0</v>
      </c>
      <c r="AR110" s="261"/>
      <c r="AS110" s="254">
        <f t="shared" si="14"/>
        <v>0</v>
      </c>
      <c r="AT110" s="256">
        <v>12480</v>
      </c>
      <c r="AU110" s="257">
        <f t="shared" si="15"/>
        <v>6240</v>
      </c>
      <c r="AV110" s="270">
        <v>60498</v>
      </c>
      <c r="AW110" s="257">
        <f t="shared" si="16"/>
        <v>30249</v>
      </c>
      <c r="AX110" s="270">
        <v>89239</v>
      </c>
      <c r="AY110" s="257">
        <f t="shared" si="17"/>
        <v>44619.5</v>
      </c>
      <c r="AZ110" s="268">
        <v>72639</v>
      </c>
      <c r="BA110" s="257">
        <f t="shared" si="18"/>
        <v>36319.5</v>
      </c>
      <c r="BB110" s="268">
        <v>61637</v>
      </c>
      <c r="BC110" s="257">
        <f t="shared" si="19"/>
        <v>30818.5</v>
      </c>
      <c r="BD110" s="268">
        <v>64480</v>
      </c>
      <c r="BE110" s="257">
        <f t="shared" si="20"/>
        <v>32240</v>
      </c>
      <c r="BF110" s="268">
        <v>97937</v>
      </c>
      <c r="BG110" s="257">
        <f t="shared" si="21"/>
        <v>48968.5</v>
      </c>
      <c r="BH110" s="268">
        <v>120760</v>
      </c>
      <c r="BI110" s="257">
        <f t="shared" si="22"/>
        <v>60380</v>
      </c>
      <c r="BJ110" s="268">
        <v>64080</v>
      </c>
      <c r="BK110" s="257">
        <f t="shared" si="23"/>
        <v>32040</v>
      </c>
    </row>
    <row r="111" spans="1:63" ht="16.5" customHeight="1">
      <c r="A111" s="250" t="s">
        <v>105</v>
      </c>
      <c r="B111" s="59" t="s">
        <v>221</v>
      </c>
      <c r="C111" s="59" t="s">
        <v>172</v>
      </c>
      <c r="D111" s="473"/>
      <c r="E111" s="44" t="s">
        <v>173</v>
      </c>
      <c r="F111" s="444"/>
      <c r="G111" s="202">
        <v>2023</v>
      </c>
      <c r="H111" s="201" t="s">
        <v>246</v>
      </c>
      <c r="I111" s="188" t="s">
        <v>183</v>
      </c>
      <c r="J111" s="206">
        <v>15</v>
      </c>
      <c r="K111" s="201" t="s">
        <v>247</v>
      </c>
      <c r="L111" s="201" t="s">
        <v>177</v>
      </c>
      <c r="M111" s="21" t="s">
        <v>192</v>
      </c>
      <c r="N111" s="21">
        <v>15.2</v>
      </c>
      <c r="O111" s="21">
        <v>15.2</v>
      </c>
      <c r="P111" s="21">
        <v>15.2</v>
      </c>
      <c r="Q111" s="21">
        <v>15.2</v>
      </c>
      <c r="R111" s="21">
        <v>15.2</v>
      </c>
      <c r="S111" s="21">
        <v>15.2</v>
      </c>
      <c r="T111" s="21">
        <v>15.2</v>
      </c>
      <c r="U111" s="21">
        <v>15.2</v>
      </c>
      <c r="V111" s="21">
        <v>15.2</v>
      </c>
      <c r="W111" s="21">
        <v>15.2</v>
      </c>
      <c r="X111" s="21">
        <v>15.2</v>
      </c>
      <c r="Y111" s="21">
        <v>15.2</v>
      </c>
      <c r="Z111" s="21">
        <v>15.2</v>
      </c>
      <c r="AA111" s="21">
        <v>0</v>
      </c>
      <c r="AB111" s="6">
        <v>0</v>
      </c>
      <c r="AC111" s="6">
        <v>0</v>
      </c>
      <c r="AD111" s="6">
        <v>0</v>
      </c>
      <c r="AE111" s="1">
        <v>1.5</v>
      </c>
      <c r="AF111" s="1">
        <v>1.5</v>
      </c>
      <c r="AG111" s="1">
        <v>1.5</v>
      </c>
      <c r="AH111" s="1">
        <v>1.5</v>
      </c>
      <c r="AI111" s="1">
        <v>1.5</v>
      </c>
      <c r="AJ111" s="1">
        <v>1.5</v>
      </c>
      <c r="AK111" s="1">
        <v>1.5</v>
      </c>
      <c r="AL111" s="1">
        <v>1.5</v>
      </c>
      <c r="AM111" s="1">
        <v>1.5</v>
      </c>
      <c r="AN111" s="215"/>
      <c r="AO111" s="254">
        <f t="shared" si="12"/>
        <v>0</v>
      </c>
      <c r="AP111" s="260"/>
      <c r="AQ111" s="254">
        <f t="shared" si="13"/>
        <v>0</v>
      </c>
      <c r="AR111" s="261"/>
      <c r="AS111" s="254">
        <f t="shared" si="14"/>
        <v>0</v>
      </c>
      <c r="AT111" s="256"/>
      <c r="AU111" s="257">
        <f t="shared" si="15"/>
        <v>0</v>
      </c>
      <c r="AV111" s="270"/>
      <c r="AW111" s="257">
        <f t="shared" si="16"/>
        <v>0</v>
      </c>
      <c r="AX111" s="270"/>
      <c r="AY111" s="257">
        <f t="shared" si="17"/>
        <v>0</v>
      </c>
      <c r="AZ111" s="268"/>
      <c r="BA111" s="257">
        <f t="shared" si="18"/>
        <v>0</v>
      </c>
      <c r="BB111" s="59"/>
      <c r="BC111" s="257">
        <f t="shared" si="19"/>
        <v>0</v>
      </c>
      <c r="BD111" s="59"/>
      <c r="BE111" s="257">
        <f t="shared" si="20"/>
        <v>0</v>
      </c>
      <c r="BF111" s="59"/>
      <c r="BG111" s="257">
        <f t="shared" si="21"/>
        <v>0</v>
      </c>
      <c r="BH111" s="256">
        <v>3600</v>
      </c>
      <c r="BI111" s="257">
        <f t="shared" si="22"/>
        <v>5400</v>
      </c>
      <c r="BJ111" s="256">
        <v>440</v>
      </c>
      <c r="BK111" s="257">
        <f t="shared" si="23"/>
        <v>660</v>
      </c>
    </row>
    <row r="112" spans="1:63" ht="16.5" customHeight="1" thickBot="1">
      <c r="A112" s="250" t="s">
        <v>105</v>
      </c>
      <c r="B112" s="59" t="s">
        <v>221</v>
      </c>
      <c r="C112" s="59" t="s">
        <v>172</v>
      </c>
      <c r="D112" s="473"/>
      <c r="E112" s="44" t="s">
        <v>173</v>
      </c>
      <c r="F112" s="444"/>
      <c r="G112" s="212">
        <v>2023</v>
      </c>
      <c r="H112" s="209" t="s">
        <v>246</v>
      </c>
      <c r="I112" s="216" t="s">
        <v>183</v>
      </c>
      <c r="J112" s="210">
        <v>15</v>
      </c>
      <c r="K112" s="209" t="s">
        <v>248</v>
      </c>
      <c r="L112" s="209" t="s">
        <v>177</v>
      </c>
      <c r="M112" s="24" t="s">
        <v>192</v>
      </c>
      <c r="N112" s="24">
        <v>15.2</v>
      </c>
      <c r="O112" s="24">
        <v>15.2</v>
      </c>
      <c r="P112" s="24">
        <v>15.2</v>
      </c>
      <c r="Q112" s="24">
        <v>15.2</v>
      </c>
      <c r="R112" s="24">
        <v>15.2</v>
      </c>
      <c r="S112" s="24">
        <v>15.2</v>
      </c>
      <c r="T112" s="24">
        <v>15.2</v>
      </c>
      <c r="U112" s="24">
        <v>15.2</v>
      </c>
      <c r="V112" s="24">
        <v>15.2</v>
      </c>
      <c r="W112" s="24">
        <v>15.2</v>
      </c>
      <c r="X112" s="24">
        <v>15.2</v>
      </c>
      <c r="Y112" s="24">
        <v>15.2</v>
      </c>
      <c r="Z112" s="24">
        <v>15.2</v>
      </c>
      <c r="AA112" s="21">
        <v>0</v>
      </c>
      <c r="AB112" s="6">
        <v>0</v>
      </c>
      <c r="AC112" s="6">
        <v>0</v>
      </c>
      <c r="AD112" s="6">
        <v>0</v>
      </c>
      <c r="AE112" s="1">
        <v>1.5</v>
      </c>
      <c r="AF112" s="1">
        <v>1.5</v>
      </c>
      <c r="AG112" s="1">
        <v>1.5</v>
      </c>
      <c r="AH112" s="1">
        <v>1.5</v>
      </c>
      <c r="AI112" s="1">
        <v>1.5</v>
      </c>
      <c r="AJ112" s="1">
        <v>1.5</v>
      </c>
      <c r="AK112" s="1">
        <v>1.5</v>
      </c>
      <c r="AL112" s="1">
        <v>1.5</v>
      </c>
      <c r="AM112" s="1">
        <v>1.5</v>
      </c>
      <c r="AN112" s="215"/>
      <c r="AO112" s="254">
        <f t="shared" si="12"/>
        <v>0</v>
      </c>
      <c r="AP112" s="260"/>
      <c r="AQ112" s="254">
        <f t="shared" si="13"/>
        <v>0</v>
      </c>
      <c r="AR112" s="261"/>
      <c r="AS112" s="254">
        <f t="shared" si="14"/>
        <v>0</v>
      </c>
      <c r="AT112" s="256"/>
      <c r="AU112" s="257">
        <f t="shared" si="15"/>
        <v>0</v>
      </c>
      <c r="AV112" s="270"/>
      <c r="AW112" s="257">
        <f t="shared" si="16"/>
        <v>0</v>
      </c>
      <c r="AX112" s="270"/>
      <c r="AY112" s="257">
        <f t="shared" si="17"/>
        <v>0</v>
      </c>
      <c r="AZ112" s="268"/>
      <c r="BA112" s="257">
        <f t="shared" si="18"/>
        <v>0</v>
      </c>
      <c r="BB112" s="59"/>
      <c r="BC112" s="257">
        <f t="shared" si="19"/>
        <v>0</v>
      </c>
      <c r="BD112" s="59"/>
      <c r="BE112" s="257">
        <f t="shared" si="20"/>
        <v>0</v>
      </c>
      <c r="BF112" s="59"/>
      <c r="BG112" s="257">
        <f t="shared" si="21"/>
        <v>0</v>
      </c>
      <c r="BH112" s="59"/>
      <c r="BI112" s="257">
        <f t="shared" si="22"/>
        <v>0</v>
      </c>
      <c r="BJ112" s="256">
        <v>2159</v>
      </c>
      <c r="BK112" s="257">
        <f t="shared" si="23"/>
        <v>3238.5</v>
      </c>
    </row>
    <row r="113" spans="1:63" ht="16.5" customHeight="1">
      <c r="A113" s="250" t="s">
        <v>105</v>
      </c>
      <c r="B113" s="59" t="s">
        <v>221</v>
      </c>
      <c r="C113" s="59" t="s">
        <v>172</v>
      </c>
      <c r="D113" s="473"/>
      <c r="E113" s="44" t="s">
        <v>173</v>
      </c>
      <c r="F113" s="444"/>
      <c r="G113" s="202" t="s">
        <v>239</v>
      </c>
      <c r="H113" s="201" t="s">
        <v>240</v>
      </c>
      <c r="I113" s="188" t="s">
        <v>249</v>
      </c>
      <c r="J113" s="206" t="s">
        <v>241</v>
      </c>
      <c r="K113" s="201" t="s">
        <v>250</v>
      </c>
      <c r="L113" s="201" t="s">
        <v>177</v>
      </c>
      <c r="M113" s="21" t="s">
        <v>178</v>
      </c>
      <c r="N113" s="21">
        <v>14.3</v>
      </c>
      <c r="O113" s="21">
        <v>14.3</v>
      </c>
      <c r="P113" s="21">
        <v>14.3</v>
      </c>
      <c r="Q113" s="21">
        <v>14.3</v>
      </c>
      <c r="R113" s="21">
        <v>14.3</v>
      </c>
      <c r="S113" s="21">
        <v>14.3</v>
      </c>
      <c r="T113" s="21">
        <v>14.3</v>
      </c>
      <c r="U113" s="21">
        <v>14.3</v>
      </c>
      <c r="V113" s="21">
        <v>14.3</v>
      </c>
      <c r="W113" s="21">
        <v>14.3</v>
      </c>
      <c r="X113" s="21">
        <v>14.3</v>
      </c>
      <c r="Y113" s="21">
        <v>14.3</v>
      </c>
      <c r="Z113" s="21">
        <v>14.3</v>
      </c>
      <c r="AA113" s="21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4</v>
      </c>
      <c r="AK113" s="1">
        <v>4</v>
      </c>
      <c r="AL113" s="1">
        <v>4</v>
      </c>
      <c r="AM113" s="1">
        <v>4</v>
      </c>
      <c r="AN113" s="215"/>
      <c r="AO113" s="254">
        <f t="shared" si="12"/>
        <v>0</v>
      </c>
      <c r="AP113" s="260"/>
      <c r="AQ113" s="254">
        <f t="shared" si="13"/>
        <v>0</v>
      </c>
      <c r="AR113" s="261"/>
      <c r="AS113" s="254">
        <f t="shared" si="14"/>
        <v>0</v>
      </c>
      <c r="AT113" s="256"/>
      <c r="AU113" s="257">
        <f t="shared" si="15"/>
        <v>0</v>
      </c>
      <c r="AV113" s="270"/>
      <c r="AW113" s="257">
        <f t="shared" si="16"/>
        <v>0</v>
      </c>
      <c r="AX113" s="270"/>
      <c r="AY113" s="257">
        <f t="shared" si="17"/>
        <v>0</v>
      </c>
      <c r="AZ113" s="268"/>
      <c r="BA113" s="257">
        <f t="shared" si="18"/>
        <v>0</v>
      </c>
      <c r="BB113" s="59"/>
      <c r="BC113" s="257">
        <f t="shared" si="19"/>
        <v>0</v>
      </c>
      <c r="BD113" s="256">
        <v>880</v>
      </c>
      <c r="BE113" s="257">
        <f t="shared" si="20"/>
        <v>3520</v>
      </c>
      <c r="BF113" s="59"/>
      <c r="BG113" s="257">
        <f t="shared" si="21"/>
        <v>0</v>
      </c>
      <c r="BH113" s="256">
        <v>1200</v>
      </c>
      <c r="BI113" s="257">
        <f t="shared" si="22"/>
        <v>4800</v>
      </c>
      <c r="BJ113" s="256">
        <v>3640</v>
      </c>
      <c r="BK113" s="257">
        <f t="shared" si="23"/>
        <v>14560</v>
      </c>
    </row>
    <row r="114" spans="1:63" ht="16.5" customHeight="1" thickBot="1">
      <c r="A114" s="250" t="s">
        <v>105</v>
      </c>
      <c r="B114" s="59" t="s">
        <v>221</v>
      </c>
      <c r="C114" s="59" t="s">
        <v>172</v>
      </c>
      <c r="D114" s="473"/>
      <c r="E114" s="44" t="s">
        <v>173</v>
      </c>
      <c r="F114" s="444"/>
      <c r="G114" s="202" t="s">
        <v>239</v>
      </c>
      <c r="H114" s="201" t="s">
        <v>240</v>
      </c>
      <c r="I114" s="207" t="s">
        <v>249</v>
      </c>
      <c r="J114" s="206" t="s">
        <v>241</v>
      </c>
      <c r="K114" s="201" t="s">
        <v>251</v>
      </c>
      <c r="L114" s="201" t="s">
        <v>177</v>
      </c>
      <c r="M114" s="21" t="s">
        <v>178</v>
      </c>
      <c r="N114" s="21">
        <v>14.3</v>
      </c>
      <c r="O114" s="21">
        <v>14.3</v>
      </c>
      <c r="P114" s="21">
        <v>14.3</v>
      </c>
      <c r="Q114" s="21">
        <v>14.3</v>
      </c>
      <c r="R114" s="21">
        <v>14.3</v>
      </c>
      <c r="S114" s="21">
        <v>14.3</v>
      </c>
      <c r="T114" s="21">
        <v>14.3</v>
      </c>
      <c r="U114" s="21">
        <v>14.3</v>
      </c>
      <c r="V114" s="21">
        <v>14.3</v>
      </c>
      <c r="W114" s="21">
        <v>14.3</v>
      </c>
      <c r="X114" s="21">
        <v>14.3</v>
      </c>
      <c r="Y114" s="21">
        <v>14.3</v>
      </c>
      <c r="Z114" s="21">
        <v>14.3</v>
      </c>
      <c r="AA114" s="21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4</v>
      </c>
      <c r="AK114" s="1">
        <v>4</v>
      </c>
      <c r="AL114" s="1">
        <v>4</v>
      </c>
      <c r="AM114" s="1">
        <v>4</v>
      </c>
      <c r="AN114" s="215"/>
      <c r="AO114" s="254">
        <f t="shared" si="12"/>
        <v>0</v>
      </c>
      <c r="AP114" s="260"/>
      <c r="AQ114" s="254">
        <f t="shared" si="13"/>
        <v>0</v>
      </c>
      <c r="AR114" s="261"/>
      <c r="AS114" s="254">
        <f t="shared" si="14"/>
        <v>0</v>
      </c>
      <c r="AT114" s="256"/>
      <c r="AU114" s="257">
        <f t="shared" si="15"/>
        <v>0</v>
      </c>
      <c r="AV114" s="270"/>
      <c r="AW114" s="257">
        <f t="shared" si="16"/>
        <v>0</v>
      </c>
      <c r="AX114" s="270"/>
      <c r="AY114" s="257">
        <f t="shared" si="17"/>
        <v>0</v>
      </c>
      <c r="AZ114" s="268"/>
      <c r="BA114" s="257">
        <f t="shared" si="18"/>
        <v>0</v>
      </c>
      <c r="BB114" s="59"/>
      <c r="BC114" s="257">
        <f t="shared" si="19"/>
        <v>0</v>
      </c>
      <c r="BD114" s="59"/>
      <c r="BE114" s="257">
        <f t="shared" si="20"/>
        <v>0</v>
      </c>
      <c r="BF114" s="59"/>
      <c r="BG114" s="257">
        <f t="shared" si="21"/>
        <v>0</v>
      </c>
      <c r="BH114" s="256">
        <v>2520</v>
      </c>
      <c r="BI114" s="257">
        <f t="shared" si="22"/>
        <v>10080</v>
      </c>
      <c r="BJ114" s="256">
        <v>6919</v>
      </c>
      <c r="BK114" s="257">
        <f t="shared" si="23"/>
        <v>27676</v>
      </c>
    </row>
    <row r="115" spans="1:63" ht="16.5" hidden="1" customHeight="1">
      <c r="A115" s="250" t="s">
        <v>105</v>
      </c>
      <c r="C115" s="59"/>
      <c r="D115" s="473"/>
      <c r="E115" s="44"/>
      <c r="F115" s="444"/>
      <c r="G115" s="82"/>
      <c r="H115" s="84"/>
      <c r="I115" s="84"/>
      <c r="J115" s="110"/>
      <c r="K115" s="84"/>
      <c r="L115" s="84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6"/>
      <c r="AC115" s="6"/>
      <c r="AD115" s="6"/>
      <c r="AN115" s="215"/>
      <c r="AO115" s="254">
        <f t="shared" si="12"/>
        <v>0</v>
      </c>
      <c r="AP115" s="260"/>
      <c r="AQ115" s="254">
        <f t="shared" si="13"/>
        <v>0</v>
      </c>
      <c r="AR115" s="261"/>
      <c r="AS115" s="254">
        <f t="shared" si="14"/>
        <v>0</v>
      </c>
      <c r="AT115" s="256"/>
      <c r="AU115" s="257">
        <f t="shared" si="15"/>
        <v>0</v>
      </c>
      <c r="AV115" s="270"/>
      <c r="AW115" s="257">
        <f t="shared" si="16"/>
        <v>0</v>
      </c>
      <c r="AX115" s="270"/>
      <c r="AY115" s="257">
        <f t="shared" si="17"/>
        <v>0</v>
      </c>
      <c r="AZ115" s="268"/>
      <c r="BA115" s="257">
        <f t="shared" si="18"/>
        <v>0</v>
      </c>
      <c r="BB115" s="59"/>
      <c r="BC115" s="257">
        <f t="shared" si="19"/>
        <v>0</v>
      </c>
      <c r="BD115" s="59"/>
      <c r="BE115" s="257">
        <f t="shared" si="20"/>
        <v>0</v>
      </c>
      <c r="BF115" s="59"/>
      <c r="BG115" s="257">
        <f t="shared" si="21"/>
        <v>0</v>
      </c>
      <c r="BH115" s="59"/>
      <c r="BI115" s="257">
        <f t="shared" si="22"/>
        <v>0</v>
      </c>
      <c r="BJ115" s="59"/>
      <c r="BK115" s="257">
        <f t="shared" si="23"/>
        <v>0</v>
      </c>
    </row>
    <row r="116" spans="1:63" ht="16.5" hidden="1" customHeight="1" thickBot="1">
      <c r="A116" s="250" t="s">
        <v>105</v>
      </c>
      <c r="C116" s="59"/>
      <c r="D116" s="473"/>
      <c r="E116" s="44"/>
      <c r="F116" s="445"/>
      <c r="G116" s="85"/>
      <c r="H116" s="86"/>
      <c r="I116" s="84"/>
      <c r="J116" s="110"/>
      <c r="K116" s="84"/>
      <c r="L116" s="84"/>
      <c r="M116" s="21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165"/>
      <c r="AC116" s="165"/>
      <c r="AD116" s="165"/>
      <c r="AN116" s="214"/>
      <c r="AO116" s="254">
        <f t="shared" si="12"/>
        <v>0</v>
      </c>
      <c r="AP116" s="260"/>
      <c r="AQ116" s="254">
        <f t="shared" si="13"/>
        <v>0</v>
      </c>
      <c r="AR116" s="261"/>
      <c r="AS116" s="254">
        <f t="shared" si="14"/>
        <v>0</v>
      </c>
      <c r="AT116" s="256"/>
      <c r="AU116" s="257">
        <f t="shared" si="15"/>
        <v>0</v>
      </c>
      <c r="AV116" s="270"/>
      <c r="AW116" s="257">
        <f t="shared" si="16"/>
        <v>0</v>
      </c>
      <c r="AX116" s="270"/>
      <c r="AY116" s="257">
        <f t="shared" si="17"/>
        <v>0</v>
      </c>
      <c r="AZ116" s="268"/>
      <c r="BA116" s="257">
        <f t="shared" si="18"/>
        <v>0</v>
      </c>
      <c r="BB116" s="59"/>
      <c r="BC116" s="257">
        <f t="shared" si="19"/>
        <v>0</v>
      </c>
      <c r="BD116" s="59"/>
      <c r="BE116" s="257">
        <f t="shared" si="20"/>
        <v>0</v>
      </c>
      <c r="BF116" s="59"/>
      <c r="BG116" s="257">
        <f t="shared" si="21"/>
        <v>0</v>
      </c>
      <c r="BH116" s="59"/>
      <c r="BI116" s="257">
        <f t="shared" si="22"/>
        <v>0</v>
      </c>
      <c r="BJ116" s="59"/>
      <c r="BK116" s="257">
        <f t="shared" si="23"/>
        <v>0</v>
      </c>
    </row>
    <row r="117" spans="1:63" ht="15" hidden="1" customHeight="1">
      <c r="A117" s="250" t="s">
        <v>105</v>
      </c>
      <c r="C117" s="59"/>
      <c r="D117" s="473"/>
      <c r="E117" s="44"/>
      <c r="F117" s="443" t="s">
        <v>188</v>
      </c>
      <c r="G117" s="68"/>
      <c r="H117" s="73"/>
      <c r="I117" s="73"/>
      <c r="J117" s="105"/>
      <c r="K117" s="73"/>
      <c r="L117" s="73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173"/>
      <c r="AC117" s="173"/>
      <c r="AD117" s="173"/>
      <c r="AE117" s="176"/>
      <c r="AF117" s="176"/>
      <c r="AG117" s="176"/>
      <c r="AH117" s="176"/>
      <c r="AI117" s="176"/>
      <c r="AJ117" s="176"/>
      <c r="AK117" s="176"/>
      <c r="AL117" s="176"/>
      <c r="AM117" s="176"/>
      <c r="AN117" s="174"/>
      <c r="AO117" s="254">
        <f t="shared" si="12"/>
        <v>0</v>
      </c>
      <c r="AP117" s="255"/>
      <c r="AQ117" s="254">
        <f t="shared" si="13"/>
        <v>0</v>
      </c>
      <c r="AR117" s="255"/>
      <c r="AS117" s="254">
        <f t="shared" si="14"/>
        <v>0</v>
      </c>
      <c r="AT117" s="256"/>
      <c r="AU117" s="257">
        <f t="shared" si="15"/>
        <v>0</v>
      </c>
      <c r="AV117" s="270"/>
      <c r="AW117" s="257">
        <f t="shared" si="16"/>
        <v>0</v>
      </c>
      <c r="AX117" s="270"/>
      <c r="AY117" s="257">
        <f t="shared" si="17"/>
        <v>0</v>
      </c>
      <c r="AZ117" s="268"/>
      <c r="BA117" s="257">
        <f t="shared" si="18"/>
        <v>0</v>
      </c>
      <c r="BB117" s="59"/>
      <c r="BC117" s="257">
        <f t="shared" si="19"/>
        <v>0</v>
      </c>
      <c r="BD117" s="59"/>
      <c r="BE117" s="257">
        <f t="shared" si="20"/>
        <v>0</v>
      </c>
      <c r="BF117" s="59"/>
      <c r="BG117" s="257">
        <f t="shared" si="21"/>
        <v>0</v>
      </c>
      <c r="BH117" s="59"/>
      <c r="BI117" s="257">
        <f t="shared" si="22"/>
        <v>0</v>
      </c>
      <c r="BJ117" s="59"/>
      <c r="BK117" s="257">
        <f t="shared" si="23"/>
        <v>0</v>
      </c>
    </row>
    <row r="118" spans="1:63" ht="15" hidden="1" customHeight="1">
      <c r="A118" s="250" t="s">
        <v>105</v>
      </c>
      <c r="C118" s="59"/>
      <c r="D118" s="473"/>
      <c r="E118" s="44"/>
      <c r="F118" s="444"/>
      <c r="G118" s="67"/>
      <c r="H118" s="77"/>
      <c r="I118" s="77"/>
      <c r="J118" s="108"/>
      <c r="K118" s="77"/>
      <c r="L118" s="77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6"/>
      <c r="AC118" s="6"/>
      <c r="AD118" s="6"/>
      <c r="AN118" s="168"/>
      <c r="AO118" s="254">
        <f t="shared" si="12"/>
        <v>0</v>
      </c>
      <c r="AP118" s="255"/>
      <c r="AQ118" s="254">
        <f t="shared" si="13"/>
        <v>0</v>
      </c>
      <c r="AR118" s="255"/>
      <c r="AS118" s="254">
        <f t="shared" si="14"/>
        <v>0</v>
      </c>
      <c r="AT118" s="256"/>
      <c r="AU118" s="257">
        <f t="shared" si="15"/>
        <v>0</v>
      </c>
      <c r="AV118" s="270"/>
      <c r="AW118" s="257">
        <f t="shared" si="16"/>
        <v>0</v>
      </c>
      <c r="AX118" s="270"/>
      <c r="AY118" s="257">
        <f t="shared" si="17"/>
        <v>0</v>
      </c>
      <c r="AZ118" s="268"/>
      <c r="BA118" s="257">
        <f t="shared" si="18"/>
        <v>0</v>
      </c>
      <c r="BB118" s="59"/>
      <c r="BC118" s="257">
        <f t="shared" si="19"/>
        <v>0</v>
      </c>
      <c r="BD118" s="59"/>
      <c r="BE118" s="257">
        <f t="shared" si="20"/>
        <v>0</v>
      </c>
      <c r="BF118" s="59"/>
      <c r="BG118" s="257">
        <f t="shared" si="21"/>
        <v>0</v>
      </c>
      <c r="BH118" s="59"/>
      <c r="BI118" s="257">
        <f t="shared" si="22"/>
        <v>0</v>
      </c>
      <c r="BJ118" s="59"/>
      <c r="BK118" s="257">
        <f t="shared" si="23"/>
        <v>0</v>
      </c>
    </row>
    <row r="119" spans="1:63" ht="15" hidden="1" customHeight="1">
      <c r="A119" s="250" t="s">
        <v>105</v>
      </c>
      <c r="C119" s="59"/>
      <c r="D119" s="473"/>
      <c r="E119" s="44"/>
      <c r="F119" s="444"/>
      <c r="G119" s="67"/>
      <c r="H119" s="77"/>
      <c r="I119" s="77"/>
      <c r="J119" s="108"/>
      <c r="K119" s="77"/>
      <c r="L119" s="77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6"/>
      <c r="AC119" s="6"/>
      <c r="AD119" s="6"/>
      <c r="AN119" s="168"/>
      <c r="AO119" s="254">
        <f t="shared" si="12"/>
        <v>0</v>
      </c>
      <c r="AP119" s="255"/>
      <c r="AQ119" s="254">
        <f t="shared" si="13"/>
        <v>0</v>
      </c>
      <c r="AR119" s="255"/>
      <c r="AS119" s="254">
        <f t="shared" si="14"/>
        <v>0</v>
      </c>
      <c r="AT119" s="256"/>
      <c r="AU119" s="257">
        <f t="shared" si="15"/>
        <v>0</v>
      </c>
      <c r="AV119" s="270"/>
      <c r="AW119" s="257">
        <f t="shared" si="16"/>
        <v>0</v>
      </c>
      <c r="AX119" s="270"/>
      <c r="AY119" s="257">
        <f t="shared" si="17"/>
        <v>0</v>
      </c>
      <c r="AZ119" s="268"/>
      <c r="BA119" s="257">
        <f t="shared" si="18"/>
        <v>0</v>
      </c>
      <c r="BB119" s="59"/>
      <c r="BC119" s="257">
        <f t="shared" si="19"/>
        <v>0</v>
      </c>
      <c r="BD119" s="59"/>
      <c r="BE119" s="257">
        <f t="shared" si="20"/>
        <v>0</v>
      </c>
      <c r="BF119" s="59"/>
      <c r="BG119" s="257">
        <f t="shared" si="21"/>
        <v>0</v>
      </c>
      <c r="BH119" s="59"/>
      <c r="BI119" s="257">
        <f t="shared" si="22"/>
        <v>0</v>
      </c>
      <c r="BJ119" s="59"/>
      <c r="BK119" s="257">
        <f t="shared" si="23"/>
        <v>0</v>
      </c>
    </row>
    <row r="120" spans="1:63" ht="15" hidden="1" customHeight="1">
      <c r="A120" s="250" t="s">
        <v>105</v>
      </c>
      <c r="C120" s="59"/>
      <c r="D120" s="473"/>
      <c r="E120" s="44"/>
      <c r="F120" s="444"/>
      <c r="G120" s="67"/>
      <c r="H120" s="77"/>
      <c r="I120" s="77"/>
      <c r="J120" s="108"/>
      <c r="K120" s="77"/>
      <c r="L120" s="77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6"/>
      <c r="AC120" s="6"/>
      <c r="AD120" s="6"/>
      <c r="AN120" s="168"/>
      <c r="AO120" s="254">
        <f t="shared" si="12"/>
        <v>0</v>
      </c>
      <c r="AP120" s="255"/>
      <c r="AQ120" s="254">
        <f t="shared" si="13"/>
        <v>0</v>
      </c>
      <c r="AR120" s="255"/>
      <c r="AS120" s="254">
        <f t="shared" si="14"/>
        <v>0</v>
      </c>
      <c r="AT120" s="256"/>
      <c r="AU120" s="257">
        <f t="shared" si="15"/>
        <v>0</v>
      </c>
      <c r="AV120" s="270"/>
      <c r="AW120" s="257">
        <f t="shared" si="16"/>
        <v>0</v>
      </c>
      <c r="AX120" s="270"/>
      <c r="AY120" s="257">
        <f t="shared" si="17"/>
        <v>0</v>
      </c>
      <c r="AZ120" s="268"/>
      <c r="BA120" s="257">
        <f t="shared" si="18"/>
        <v>0</v>
      </c>
      <c r="BB120" s="59"/>
      <c r="BC120" s="257">
        <f t="shared" si="19"/>
        <v>0</v>
      </c>
      <c r="BD120" s="59"/>
      <c r="BE120" s="257">
        <f t="shared" si="20"/>
        <v>0</v>
      </c>
      <c r="BF120" s="59"/>
      <c r="BG120" s="257">
        <f t="shared" si="21"/>
        <v>0</v>
      </c>
      <c r="BH120" s="59"/>
      <c r="BI120" s="257">
        <f t="shared" si="22"/>
        <v>0</v>
      </c>
      <c r="BJ120" s="59"/>
      <c r="BK120" s="257">
        <f t="shared" si="23"/>
        <v>0</v>
      </c>
    </row>
    <row r="121" spans="1:63" ht="15" hidden="1" customHeight="1">
      <c r="A121" s="250" t="s">
        <v>105</v>
      </c>
      <c r="C121" s="59"/>
      <c r="D121" s="473"/>
      <c r="E121" s="44"/>
      <c r="F121" s="444"/>
      <c r="G121" s="67"/>
      <c r="H121" s="77"/>
      <c r="I121" s="77"/>
      <c r="J121" s="108"/>
      <c r="K121" s="77"/>
      <c r="L121" s="77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6"/>
      <c r="AC121" s="6"/>
      <c r="AD121" s="6"/>
      <c r="AN121" s="168"/>
      <c r="AO121" s="254">
        <f t="shared" si="12"/>
        <v>0</v>
      </c>
      <c r="AP121" s="255"/>
      <c r="AQ121" s="254">
        <f t="shared" si="13"/>
        <v>0</v>
      </c>
      <c r="AR121" s="255"/>
      <c r="AS121" s="254">
        <f t="shared" si="14"/>
        <v>0</v>
      </c>
      <c r="AT121" s="256"/>
      <c r="AU121" s="257">
        <f t="shared" si="15"/>
        <v>0</v>
      </c>
      <c r="AV121" s="270"/>
      <c r="AW121" s="257">
        <f t="shared" si="16"/>
        <v>0</v>
      </c>
      <c r="AX121" s="270"/>
      <c r="AY121" s="257">
        <f t="shared" si="17"/>
        <v>0</v>
      </c>
      <c r="AZ121" s="268"/>
      <c r="BA121" s="257">
        <f t="shared" si="18"/>
        <v>0</v>
      </c>
      <c r="BB121" s="59"/>
      <c r="BC121" s="257">
        <f t="shared" si="19"/>
        <v>0</v>
      </c>
      <c r="BD121" s="59"/>
      <c r="BE121" s="257">
        <f t="shared" si="20"/>
        <v>0</v>
      </c>
      <c r="BF121" s="59"/>
      <c r="BG121" s="257">
        <f t="shared" si="21"/>
        <v>0</v>
      </c>
      <c r="BH121" s="59"/>
      <c r="BI121" s="257">
        <f t="shared" si="22"/>
        <v>0</v>
      </c>
      <c r="BJ121" s="59"/>
      <c r="BK121" s="257">
        <f t="shared" si="23"/>
        <v>0</v>
      </c>
    </row>
    <row r="122" spans="1:63" ht="15" hidden="1" customHeight="1">
      <c r="A122" s="250" t="s">
        <v>105</v>
      </c>
      <c r="C122" s="59"/>
      <c r="D122" s="473"/>
      <c r="E122" s="44"/>
      <c r="F122" s="444"/>
      <c r="G122" s="67"/>
      <c r="H122" s="77"/>
      <c r="I122" s="77"/>
      <c r="J122" s="108"/>
      <c r="K122" s="77"/>
      <c r="L122" s="77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6"/>
      <c r="AC122" s="6"/>
      <c r="AD122" s="6"/>
      <c r="AN122" s="168"/>
      <c r="AO122" s="254">
        <f t="shared" si="12"/>
        <v>0</v>
      </c>
      <c r="AP122" s="255"/>
      <c r="AQ122" s="254">
        <f t="shared" si="13"/>
        <v>0</v>
      </c>
      <c r="AR122" s="255"/>
      <c r="AS122" s="254">
        <f t="shared" si="14"/>
        <v>0</v>
      </c>
      <c r="AT122" s="256"/>
      <c r="AU122" s="257">
        <f t="shared" si="15"/>
        <v>0</v>
      </c>
      <c r="AV122" s="270"/>
      <c r="AW122" s="257">
        <f t="shared" si="16"/>
        <v>0</v>
      </c>
      <c r="AX122" s="270"/>
      <c r="AY122" s="257">
        <f t="shared" si="17"/>
        <v>0</v>
      </c>
      <c r="AZ122" s="268"/>
      <c r="BA122" s="257">
        <f t="shared" si="18"/>
        <v>0</v>
      </c>
      <c r="BB122" s="59"/>
      <c r="BC122" s="257">
        <f t="shared" si="19"/>
        <v>0</v>
      </c>
      <c r="BD122" s="59"/>
      <c r="BE122" s="257">
        <f t="shared" si="20"/>
        <v>0</v>
      </c>
      <c r="BF122" s="59"/>
      <c r="BG122" s="257">
        <f t="shared" si="21"/>
        <v>0</v>
      </c>
      <c r="BH122" s="59"/>
      <c r="BI122" s="257">
        <f t="shared" si="22"/>
        <v>0</v>
      </c>
      <c r="BJ122" s="59"/>
      <c r="BK122" s="257">
        <f t="shared" si="23"/>
        <v>0</v>
      </c>
    </row>
    <row r="123" spans="1:63" ht="15" hidden="1" customHeight="1">
      <c r="A123" s="250" t="s">
        <v>105</v>
      </c>
      <c r="C123" s="59"/>
      <c r="D123" s="473"/>
      <c r="E123" s="44"/>
      <c r="F123" s="444"/>
      <c r="G123" s="67"/>
      <c r="H123" s="77"/>
      <c r="I123" s="77"/>
      <c r="J123" s="108"/>
      <c r="K123" s="77"/>
      <c r="L123" s="77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6"/>
      <c r="AC123" s="6"/>
      <c r="AD123" s="6"/>
      <c r="AN123" s="168"/>
      <c r="AO123" s="254">
        <f t="shared" si="12"/>
        <v>0</v>
      </c>
      <c r="AP123" s="255"/>
      <c r="AQ123" s="254">
        <f t="shared" si="13"/>
        <v>0</v>
      </c>
      <c r="AR123" s="255"/>
      <c r="AS123" s="254">
        <f t="shared" si="14"/>
        <v>0</v>
      </c>
      <c r="AT123" s="256"/>
      <c r="AU123" s="257">
        <f t="shared" si="15"/>
        <v>0</v>
      </c>
      <c r="AV123" s="270"/>
      <c r="AW123" s="257">
        <f t="shared" si="16"/>
        <v>0</v>
      </c>
      <c r="AX123" s="270"/>
      <c r="AY123" s="257">
        <f t="shared" si="17"/>
        <v>0</v>
      </c>
      <c r="AZ123" s="268"/>
      <c r="BA123" s="257">
        <f t="shared" si="18"/>
        <v>0</v>
      </c>
      <c r="BB123" s="59"/>
      <c r="BC123" s="257">
        <f t="shared" si="19"/>
        <v>0</v>
      </c>
      <c r="BD123" s="59"/>
      <c r="BE123" s="257">
        <f t="shared" si="20"/>
        <v>0</v>
      </c>
      <c r="BF123" s="59"/>
      <c r="BG123" s="257">
        <f t="shared" si="21"/>
        <v>0</v>
      </c>
      <c r="BH123" s="59"/>
      <c r="BI123" s="257">
        <f t="shared" si="22"/>
        <v>0</v>
      </c>
      <c r="BJ123" s="59"/>
      <c r="BK123" s="257">
        <f t="shared" si="23"/>
        <v>0</v>
      </c>
    </row>
    <row r="124" spans="1:63" ht="15" hidden="1" customHeight="1">
      <c r="A124" s="250" t="s">
        <v>105</v>
      </c>
      <c r="C124" s="59"/>
      <c r="D124" s="473"/>
      <c r="E124" s="44"/>
      <c r="F124" s="444"/>
      <c r="G124" s="67"/>
      <c r="H124" s="77"/>
      <c r="I124" s="77"/>
      <c r="J124" s="108"/>
      <c r="K124" s="77"/>
      <c r="L124" s="77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6"/>
      <c r="AC124" s="6"/>
      <c r="AD124" s="6"/>
      <c r="AN124" s="168"/>
      <c r="AO124" s="254">
        <f t="shared" si="12"/>
        <v>0</v>
      </c>
      <c r="AP124" s="255"/>
      <c r="AQ124" s="254">
        <f t="shared" si="13"/>
        <v>0</v>
      </c>
      <c r="AR124" s="255"/>
      <c r="AS124" s="254">
        <f t="shared" si="14"/>
        <v>0</v>
      </c>
      <c r="AT124" s="256"/>
      <c r="AU124" s="257">
        <f t="shared" si="15"/>
        <v>0</v>
      </c>
      <c r="AV124" s="270"/>
      <c r="AW124" s="257">
        <f t="shared" si="16"/>
        <v>0</v>
      </c>
      <c r="AX124" s="270"/>
      <c r="AY124" s="257">
        <f t="shared" si="17"/>
        <v>0</v>
      </c>
      <c r="AZ124" s="268"/>
      <c r="BA124" s="257">
        <f t="shared" si="18"/>
        <v>0</v>
      </c>
      <c r="BB124" s="59"/>
      <c r="BC124" s="257">
        <f t="shared" si="19"/>
        <v>0</v>
      </c>
      <c r="BD124" s="59"/>
      <c r="BE124" s="257">
        <f t="shared" si="20"/>
        <v>0</v>
      </c>
      <c r="BF124" s="59"/>
      <c r="BG124" s="257">
        <f t="shared" si="21"/>
        <v>0</v>
      </c>
      <c r="BH124" s="59"/>
      <c r="BI124" s="257">
        <f t="shared" si="22"/>
        <v>0</v>
      </c>
      <c r="BJ124" s="59"/>
      <c r="BK124" s="257">
        <f t="shared" si="23"/>
        <v>0</v>
      </c>
    </row>
    <row r="125" spans="1:63" ht="15" hidden="1" customHeight="1" thickBot="1">
      <c r="A125" s="250" t="s">
        <v>105</v>
      </c>
      <c r="C125" s="59"/>
      <c r="D125" s="473"/>
      <c r="E125" s="44"/>
      <c r="F125" s="445"/>
      <c r="G125" s="75"/>
      <c r="H125" s="76"/>
      <c r="I125" s="76"/>
      <c r="J125" s="107"/>
      <c r="K125" s="76"/>
      <c r="L125" s="76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165"/>
      <c r="AC125" s="165"/>
      <c r="AD125" s="165"/>
      <c r="AH125" s="78"/>
      <c r="AI125" s="78"/>
      <c r="AJ125" s="78"/>
      <c r="AK125" s="78"/>
      <c r="AL125" s="78"/>
      <c r="AM125" s="78"/>
      <c r="AN125" s="166"/>
      <c r="AO125" s="254">
        <f t="shared" si="12"/>
        <v>0</v>
      </c>
      <c r="AP125" s="255"/>
      <c r="AQ125" s="254">
        <f t="shared" si="13"/>
        <v>0</v>
      </c>
      <c r="AR125" s="255"/>
      <c r="AS125" s="254">
        <f t="shared" si="14"/>
        <v>0</v>
      </c>
      <c r="AT125" s="256"/>
      <c r="AU125" s="257">
        <f t="shared" si="15"/>
        <v>0</v>
      </c>
      <c r="AV125" s="270"/>
      <c r="AW125" s="257">
        <f t="shared" si="16"/>
        <v>0</v>
      </c>
      <c r="AX125" s="270"/>
      <c r="AY125" s="257">
        <f t="shared" si="17"/>
        <v>0</v>
      </c>
      <c r="AZ125" s="268"/>
      <c r="BA125" s="257">
        <f t="shared" si="18"/>
        <v>0</v>
      </c>
      <c r="BB125" s="59"/>
      <c r="BC125" s="257">
        <f t="shared" si="19"/>
        <v>0</v>
      </c>
      <c r="BD125" s="59"/>
      <c r="BE125" s="257">
        <f t="shared" si="20"/>
        <v>0</v>
      </c>
      <c r="BF125" s="59"/>
      <c r="BG125" s="257">
        <f t="shared" si="21"/>
        <v>0</v>
      </c>
      <c r="BH125" s="59"/>
      <c r="BI125" s="257">
        <f t="shared" si="22"/>
        <v>0</v>
      </c>
      <c r="BJ125" s="59"/>
      <c r="BK125" s="257">
        <f t="shared" si="23"/>
        <v>0</v>
      </c>
    </row>
    <row r="126" spans="1:63" ht="15" customHeight="1">
      <c r="A126" s="250" t="s">
        <v>105</v>
      </c>
      <c r="B126" s="59" t="s">
        <v>221</v>
      </c>
      <c r="C126" s="59" t="s">
        <v>172</v>
      </c>
      <c r="D126" s="473"/>
      <c r="E126" s="44" t="s">
        <v>173</v>
      </c>
      <c r="F126" s="443" t="s">
        <v>252</v>
      </c>
      <c r="G126" s="202">
        <v>2018</v>
      </c>
      <c r="H126" s="203" t="s">
        <v>253</v>
      </c>
      <c r="I126" s="188" t="s">
        <v>183</v>
      </c>
      <c r="J126" s="206">
        <v>15</v>
      </c>
      <c r="K126" s="203" t="s">
        <v>254</v>
      </c>
      <c r="L126" s="77" t="s">
        <v>185</v>
      </c>
      <c r="M126" s="21" t="s">
        <v>186</v>
      </c>
      <c r="N126" s="21">
        <v>16</v>
      </c>
      <c r="O126" s="21">
        <v>16</v>
      </c>
      <c r="P126" s="21">
        <v>16</v>
      </c>
      <c r="Q126" s="21">
        <v>16</v>
      </c>
      <c r="R126" s="21">
        <v>16</v>
      </c>
      <c r="S126" s="21">
        <v>16</v>
      </c>
      <c r="T126" s="21">
        <v>16</v>
      </c>
      <c r="U126" s="21">
        <v>16</v>
      </c>
      <c r="V126" s="21">
        <v>16</v>
      </c>
      <c r="W126" s="21">
        <v>16</v>
      </c>
      <c r="X126" s="21">
        <v>16</v>
      </c>
      <c r="Y126" s="21">
        <v>16</v>
      </c>
      <c r="Z126" s="21">
        <v>16</v>
      </c>
      <c r="AA126" s="21">
        <v>4.46</v>
      </c>
      <c r="AB126" s="6">
        <v>4.46</v>
      </c>
      <c r="AC126" s="6">
        <v>4.46</v>
      </c>
      <c r="AD126" s="6">
        <v>4.46</v>
      </c>
      <c r="AE126" s="173">
        <v>4.46</v>
      </c>
      <c r="AF126" s="173">
        <v>4.46</v>
      </c>
      <c r="AG126" s="173">
        <v>4.46</v>
      </c>
      <c r="AH126" s="173">
        <v>4.46</v>
      </c>
      <c r="AI126" s="173">
        <v>4.46</v>
      </c>
      <c r="AJ126" s="173">
        <v>4.46</v>
      </c>
      <c r="AK126" s="173">
        <v>4.46</v>
      </c>
      <c r="AL126" s="173">
        <v>4.46</v>
      </c>
      <c r="AM126" s="173">
        <v>4.46</v>
      </c>
      <c r="AN126" s="168">
        <v>533</v>
      </c>
      <c r="AO126" s="254">
        <f t="shared" si="12"/>
        <v>2377.1799999999998</v>
      </c>
      <c r="AP126" s="255">
        <v>2740</v>
      </c>
      <c r="AQ126" s="254">
        <f t="shared" si="13"/>
        <v>12220.4</v>
      </c>
      <c r="AR126" s="255">
        <v>3755</v>
      </c>
      <c r="AS126" s="254">
        <f t="shared" si="14"/>
        <v>16747.3</v>
      </c>
      <c r="AT126" s="256">
        <v>1040</v>
      </c>
      <c r="AU126" s="257">
        <f t="shared" si="15"/>
        <v>4638.3999999999996</v>
      </c>
      <c r="AV126" s="255">
        <v>400</v>
      </c>
      <c r="AW126" s="257">
        <f t="shared" si="16"/>
        <v>1784</v>
      </c>
      <c r="AX126" s="255"/>
      <c r="AY126" s="257">
        <f t="shared" si="17"/>
        <v>0</v>
      </c>
      <c r="AZ126" s="255">
        <v>40</v>
      </c>
      <c r="BA126" s="257">
        <f t="shared" si="18"/>
        <v>178.4</v>
      </c>
      <c r="BB126" s="255">
        <v>40</v>
      </c>
      <c r="BC126" s="257">
        <f t="shared" si="19"/>
        <v>178.4</v>
      </c>
      <c r="BD126" s="255"/>
      <c r="BE126" s="257">
        <f t="shared" si="20"/>
        <v>0</v>
      </c>
      <c r="BF126" s="255">
        <v>40</v>
      </c>
      <c r="BG126" s="257">
        <f t="shared" si="21"/>
        <v>178.4</v>
      </c>
      <c r="BH126" s="255"/>
      <c r="BI126" s="257">
        <f t="shared" si="22"/>
        <v>0</v>
      </c>
      <c r="BJ126" s="255"/>
      <c r="BK126" s="257">
        <f t="shared" si="23"/>
        <v>0</v>
      </c>
    </row>
    <row r="127" spans="1:63" ht="15" customHeight="1">
      <c r="A127" s="250" t="s">
        <v>105</v>
      </c>
      <c r="B127" s="59" t="s">
        <v>221</v>
      </c>
      <c r="C127" s="59" t="s">
        <v>172</v>
      </c>
      <c r="D127" s="473"/>
      <c r="E127" s="44" t="s">
        <v>173</v>
      </c>
      <c r="F127" s="444"/>
      <c r="G127" s="202">
        <v>2019</v>
      </c>
      <c r="H127" s="203" t="s">
        <v>255</v>
      </c>
      <c r="I127" s="188" t="s">
        <v>183</v>
      </c>
      <c r="J127" s="206">
        <v>15</v>
      </c>
      <c r="K127" s="203" t="s">
        <v>254</v>
      </c>
      <c r="L127" s="201" t="s">
        <v>177</v>
      </c>
      <c r="M127" s="21" t="s">
        <v>192</v>
      </c>
      <c r="N127" s="21">
        <v>16</v>
      </c>
      <c r="O127" s="21">
        <v>16</v>
      </c>
      <c r="P127" s="21">
        <v>16</v>
      </c>
      <c r="Q127" s="21">
        <v>16</v>
      </c>
      <c r="R127" s="21">
        <v>16</v>
      </c>
      <c r="S127" s="21">
        <v>16</v>
      </c>
      <c r="T127" s="21">
        <v>16</v>
      </c>
      <c r="U127" s="21">
        <v>16</v>
      </c>
      <c r="V127" s="21">
        <v>16</v>
      </c>
      <c r="W127" s="21">
        <v>16</v>
      </c>
      <c r="X127" s="21">
        <v>16</v>
      </c>
      <c r="Y127" s="21">
        <v>16</v>
      </c>
      <c r="Z127" s="21">
        <v>16</v>
      </c>
      <c r="AA127" s="21">
        <v>4.46</v>
      </c>
      <c r="AB127" s="6">
        <v>4.46</v>
      </c>
      <c r="AC127" s="6">
        <v>4.46</v>
      </c>
      <c r="AD127" s="6">
        <v>4.46</v>
      </c>
      <c r="AE127" s="6">
        <v>4.46</v>
      </c>
      <c r="AF127" s="6">
        <v>4.46</v>
      </c>
      <c r="AG127" s="6">
        <v>4.46</v>
      </c>
      <c r="AH127" s="6">
        <v>4.46</v>
      </c>
      <c r="AI127" s="6">
        <v>4.46</v>
      </c>
      <c r="AJ127" s="6">
        <v>4.46</v>
      </c>
      <c r="AK127" s="6">
        <v>4.46</v>
      </c>
      <c r="AL127" s="6">
        <v>4.46</v>
      </c>
      <c r="AM127" s="6">
        <v>4.46</v>
      </c>
      <c r="AN127" s="200">
        <v>480</v>
      </c>
      <c r="AO127" s="254">
        <f t="shared" si="12"/>
        <v>2140.8000000000002</v>
      </c>
      <c r="AP127" s="263">
        <v>240</v>
      </c>
      <c r="AQ127" s="254">
        <f t="shared" si="13"/>
        <v>1070.4000000000001</v>
      </c>
      <c r="AR127" s="261"/>
      <c r="AS127" s="254">
        <f t="shared" si="14"/>
        <v>0</v>
      </c>
      <c r="AT127" s="256"/>
      <c r="AU127" s="257">
        <f t="shared" si="15"/>
        <v>0</v>
      </c>
      <c r="AV127" s="263"/>
      <c r="AW127" s="257">
        <f t="shared" si="16"/>
        <v>0</v>
      </c>
      <c r="AX127" s="271"/>
      <c r="AY127" s="257">
        <f t="shared" si="17"/>
        <v>0</v>
      </c>
      <c r="AZ127" s="263"/>
      <c r="BA127" s="257">
        <f t="shared" si="18"/>
        <v>0</v>
      </c>
      <c r="BB127" s="263"/>
      <c r="BC127" s="257">
        <f t="shared" si="19"/>
        <v>0</v>
      </c>
      <c r="BD127" s="261">
        <v>40</v>
      </c>
      <c r="BE127" s="257">
        <f t="shared" si="20"/>
        <v>178.4</v>
      </c>
      <c r="BF127" s="263"/>
      <c r="BG127" s="257">
        <f t="shared" si="21"/>
        <v>0</v>
      </c>
      <c r="BH127" s="263"/>
      <c r="BI127" s="257">
        <f t="shared" si="22"/>
        <v>0</v>
      </c>
      <c r="BJ127" s="261"/>
      <c r="BK127" s="257">
        <f t="shared" si="23"/>
        <v>0</v>
      </c>
    </row>
    <row r="128" spans="1:63" ht="15" customHeight="1">
      <c r="A128" s="250" t="s">
        <v>105</v>
      </c>
      <c r="B128" s="59" t="s">
        <v>221</v>
      </c>
      <c r="C128" s="59" t="s">
        <v>172</v>
      </c>
      <c r="D128" s="473"/>
      <c r="E128" s="44" t="s">
        <v>173</v>
      </c>
      <c r="F128" s="444"/>
      <c r="G128" s="202">
        <v>2020</v>
      </c>
      <c r="H128" s="213" t="s">
        <v>256</v>
      </c>
      <c r="I128" s="188" t="s">
        <v>183</v>
      </c>
      <c r="J128" s="206">
        <v>15</v>
      </c>
      <c r="K128" s="186" t="s">
        <v>208</v>
      </c>
      <c r="L128" s="201" t="s">
        <v>177</v>
      </c>
      <c r="M128" s="21" t="s">
        <v>192</v>
      </c>
      <c r="N128" s="21">
        <v>13.6</v>
      </c>
      <c r="O128" s="21">
        <v>13.6</v>
      </c>
      <c r="P128" s="21">
        <v>13.6</v>
      </c>
      <c r="Q128" s="21">
        <v>13.6</v>
      </c>
      <c r="R128" s="21">
        <v>13.6</v>
      </c>
      <c r="S128" s="21">
        <v>13.6</v>
      </c>
      <c r="T128" s="21">
        <v>13.6</v>
      </c>
      <c r="U128" s="21">
        <v>13.6</v>
      </c>
      <c r="V128" s="21">
        <v>13.6</v>
      </c>
      <c r="W128" s="21">
        <v>13.6</v>
      </c>
      <c r="X128" s="21">
        <v>13.6</v>
      </c>
      <c r="Y128" s="21">
        <v>13.6</v>
      </c>
      <c r="Z128" s="21">
        <v>13.6</v>
      </c>
      <c r="AA128" s="21">
        <v>5</v>
      </c>
      <c r="AB128" s="6">
        <v>5</v>
      </c>
      <c r="AC128" s="6">
        <v>5</v>
      </c>
      <c r="AD128" s="6">
        <v>5</v>
      </c>
      <c r="AE128" s="1">
        <v>5</v>
      </c>
      <c r="AF128" s="6">
        <v>5</v>
      </c>
      <c r="AG128" s="6">
        <v>5</v>
      </c>
      <c r="AH128" s="6">
        <v>5</v>
      </c>
      <c r="AI128" s="6">
        <v>5</v>
      </c>
      <c r="AJ128" s="6">
        <v>5</v>
      </c>
      <c r="AK128" s="6">
        <v>5</v>
      </c>
      <c r="AL128" s="6">
        <v>5</v>
      </c>
      <c r="AM128" s="6">
        <v>5</v>
      </c>
      <c r="AN128" s="200">
        <v>7394</v>
      </c>
      <c r="AO128" s="254">
        <f t="shared" si="12"/>
        <v>36970</v>
      </c>
      <c r="AP128" s="263">
        <v>7480</v>
      </c>
      <c r="AQ128" s="254">
        <f t="shared" si="13"/>
        <v>37400</v>
      </c>
      <c r="AR128" s="261">
        <v>5120</v>
      </c>
      <c r="AS128" s="254">
        <f t="shared" si="14"/>
        <v>25600</v>
      </c>
      <c r="AT128" s="256">
        <v>7080</v>
      </c>
      <c r="AU128" s="257">
        <f t="shared" si="15"/>
        <v>35400</v>
      </c>
      <c r="AV128" s="263">
        <v>1400</v>
      </c>
      <c r="AW128" s="257">
        <f t="shared" si="16"/>
        <v>7000</v>
      </c>
      <c r="AX128" s="271">
        <v>10320</v>
      </c>
      <c r="AY128" s="257">
        <f t="shared" si="17"/>
        <v>51600</v>
      </c>
      <c r="AZ128" s="263">
        <v>12200</v>
      </c>
      <c r="BA128" s="257">
        <f t="shared" si="18"/>
        <v>61000</v>
      </c>
      <c r="BB128" s="263">
        <v>8280</v>
      </c>
      <c r="BC128" s="257">
        <f t="shared" si="19"/>
        <v>41400</v>
      </c>
      <c r="BD128" s="261">
        <v>13440</v>
      </c>
      <c r="BE128" s="257">
        <f t="shared" si="20"/>
        <v>67200</v>
      </c>
      <c r="BF128" s="263">
        <v>10360</v>
      </c>
      <c r="BG128" s="257">
        <f t="shared" si="21"/>
        <v>51800</v>
      </c>
      <c r="BH128" s="263">
        <v>9000</v>
      </c>
      <c r="BI128" s="257">
        <f t="shared" si="22"/>
        <v>45000</v>
      </c>
      <c r="BJ128" s="261">
        <v>5240</v>
      </c>
      <c r="BK128" s="257">
        <f t="shared" si="23"/>
        <v>26200</v>
      </c>
    </row>
    <row r="129" spans="1:63" ht="16.5" customHeight="1">
      <c r="A129" s="250" t="s">
        <v>105</v>
      </c>
      <c r="B129" s="59" t="s">
        <v>221</v>
      </c>
      <c r="C129" s="59" t="s">
        <v>172</v>
      </c>
      <c r="D129" s="473"/>
      <c r="E129" s="44" t="s">
        <v>173</v>
      </c>
      <c r="F129" s="444"/>
      <c r="G129" s="202">
        <v>2020</v>
      </c>
      <c r="H129" s="213" t="s">
        <v>256</v>
      </c>
      <c r="I129" s="207" t="s">
        <v>190</v>
      </c>
      <c r="J129" s="206">
        <v>15</v>
      </c>
      <c r="K129" s="186" t="s">
        <v>208</v>
      </c>
      <c r="L129" s="201" t="s">
        <v>177</v>
      </c>
      <c r="M129" s="21" t="s">
        <v>192</v>
      </c>
      <c r="N129" s="21">
        <v>6.4</v>
      </c>
      <c r="O129" s="21">
        <v>6.4</v>
      </c>
      <c r="P129" s="21">
        <v>6.4</v>
      </c>
      <c r="Q129" s="21">
        <v>6.4</v>
      </c>
      <c r="R129" s="21">
        <v>6.4</v>
      </c>
      <c r="S129" s="21">
        <v>6.4</v>
      </c>
      <c r="T129" s="21">
        <v>6.4</v>
      </c>
      <c r="U129" s="21">
        <v>6.4</v>
      </c>
      <c r="V129" s="21">
        <v>6.4</v>
      </c>
      <c r="W129" s="21">
        <v>6.4</v>
      </c>
      <c r="X129" s="21">
        <v>6.4</v>
      </c>
      <c r="Y129" s="21">
        <v>6.4</v>
      </c>
      <c r="Z129" s="21">
        <v>6.4</v>
      </c>
      <c r="AA129" s="21">
        <v>1.5</v>
      </c>
      <c r="AB129" s="6">
        <v>1.5</v>
      </c>
      <c r="AC129" s="6">
        <v>1.5</v>
      </c>
      <c r="AD129" s="6">
        <v>1.5</v>
      </c>
      <c r="AE129" s="1">
        <v>1.5</v>
      </c>
      <c r="AF129" s="6">
        <v>1.5</v>
      </c>
      <c r="AG129" s="6">
        <v>1.5</v>
      </c>
      <c r="AH129" s="6">
        <v>1.5</v>
      </c>
      <c r="AI129" s="6">
        <v>1.5</v>
      </c>
      <c r="AJ129" s="6">
        <v>1.5</v>
      </c>
      <c r="AK129" s="6">
        <v>1.5</v>
      </c>
      <c r="AL129" s="6">
        <v>1.5</v>
      </c>
      <c r="AM129" s="6">
        <v>1.5</v>
      </c>
      <c r="AN129" s="168">
        <v>1520</v>
      </c>
      <c r="AO129" s="254">
        <f t="shared" si="12"/>
        <v>2280</v>
      </c>
      <c r="AP129" s="255"/>
      <c r="AQ129" s="254">
        <f t="shared" si="13"/>
        <v>0</v>
      </c>
      <c r="AR129" s="255"/>
      <c r="AS129" s="254">
        <f t="shared" si="14"/>
        <v>0</v>
      </c>
      <c r="AT129" s="256"/>
      <c r="AU129" s="257">
        <f t="shared" si="15"/>
        <v>0</v>
      </c>
      <c r="AV129" s="255"/>
      <c r="AW129" s="257">
        <f t="shared" si="16"/>
        <v>0</v>
      </c>
      <c r="AX129" s="255"/>
      <c r="AY129" s="257">
        <f t="shared" si="17"/>
        <v>0</v>
      </c>
      <c r="AZ129" s="255"/>
      <c r="BA129" s="257">
        <f t="shared" si="18"/>
        <v>0</v>
      </c>
      <c r="BB129" s="255"/>
      <c r="BC129" s="257">
        <f t="shared" si="19"/>
        <v>0</v>
      </c>
      <c r="BD129" s="255"/>
      <c r="BE129" s="257">
        <f t="shared" si="20"/>
        <v>0</v>
      </c>
      <c r="BF129" s="255"/>
      <c r="BG129" s="257">
        <f t="shared" si="21"/>
        <v>0</v>
      </c>
      <c r="BH129" s="255"/>
      <c r="BI129" s="257">
        <f t="shared" si="22"/>
        <v>0</v>
      </c>
      <c r="BJ129" s="255"/>
      <c r="BK129" s="257">
        <f t="shared" si="23"/>
        <v>0</v>
      </c>
    </row>
    <row r="130" spans="1:63" ht="16.5" customHeight="1">
      <c r="A130" s="250" t="s">
        <v>105</v>
      </c>
      <c r="B130" s="59" t="s">
        <v>221</v>
      </c>
      <c r="C130" s="59" t="s">
        <v>172</v>
      </c>
      <c r="D130" s="473"/>
      <c r="E130" s="44" t="s">
        <v>173</v>
      </c>
      <c r="F130" s="444"/>
      <c r="G130" s="202">
        <v>2020</v>
      </c>
      <c r="H130" s="213" t="s">
        <v>256</v>
      </c>
      <c r="I130" s="188" t="s">
        <v>183</v>
      </c>
      <c r="J130" s="206">
        <v>15</v>
      </c>
      <c r="K130" s="203" t="s">
        <v>257</v>
      </c>
      <c r="L130" s="201" t="s">
        <v>177</v>
      </c>
      <c r="M130" s="21" t="s">
        <v>192</v>
      </c>
      <c r="N130" s="21">
        <v>14.3</v>
      </c>
      <c r="O130" s="21">
        <v>14.3</v>
      </c>
      <c r="P130" s="21">
        <v>14.3</v>
      </c>
      <c r="Q130" s="21">
        <v>14.3</v>
      </c>
      <c r="R130" s="21">
        <v>14.3</v>
      </c>
      <c r="S130" s="21">
        <v>14.3</v>
      </c>
      <c r="T130" s="21">
        <v>14.3</v>
      </c>
      <c r="U130" s="21">
        <v>14.3</v>
      </c>
      <c r="V130" s="21">
        <v>14.3</v>
      </c>
      <c r="W130" s="21">
        <v>14.3</v>
      </c>
      <c r="X130" s="21">
        <v>14.3</v>
      </c>
      <c r="Y130" s="21">
        <v>14.3</v>
      </c>
      <c r="Z130" s="21">
        <v>14.3</v>
      </c>
      <c r="AA130" s="21">
        <v>5.5</v>
      </c>
      <c r="AB130" s="6">
        <v>5.5</v>
      </c>
      <c r="AC130" s="6">
        <v>5.5</v>
      </c>
      <c r="AD130" s="6">
        <v>5.5</v>
      </c>
      <c r="AE130" s="1">
        <v>5.5</v>
      </c>
      <c r="AF130" s="6">
        <v>5.5</v>
      </c>
      <c r="AG130" s="6">
        <v>5.5</v>
      </c>
      <c r="AH130" s="6">
        <v>5.5</v>
      </c>
      <c r="AI130" s="6">
        <v>5.5</v>
      </c>
      <c r="AJ130" s="6">
        <v>5.5</v>
      </c>
      <c r="AK130" s="6">
        <v>5.5</v>
      </c>
      <c r="AL130" s="6">
        <v>5.5</v>
      </c>
      <c r="AM130" s="6">
        <v>5.5</v>
      </c>
      <c r="AN130" s="168">
        <v>138</v>
      </c>
      <c r="AO130" s="254">
        <f t="shared" si="12"/>
        <v>759</v>
      </c>
      <c r="AP130" s="255">
        <v>880</v>
      </c>
      <c r="AQ130" s="254">
        <f t="shared" si="13"/>
        <v>4840</v>
      </c>
      <c r="AR130" s="255"/>
      <c r="AS130" s="254">
        <f t="shared" si="14"/>
        <v>0</v>
      </c>
      <c r="AT130" s="256">
        <v>240</v>
      </c>
      <c r="AU130" s="257">
        <f t="shared" si="15"/>
        <v>1320</v>
      </c>
      <c r="AV130" s="255"/>
      <c r="AW130" s="257">
        <f t="shared" si="16"/>
        <v>0</v>
      </c>
      <c r="AX130" s="255"/>
      <c r="AY130" s="257">
        <f t="shared" si="17"/>
        <v>0</v>
      </c>
      <c r="AZ130" s="255">
        <v>400</v>
      </c>
      <c r="BA130" s="257">
        <f t="shared" si="18"/>
        <v>2200</v>
      </c>
      <c r="BB130" s="255"/>
      <c r="BC130" s="257">
        <f t="shared" si="19"/>
        <v>0</v>
      </c>
      <c r="BD130" s="255">
        <v>120</v>
      </c>
      <c r="BE130" s="257">
        <f t="shared" si="20"/>
        <v>660</v>
      </c>
      <c r="BF130" s="255">
        <v>30</v>
      </c>
      <c r="BG130" s="257">
        <f t="shared" si="21"/>
        <v>165</v>
      </c>
      <c r="BH130" s="255"/>
      <c r="BI130" s="257">
        <f t="shared" si="22"/>
        <v>0</v>
      </c>
      <c r="BJ130" s="255"/>
      <c r="BK130" s="257">
        <f t="shared" si="23"/>
        <v>0</v>
      </c>
    </row>
    <row r="131" spans="1:63" ht="16.5" customHeight="1">
      <c r="A131" s="250" t="s">
        <v>105</v>
      </c>
      <c r="B131" s="59" t="s">
        <v>221</v>
      </c>
      <c r="C131" s="59" t="s">
        <v>172</v>
      </c>
      <c r="D131" s="473"/>
      <c r="E131" s="44" t="s">
        <v>173</v>
      </c>
      <c r="F131" s="444"/>
      <c r="G131" s="202">
        <v>2020</v>
      </c>
      <c r="H131" s="213" t="s">
        <v>256</v>
      </c>
      <c r="I131" s="207" t="s">
        <v>190</v>
      </c>
      <c r="J131" s="206">
        <v>15</v>
      </c>
      <c r="K131" s="203" t="s">
        <v>257</v>
      </c>
      <c r="L131" s="201" t="s">
        <v>177</v>
      </c>
      <c r="M131" s="21" t="s">
        <v>192</v>
      </c>
      <c r="N131" s="21">
        <v>6.4</v>
      </c>
      <c r="O131" s="21">
        <v>6.4</v>
      </c>
      <c r="P131" s="21">
        <v>6.4</v>
      </c>
      <c r="Q131" s="21">
        <v>6.4</v>
      </c>
      <c r="R131" s="21">
        <v>6.4</v>
      </c>
      <c r="S131" s="21">
        <v>6.4</v>
      </c>
      <c r="T131" s="21">
        <v>6.4</v>
      </c>
      <c r="U131" s="21">
        <v>6.4</v>
      </c>
      <c r="V131" s="21">
        <v>6.4</v>
      </c>
      <c r="W131" s="21">
        <v>6.4</v>
      </c>
      <c r="X131" s="21">
        <v>6.4</v>
      </c>
      <c r="Y131" s="21">
        <v>6.4</v>
      </c>
      <c r="Z131" s="21">
        <v>6.4</v>
      </c>
      <c r="AA131" s="21">
        <v>1.5</v>
      </c>
      <c r="AB131" s="6">
        <v>1.5</v>
      </c>
      <c r="AC131" s="6">
        <v>1.5</v>
      </c>
      <c r="AD131" s="6">
        <v>1.5</v>
      </c>
      <c r="AE131" s="1">
        <v>1.5</v>
      </c>
      <c r="AF131" s="6">
        <v>1.5</v>
      </c>
      <c r="AG131" s="6">
        <v>1.5</v>
      </c>
      <c r="AH131" s="6">
        <v>1.5</v>
      </c>
      <c r="AI131" s="6">
        <v>1.5</v>
      </c>
      <c r="AJ131" s="6">
        <v>1.5</v>
      </c>
      <c r="AK131" s="6">
        <v>1.5</v>
      </c>
      <c r="AL131" s="6">
        <v>1.5</v>
      </c>
      <c r="AM131" s="6">
        <v>1.5</v>
      </c>
      <c r="AN131" s="168"/>
      <c r="AO131" s="254">
        <f t="shared" si="12"/>
        <v>0</v>
      </c>
      <c r="AP131" s="264"/>
      <c r="AQ131" s="254">
        <f t="shared" si="13"/>
        <v>0</v>
      </c>
      <c r="AR131" s="261"/>
      <c r="AS131" s="254">
        <f t="shared" si="14"/>
        <v>0</v>
      </c>
      <c r="AT131" s="256"/>
      <c r="AU131" s="257">
        <f t="shared" si="15"/>
        <v>0</v>
      </c>
      <c r="AV131" s="255"/>
      <c r="AW131" s="257">
        <f t="shared" si="16"/>
        <v>0</v>
      </c>
      <c r="AX131" s="271"/>
      <c r="AY131" s="257">
        <f t="shared" si="17"/>
        <v>0</v>
      </c>
      <c r="AZ131" s="255"/>
      <c r="BA131" s="257">
        <f t="shared" si="18"/>
        <v>0</v>
      </c>
      <c r="BB131" s="264"/>
      <c r="BC131" s="257">
        <f t="shared" si="19"/>
        <v>0</v>
      </c>
      <c r="BD131" s="261"/>
      <c r="BE131" s="257">
        <f t="shared" si="20"/>
        <v>0</v>
      </c>
      <c r="BF131" s="255"/>
      <c r="BG131" s="257">
        <f t="shared" si="21"/>
        <v>0</v>
      </c>
      <c r="BH131" s="264"/>
      <c r="BI131" s="257">
        <f t="shared" si="22"/>
        <v>0</v>
      </c>
      <c r="BJ131" s="261"/>
      <c r="BK131" s="257">
        <f t="shared" si="23"/>
        <v>0</v>
      </c>
    </row>
    <row r="132" spans="1:63" ht="16.5" customHeight="1">
      <c r="A132" s="250" t="s">
        <v>105</v>
      </c>
      <c r="B132" s="59" t="s">
        <v>221</v>
      </c>
      <c r="C132" s="59" t="s">
        <v>172</v>
      </c>
      <c r="D132" s="473"/>
      <c r="E132" s="44" t="s">
        <v>173</v>
      </c>
      <c r="F132" s="444"/>
      <c r="G132" s="202">
        <v>2021</v>
      </c>
      <c r="H132" s="213" t="s">
        <v>258</v>
      </c>
      <c r="I132" s="188" t="s">
        <v>183</v>
      </c>
      <c r="J132" s="206">
        <v>14</v>
      </c>
      <c r="K132" s="189" t="s">
        <v>259</v>
      </c>
      <c r="L132" s="201" t="s">
        <v>177</v>
      </c>
      <c r="M132" s="21" t="s">
        <v>204</v>
      </c>
      <c r="N132" s="21">
        <v>15.6</v>
      </c>
      <c r="O132" s="21">
        <v>15.6</v>
      </c>
      <c r="P132" s="21">
        <v>15.6</v>
      </c>
      <c r="Q132" s="21">
        <v>15.6</v>
      </c>
      <c r="R132" s="21">
        <v>15.6</v>
      </c>
      <c r="S132" s="21">
        <v>15.6</v>
      </c>
      <c r="T132" s="21">
        <v>15.6</v>
      </c>
      <c r="U132" s="21">
        <v>15.6</v>
      </c>
      <c r="V132" s="21">
        <v>15.6</v>
      </c>
      <c r="W132" s="21">
        <v>15.6</v>
      </c>
      <c r="X132" s="21">
        <v>15.6</v>
      </c>
      <c r="Y132" s="21">
        <v>15.6</v>
      </c>
      <c r="Z132" s="21">
        <v>15.6</v>
      </c>
      <c r="AA132" s="21">
        <v>5.7</v>
      </c>
      <c r="AB132" s="6">
        <v>5.7</v>
      </c>
      <c r="AC132" s="6">
        <v>5.7</v>
      </c>
      <c r="AD132" s="6">
        <v>5.7</v>
      </c>
      <c r="AE132" s="1">
        <v>5.7</v>
      </c>
      <c r="AF132" s="6">
        <v>5.7</v>
      </c>
      <c r="AG132" s="6">
        <v>5.7</v>
      </c>
      <c r="AH132" s="6">
        <v>5.7</v>
      </c>
      <c r="AI132" s="6">
        <v>5.7</v>
      </c>
      <c r="AJ132" s="6">
        <v>5.7</v>
      </c>
      <c r="AK132" s="6">
        <v>5.7</v>
      </c>
      <c r="AL132" s="6">
        <v>5.7</v>
      </c>
      <c r="AM132" s="6">
        <v>5.7</v>
      </c>
      <c r="AN132" s="168"/>
      <c r="AO132" s="254">
        <f t="shared" ref="AO132:AO195" si="24">AB132*AN132</f>
        <v>0</v>
      </c>
      <c r="AP132" s="264"/>
      <c r="AQ132" s="254">
        <f t="shared" ref="AQ132:AQ195" si="25">AC132*AP132</f>
        <v>0</v>
      </c>
      <c r="AR132" s="261"/>
      <c r="AS132" s="254">
        <f t="shared" ref="AS132:AS195" si="26">AD132*AR132</f>
        <v>0</v>
      </c>
      <c r="AT132" s="256"/>
      <c r="AU132" s="257">
        <f t="shared" ref="AU132:AU195" si="27">AE132*AT132</f>
        <v>0</v>
      </c>
      <c r="AV132" s="255"/>
      <c r="AW132" s="257">
        <f t="shared" ref="AW132:AW195" si="28">AF132*AV132</f>
        <v>0</v>
      </c>
      <c r="AX132" s="271"/>
      <c r="AY132" s="257">
        <f t="shared" ref="AY132:AY195" si="29">AG132*AX132</f>
        <v>0</v>
      </c>
      <c r="AZ132" s="255"/>
      <c r="BA132" s="257">
        <f t="shared" ref="BA132:BA195" si="30">AH132*AZ132</f>
        <v>0</v>
      </c>
      <c r="BB132" s="264"/>
      <c r="BC132" s="257">
        <f t="shared" ref="BC132:BC195" si="31">AI132*BB132</f>
        <v>0</v>
      </c>
      <c r="BD132" s="261"/>
      <c r="BE132" s="257">
        <f t="shared" ref="BE132:BE195" si="32">AJ132*BD132</f>
        <v>0</v>
      </c>
      <c r="BF132" s="255"/>
      <c r="BG132" s="257">
        <f t="shared" ref="BG132:BG195" si="33">AK132*BF132</f>
        <v>0</v>
      </c>
      <c r="BH132" s="264"/>
      <c r="BI132" s="257">
        <f t="shared" ref="BI132:BI195" si="34">AL132*BH132</f>
        <v>0</v>
      </c>
      <c r="BJ132" s="261"/>
      <c r="BK132" s="257">
        <f t="shared" ref="BK132:BK195" si="35">AM132*BJ132</f>
        <v>0</v>
      </c>
    </row>
    <row r="133" spans="1:63" ht="16.5" customHeight="1">
      <c r="A133" s="250" t="s">
        <v>105</v>
      </c>
      <c r="B133" s="59" t="s">
        <v>221</v>
      </c>
      <c r="C133" s="59" t="s">
        <v>172</v>
      </c>
      <c r="D133" s="473"/>
      <c r="E133" s="44" t="s">
        <v>173</v>
      </c>
      <c r="F133" s="444"/>
      <c r="G133" s="202">
        <v>2021</v>
      </c>
      <c r="H133" s="213" t="s">
        <v>258</v>
      </c>
      <c r="I133" s="207" t="s">
        <v>190</v>
      </c>
      <c r="J133" s="206">
        <v>14</v>
      </c>
      <c r="K133" s="189" t="s">
        <v>259</v>
      </c>
      <c r="L133" s="201" t="s">
        <v>177</v>
      </c>
      <c r="M133" s="21" t="s">
        <v>204</v>
      </c>
      <c r="N133" s="21">
        <v>6.65</v>
      </c>
      <c r="O133" s="21">
        <v>6.65</v>
      </c>
      <c r="P133" s="21">
        <v>6.65</v>
      </c>
      <c r="Q133" s="21">
        <v>6.65</v>
      </c>
      <c r="R133" s="21">
        <v>6.65</v>
      </c>
      <c r="S133" s="21">
        <v>6.65</v>
      </c>
      <c r="T133" s="21">
        <v>6.65</v>
      </c>
      <c r="U133" s="21">
        <v>6.65</v>
      </c>
      <c r="V133" s="21">
        <v>6.65</v>
      </c>
      <c r="W133" s="21">
        <v>6.65</v>
      </c>
      <c r="X133" s="21">
        <v>6.65</v>
      </c>
      <c r="Y133" s="21">
        <v>6.65</v>
      </c>
      <c r="Z133" s="21">
        <v>6.65</v>
      </c>
      <c r="AA133" s="21">
        <v>1.2</v>
      </c>
      <c r="AB133" s="6">
        <v>1.2</v>
      </c>
      <c r="AC133" s="6">
        <v>1.2</v>
      </c>
      <c r="AD133" s="6">
        <v>1.2</v>
      </c>
      <c r="AE133" s="1">
        <v>1.2</v>
      </c>
      <c r="AF133" s="6">
        <v>1.2</v>
      </c>
      <c r="AG133" s="6">
        <v>1.2</v>
      </c>
      <c r="AH133" s="6">
        <v>1.2</v>
      </c>
      <c r="AI133" s="6">
        <v>1.2</v>
      </c>
      <c r="AJ133" s="6">
        <v>1.2</v>
      </c>
      <c r="AK133" s="6">
        <v>1.2</v>
      </c>
      <c r="AL133" s="6">
        <v>1.2</v>
      </c>
      <c r="AM133" s="6">
        <v>1.2</v>
      </c>
      <c r="AN133" s="168"/>
      <c r="AO133" s="254">
        <f t="shared" si="24"/>
        <v>0</v>
      </c>
      <c r="AP133" s="255"/>
      <c r="AQ133" s="254">
        <f t="shared" si="25"/>
        <v>0</v>
      </c>
      <c r="AR133" s="255"/>
      <c r="AS133" s="254">
        <f t="shared" si="26"/>
        <v>0</v>
      </c>
      <c r="AT133" s="256"/>
      <c r="AU133" s="257">
        <f t="shared" si="27"/>
        <v>0</v>
      </c>
      <c r="AV133" s="255"/>
      <c r="AW133" s="257">
        <f t="shared" si="28"/>
        <v>0</v>
      </c>
      <c r="AX133" s="255"/>
      <c r="AY133" s="257">
        <f t="shared" si="29"/>
        <v>0</v>
      </c>
      <c r="AZ133" s="255"/>
      <c r="BA133" s="257">
        <f t="shared" si="30"/>
        <v>0</v>
      </c>
      <c r="BB133" s="255"/>
      <c r="BC133" s="257">
        <f t="shared" si="31"/>
        <v>0</v>
      </c>
      <c r="BD133" s="255"/>
      <c r="BE133" s="257">
        <f t="shared" si="32"/>
        <v>0</v>
      </c>
      <c r="BF133" s="255"/>
      <c r="BG133" s="257">
        <f t="shared" si="33"/>
        <v>0</v>
      </c>
      <c r="BH133" s="255"/>
      <c r="BI133" s="257">
        <f t="shared" si="34"/>
        <v>0</v>
      </c>
      <c r="BJ133" s="255"/>
      <c r="BK133" s="257">
        <f t="shared" si="35"/>
        <v>0</v>
      </c>
    </row>
    <row r="134" spans="1:63" ht="15" customHeight="1">
      <c r="A134" s="250" t="s">
        <v>105</v>
      </c>
      <c r="B134" s="59" t="s">
        <v>221</v>
      </c>
      <c r="C134" s="59" t="s">
        <v>172</v>
      </c>
      <c r="D134" s="473"/>
      <c r="E134" s="44" t="s">
        <v>173</v>
      </c>
      <c r="F134" s="444"/>
      <c r="G134" s="202">
        <v>2021</v>
      </c>
      <c r="H134" s="213" t="s">
        <v>258</v>
      </c>
      <c r="I134" s="188" t="s">
        <v>183</v>
      </c>
      <c r="J134" s="206">
        <v>14</v>
      </c>
      <c r="K134" s="201" t="s">
        <v>208</v>
      </c>
      <c r="L134" s="201" t="s">
        <v>177</v>
      </c>
      <c r="M134" s="21" t="s">
        <v>204</v>
      </c>
      <c r="N134" s="21">
        <v>14.9</v>
      </c>
      <c r="O134" s="21">
        <v>14.9</v>
      </c>
      <c r="P134" s="21">
        <v>14.9</v>
      </c>
      <c r="Q134" s="21">
        <v>14.9</v>
      </c>
      <c r="R134" s="21">
        <v>14.9</v>
      </c>
      <c r="S134" s="21">
        <v>14.9</v>
      </c>
      <c r="T134" s="21">
        <v>14.9</v>
      </c>
      <c r="U134" s="21">
        <v>14.9</v>
      </c>
      <c r="V134" s="21">
        <v>14.9</v>
      </c>
      <c r="W134" s="21">
        <v>14.9</v>
      </c>
      <c r="X134" s="21">
        <v>14.9</v>
      </c>
      <c r="Y134" s="21">
        <v>14.9</v>
      </c>
      <c r="Z134" s="21">
        <v>14.9</v>
      </c>
      <c r="AA134" s="21">
        <v>5</v>
      </c>
      <c r="AB134" s="6">
        <v>5</v>
      </c>
      <c r="AC134" s="6">
        <v>5</v>
      </c>
      <c r="AD134" s="6">
        <v>5</v>
      </c>
      <c r="AE134" s="1">
        <v>5</v>
      </c>
      <c r="AF134" s="6">
        <v>5</v>
      </c>
      <c r="AG134" s="6">
        <v>5</v>
      </c>
      <c r="AH134" s="6">
        <v>5</v>
      </c>
      <c r="AI134" s="6">
        <v>5</v>
      </c>
      <c r="AJ134" s="6">
        <v>5</v>
      </c>
      <c r="AK134" s="6">
        <v>5</v>
      </c>
      <c r="AL134" s="6">
        <v>5</v>
      </c>
      <c r="AM134" s="6">
        <v>5</v>
      </c>
      <c r="AN134" s="199">
        <v>80</v>
      </c>
      <c r="AO134" s="254">
        <f t="shared" si="24"/>
        <v>400</v>
      </c>
      <c r="AP134" s="265"/>
      <c r="AQ134" s="254">
        <f t="shared" si="25"/>
        <v>0</v>
      </c>
      <c r="AR134" s="261"/>
      <c r="AS134" s="254">
        <f t="shared" si="26"/>
        <v>0</v>
      </c>
      <c r="AT134" s="256">
        <v>157</v>
      </c>
      <c r="AU134" s="257">
        <f t="shared" si="27"/>
        <v>785</v>
      </c>
      <c r="AV134" s="265"/>
      <c r="AW134" s="257">
        <f t="shared" si="28"/>
        <v>0</v>
      </c>
      <c r="AX134" s="271"/>
      <c r="AY134" s="257">
        <f t="shared" si="29"/>
        <v>0</v>
      </c>
      <c r="AZ134" s="265"/>
      <c r="BA134" s="257">
        <f t="shared" si="30"/>
        <v>0</v>
      </c>
      <c r="BB134" s="265"/>
      <c r="BC134" s="257">
        <f t="shared" si="31"/>
        <v>0</v>
      </c>
      <c r="BD134" s="261"/>
      <c r="BE134" s="257">
        <f t="shared" si="32"/>
        <v>0</v>
      </c>
      <c r="BF134" s="265"/>
      <c r="BG134" s="257">
        <f t="shared" si="33"/>
        <v>0</v>
      </c>
      <c r="BH134" s="265"/>
      <c r="BI134" s="257">
        <f t="shared" si="34"/>
        <v>0</v>
      </c>
      <c r="BJ134" s="261"/>
      <c r="BK134" s="257">
        <f t="shared" si="35"/>
        <v>0</v>
      </c>
    </row>
    <row r="135" spans="1:63" ht="15" customHeight="1">
      <c r="A135" s="250" t="s">
        <v>105</v>
      </c>
      <c r="B135" s="59" t="s">
        <v>221</v>
      </c>
      <c r="C135" s="59" t="s">
        <v>172</v>
      </c>
      <c r="D135" s="473"/>
      <c r="E135" s="44" t="s">
        <v>173</v>
      </c>
      <c r="F135" s="444"/>
      <c r="G135" s="202">
        <v>2021</v>
      </c>
      <c r="H135" s="213" t="s">
        <v>258</v>
      </c>
      <c r="I135" s="207" t="s">
        <v>190</v>
      </c>
      <c r="J135" s="206">
        <v>14</v>
      </c>
      <c r="K135" s="201" t="s">
        <v>208</v>
      </c>
      <c r="L135" s="201" t="s">
        <v>177</v>
      </c>
      <c r="M135" s="21" t="s">
        <v>204</v>
      </c>
      <c r="N135" s="21">
        <v>6.65</v>
      </c>
      <c r="O135" s="21">
        <v>6.65</v>
      </c>
      <c r="P135" s="21">
        <v>6.65</v>
      </c>
      <c r="Q135" s="21">
        <v>6.65</v>
      </c>
      <c r="R135" s="21">
        <v>6.65</v>
      </c>
      <c r="S135" s="21">
        <v>6.65</v>
      </c>
      <c r="T135" s="21">
        <v>6.65</v>
      </c>
      <c r="U135" s="21">
        <v>6.65</v>
      </c>
      <c r="V135" s="21">
        <v>6.65</v>
      </c>
      <c r="W135" s="21">
        <v>6.65</v>
      </c>
      <c r="X135" s="21">
        <v>6.65</v>
      </c>
      <c r="Y135" s="21">
        <v>6.65</v>
      </c>
      <c r="Z135" s="21">
        <v>6.65</v>
      </c>
      <c r="AA135" s="21">
        <v>1.2</v>
      </c>
      <c r="AB135" s="6">
        <v>1.2</v>
      </c>
      <c r="AC135" s="6">
        <v>1.2</v>
      </c>
      <c r="AD135" s="6">
        <v>1.2</v>
      </c>
      <c r="AE135" s="1">
        <v>1.2</v>
      </c>
      <c r="AF135" s="6">
        <v>1.2</v>
      </c>
      <c r="AG135" s="6">
        <v>1.2</v>
      </c>
      <c r="AH135" s="6">
        <v>1.2</v>
      </c>
      <c r="AI135" s="6">
        <v>1.2</v>
      </c>
      <c r="AJ135" s="6">
        <v>1.2</v>
      </c>
      <c r="AK135" s="6">
        <v>1.2</v>
      </c>
      <c r="AL135" s="6">
        <v>1.2</v>
      </c>
      <c r="AM135" s="6">
        <v>1.2</v>
      </c>
      <c r="AN135" s="199">
        <v>200</v>
      </c>
      <c r="AO135" s="254">
        <f t="shared" si="24"/>
        <v>240</v>
      </c>
      <c r="AP135" s="265">
        <v>40</v>
      </c>
      <c r="AQ135" s="254">
        <f t="shared" si="25"/>
        <v>48</v>
      </c>
      <c r="AR135" s="261">
        <v>80</v>
      </c>
      <c r="AS135" s="254">
        <f t="shared" si="26"/>
        <v>96</v>
      </c>
      <c r="AT135" s="256"/>
      <c r="AU135" s="257">
        <f t="shared" si="27"/>
        <v>0</v>
      </c>
      <c r="AV135" s="265">
        <v>210</v>
      </c>
      <c r="AW135" s="257">
        <f t="shared" si="28"/>
        <v>252</v>
      </c>
      <c r="AX135" s="271"/>
      <c r="AY135" s="257">
        <f t="shared" si="29"/>
        <v>0</v>
      </c>
      <c r="AZ135" s="265"/>
      <c r="BA135" s="257">
        <f t="shared" si="30"/>
        <v>0</v>
      </c>
      <c r="BB135" s="265"/>
      <c r="BC135" s="257">
        <f t="shared" si="31"/>
        <v>0</v>
      </c>
      <c r="BD135" s="261"/>
      <c r="BE135" s="257">
        <f t="shared" si="32"/>
        <v>0</v>
      </c>
      <c r="BF135" s="265"/>
      <c r="BG135" s="257">
        <f t="shared" si="33"/>
        <v>0</v>
      </c>
      <c r="BH135" s="265"/>
      <c r="BI135" s="257">
        <f t="shared" si="34"/>
        <v>0</v>
      </c>
      <c r="BJ135" s="261"/>
      <c r="BK135" s="257">
        <f t="shared" si="35"/>
        <v>0</v>
      </c>
    </row>
    <row r="136" spans="1:63" ht="15" customHeight="1">
      <c r="A136" s="250" t="s">
        <v>105</v>
      </c>
      <c r="B136" s="59" t="s">
        <v>221</v>
      </c>
      <c r="C136" s="59" t="s">
        <v>172</v>
      </c>
      <c r="D136" s="473"/>
      <c r="E136" s="44" t="s">
        <v>173</v>
      </c>
      <c r="F136" s="444"/>
      <c r="G136" s="202">
        <v>2021</v>
      </c>
      <c r="H136" s="213" t="s">
        <v>258</v>
      </c>
      <c r="I136" s="188" t="s">
        <v>183</v>
      </c>
      <c r="J136" s="206">
        <v>14</v>
      </c>
      <c r="K136" s="201" t="s">
        <v>260</v>
      </c>
      <c r="L136" s="201" t="s">
        <v>177</v>
      </c>
      <c r="M136" s="21" t="s">
        <v>204</v>
      </c>
      <c r="N136" s="21">
        <v>16.600000000000001</v>
      </c>
      <c r="O136" s="21">
        <v>16.600000000000001</v>
      </c>
      <c r="P136" s="21">
        <v>16.600000000000001</v>
      </c>
      <c r="Q136" s="21">
        <v>16.600000000000001</v>
      </c>
      <c r="R136" s="21">
        <v>16.600000000000001</v>
      </c>
      <c r="S136" s="21">
        <v>16.600000000000001</v>
      </c>
      <c r="T136" s="21">
        <v>16.600000000000001</v>
      </c>
      <c r="U136" s="21">
        <v>16.600000000000001</v>
      </c>
      <c r="V136" s="21">
        <v>16.600000000000001</v>
      </c>
      <c r="W136" s="21">
        <v>16.600000000000001</v>
      </c>
      <c r="X136" s="21">
        <v>16.600000000000001</v>
      </c>
      <c r="Y136" s="21">
        <v>16.600000000000001</v>
      </c>
      <c r="Z136" s="21">
        <v>16.600000000000001</v>
      </c>
      <c r="AA136" s="21">
        <v>6.3</v>
      </c>
      <c r="AB136" s="6">
        <v>6.3</v>
      </c>
      <c r="AC136" s="6">
        <v>6.3</v>
      </c>
      <c r="AD136" s="6">
        <v>6.3</v>
      </c>
      <c r="AE136" s="1">
        <v>6.3</v>
      </c>
      <c r="AF136" s="6">
        <v>6.3</v>
      </c>
      <c r="AG136" s="6">
        <v>6.3</v>
      </c>
      <c r="AH136" s="6">
        <v>6.3</v>
      </c>
      <c r="AI136" s="6">
        <v>6.3</v>
      </c>
      <c r="AJ136" s="6">
        <v>6.3</v>
      </c>
      <c r="AK136" s="6">
        <v>6.3</v>
      </c>
      <c r="AL136" s="6">
        <v>6.3</v>
      </c>
      <c r="AM136" s="6">
        <v>6.3</v>
      </c>
      <c r="AN136" s="199"/>
      <c r="AO136" s="254">
        <f t="shared" si="24"/>
        <v>0</v>
      </c>
      <c r="AP136" s="265"/>
      <c r="AQ136" s="254">
        <f t="shared" si="25"/>
        <v>0</v>
      </c>
      <c r="AR136" s="261"/>
      <c r="AS136" s="254">
        <f t="shared" si="26"/>
        <v>0</v>
      </c>
      <c r="AT136" s="256">
        <v>40</v>
      </c>
      <c r="AU136" s="257">
        <f t="shared" si="27"/>
        <v>252</v>
      </c>
      <c r="AV136" s="265"/>
      <c r="AW136" s="257">
        <f t="shared" si="28"/>
        <v>0</v>
      </c>
      <c r="AX136" s="271"/>
      <c r="AY136" s="257">
        <f t="shared" si="29"/>
        <v>0</v>
      </c>
      <c r="AZ136" s="265"/>
      <c r="BA136" s="257">
        <f t="shared" si="30"/>
        <v>0</v>
      </c>
      <c r="BB136" s="265"/>
      <c r="BC136" s="257">
        <f t="shared" si="31"/>
        <v>0</v>
      </c>
      <c r="BD136" s="261"/>
      <c r="BE136" s="257">
        <f t="shared" si="32"/>
        <v>0</v>
      </c>
      <c r="BF136" s="265"/>
      <c r="BG136" s="257">
        <f t="shared" si="33"/>
        <v>0</v>
      </c>
      <c r="BH136" s="265"/>
      <c r="BI136" s="257">
        <f t="shared" si="34"/>
        <v>0</v>
      </c>
      <c r="BJ136" s="261"/>
      <c r="BK136" s="257">
        <f t="shared" si="35"/>
        <v>0</v>
      </c>
    </row>
    <row r="137" spans="1:63" ht="15" customHeight="1">
      <c r="A137" s="250" t="s">
        <v>105</v>
      </c>
      <c r="B137" s="59" t="s">
        <v>221</v>
      </c>
      <c r="C137" s="59" t="s">
        <v>172</v>
      </c>
      <c r="D137" s="473"/>
      <c r="E137" s="44" t="s">
        <v>173</v>
      </c>
      <c r="F137" s="444"/>
      <c r="G137" s="202">
        <v>2021</v>
      </c>
      <c r="H137" s="213" t="s">
        <v>258</v>
      </c>
      <c r="I137" s="207" t="s">
        <v>190</v>
      </c>
      <c r="J137" s="206">
        <v>14</v>
      </c>
      <c r="K137" s="201" t="s">
        <v>260</v>
      </c>
      <c r="L137" s="201" t="s">
        <v>177</v>
      </c>
      <c r="M137" s="21" t="s">
        <v>204</v>
      </c>
      <c r="N137" s="21">
        <v>7.65</v>
      </c>
      <c r="O137" s="21">
        <v>7.65</v>
      </c>
      <c r="P137" s="21">
        <v>7.65</v>
      </c>
      <c r="Q137" s="21">
        <v>7.65</v>
      </c>
      <c r="R137" s="21">
        <v>7.65</v>
      </c>
      <c r="S137" s="21">
        <v>7.65</v>
      </c>
      <c r="T137" s="21">
        <v>7.65</v>
      </c>
      <c r="U137" s="21">
        <v>7.65</v>
      </c>
      <c r="V137" s="21">
        <v>7.65</v>
      </c>
      <c r="W137" s="21">
        <v>7.65</v>
      </c>
      <c r="X137" s="21">
        <v>7.65</v>
      </c>
      <c r="Y137" s="21">
        <v>7.65</v>
      </c>
      <c r="Z137" s="21">
        <v>7.65</v>
      </c>
      <c r="AA137" s="21">
        <v>1.8</v>
      </c>
      <c r="AB137" s="6">
        <v>1.8</v>
      </c>
      <c r="AC137" s="6">
        <v>1.8</v>
      </c>
      <c r="AD137" s="6">
        <v>1.8</v>
      </c>
      <c r="AE137" s="1">
        <v>1.8</v>
      </c>
      <c r="AF137" s="6">
        <v>1.8</v>
      </c>
      <c r="AG137" s="6">
        <v>1.8</v>
      </c>
      <c r="AH137" s="6">
        <v>1.8</v>
      </c>
      <c r="AI137" s="6">
        <v>1.8</v>
      </c>
      <c r="AJ137" s="6">
        <v>1.8</v>
      </c>
      <c r="AK137" s="6">
        <v>1.8</v>
      </c>
      <c r="AL137" s="6">
        <v>1.8</v>
      </c>
      <c r="AM137" s="6">
        <v>1.8</v>
      </c>
      <c r="AN137" s="199">
        <v>47</v>
      </c>
      <c r="AO137" s="254">
        <f t="shared" si="24"/>
        <v>84.600000000000009</v>
      </c>
      <c r="AP137" s="265"/>
      <c r="AQ137" s="254">
        <f t="shared" si="25"/>
        <v>0</v>
      </c>
      <c r="AR137" s="261"/>
      <c r="AS137" s="254">
        <f t="shared" si="26"/>
        <v>0</v>
      </c>
      <c r="AT137" s="256"/>
      <c r="AU137" s="257">
        <f t="shared" si="27"/>
        <v>0</v>
      </c>
      <c r="AV137" s="265"/>
      <c r="AW137" s="257">
        <f t="shared" si="28"/>
        <v>0</v>
      </c>
      <c r="AX137" s="271"/>
      <c r="AY137" s="257">
        <f t="shared" si="29"/>
        <v>0</v>
      </c>
      <c r="AZ137" s="265"/>
      <c r="BA137" s="257">
        <f t="shared" si="30"/>
        <v>0</v>
      </c>
      <c r="BB137" s="265"/>
      <c r="BC137" s="257">
        <f t="shared" si="31"/>
        <v>0</v>
      </c>
      <c r="BD137" s="261"/>
      <c r="BE137" s="257">
        <f t="shared" si="32"/>
        <v>0</v>
      </c>
      <c r="BF137" s="265"/>
      <c r="BG137" s="257">
        <f t="shared" si="33"/>
        <v>0</v>
      </c>
      <c r="BH137" s="265"/>
      <c r="BI137" s="257">
        <f t="shared" si="34"/>
        <v>0</v>
      </c>
      <c r="BJ137" s="261"/>
      <c r="BK137" s="257">
        <f t="shared" si="35"/>
        <v>0</v>
      </c>
    </row>
    <row r="138" spans="1:63" ht="15" customHeight="1">
      <c r="A138" s="250" t="s">
        <v>105</v>
      </c>
      <c r="B138" s="59" t="s">
        <v>221</v>
      </c>
      <c r="C138" s="59" t="s">
        <v>172</v>
      </c>
      <c r="D138" s="473"/>
      <c r="E138" s="44" t="s">
        <v>173</v>
      </c>
      <c r="F138" s="444"/>
      <c r="G138" s="202">
        <v>2022</v>
      </c>
      <c r="H138" s="201" t="s">
        <v>261</v>
      </c>
      <c r="I138" s="188" t="s">
        <v>183</v>
      </c>
      <c r="J138" s="206">
        <v>14</v>
      </c>
      <c r="K138" s="201" t="s">
        <v>262</v>
      </c>
      <c r="L138" s="201" t="s">
        <v>177</v>
      </c>
      <c r="M138" s="21" t="s">
        <v>204</v>
      </c>
      <c r="N138" s="21">
        <v>14.4</v>
      </c>
      <c r="O138" s="21">
        <v>14.4</v>
      </c>
      <c r="P138" s="21">
        <v>14.4</v>
      </c>
      <c r="Q138" s="21">
        <v>14.4</v>
      </c>
      <c r="R138" s="21">
        <v>14.4</v>
      </c>
      <c r="S138" s="21">
        <v>14.4</v>
      </c>
      <c r="T138" s="21">
        <v>14.4</v>
      </c>
      <c r="U138" s="21">
        <v>14.4</v>
      </c>
      <c r="V138" s="21">
        <v>14.4</v>
      </c>
      <c r="W138" s="21">
        <v>14.4</v>
      </c>
      <c r="X138" s="21">
        <v>14.4</v>
      </c>
      <c r="Y138" s="21">
        <v>14.4</v>
      </c>
      <c r="Z138" s="21">
        <v>14.4</v>
      </c>
      <c r="AA138" s="21">
        <v>2.2000000000000002</v>
      </c>
      <c r="AB138" s="6">
        <v>2.2000000000000002</v>
      </c>
      <c r="AC138" s="6">
        <v>2.2000000000000002</v>
      </c>
      <c r="AD138" s="6">
        <v>3.5</v>
      </c>
      <c r="AE138" s="1">
        <v>3.5</v>
      </c>
      <c r="AF138" s="6">
        <v>3.5</v>
      </c>
      <c r="AG138" s="6">
        <v>3.5</v>
      </c>
      <c r="AH138" s="6">
        <v>4</v>
      </c>
      <c r="AI138" s="6">
        <v>4</v>
      </c>
      <c r="AJ138" s="6">
        <v>4</v>
      </c>
      <c r="AK138" s="6">
        <v>4</v>
      </c>
      <c r="AL138" s="6">
        <v>4</v>
      </c>
      <c r="AM138" s="6">
        <v>4</v>
      </c>
      <c r="AN138" s="199">
        <v>18520</v>
      </c>
      <c r="AO138" s="254">
        <f t="shared" si="24"/>
        <v>40744</v>
      </c>
      <c r="AP138" s="265">
        <v>10358</v>
      </c>
      <c r="AQ138" s="254">
        <f t="shared" si="25"/>
        <v>22787.600000000002</v>
      </c>
      <c r="AR138" s="261">
        <v>7760</v>
      </c>
      <c r="AS138" s="254">
        <f t="shared" si="26"/>
        <v>27160</v>
      </c>
      <c r="AT138" s="256">
        <v>11320</v>
      </c>
      <c r="AU138" s="257">
        <f t="shared" si="27"/>
        <v>39620</v>
      </c>
      <c r="AV138" s="265">
        <v>11280</v>
      </c>
      <c r="AW138" s="257">
        <f t="shared" si="28"/>
        <v>39480</v>
      </c>
      <c r="AX138" s="271">
        <v>1200</v>
      </c>
      <c r="AY138" s="257">
        <f t="shared" si="29"/>
        <v>4200</v>
      </c>
      <c r="AZ138" s="265">
        <v>6440</v>
      </c>
      <c r="BA138" s="257">
        <f t="shared" si="30"/>
        <v>25760</v>
      </c>
      <c r="BB138" s="265">
        <v>9714</v>
      </c>
      <c r="BC138" s="257">
        <f t="shared" si="31"/>
        <v>38856</v>
      </c>
      <c r="BD138" s="261">
        <v>6280</v>
      </c>
      <c r="BE138" s="257">
        <f t="shared" si="32"/>
        <v>25120</v>
      </c>
      <c r="BF138" s="261">
        <v>13320</v>
      </c>
      <c r="BG138" s="257">
        <f t="shared" si="33"/>
        <v>53280</v>
      </c>
      <c r="BH138" s="261">
        <v>8300</v>
      </c>
      <c r="BI138" s="257">
        <f t="shared" si="34"/>
        <v>33200</v>
      </c>
      <c r="BJ138" s="261">
        <v>8317</v>
      </c>
      <c r="BK138" s="257">
        <f t="shared" si="35"/>
        <v>33268</v>
      </c>
    </row>
    <row r="139" spans="1:63" ht="15" customHeight="1">
      <c r="A139" s="250" t="s">
        <v>105</v>
      </c>
      <c r="B139" s="59" t="s">
        <v>221</v>
      </c>
      <c r="C139" s="59" t="s">
        <v>172</v>
      </c>
      <c r="D139" s="473"/>
      <c r="E139" s="44" t="s">
        <v>173</v>
      </c>
      <c r="F139" s="444"/>
      <c r="G139" s="202">
        <v>2021</v>
      </c>
      <c r="H139" s="201" t="s">
        <v>263</v>
      </c>
      <c r="I139" s="188" t="s">
        <v>183</v>
      </c>
      <c r="J139" s="206">
        <v>15</v>
      </c>
      <c r="K139" s="201" t="s">
        <v>208</v>
      </c>
      <c r="L139" s="201" t="s">
        <v>177</v>
      </c>
      <c r="M139" s="21" t="s">
        <v>204</v>
      </c>
      <c r="N139" s="21">
        <v>13.6</v>
      </c>
      <c r="O139" s="21">
        <v>13.6</v>
      </c>
      <c r="P139" s="21">
        <v>13.6</v>
      </c>
      <c r="Q139" s="21">
        <v>13.6</v>
      </c>
      <c r="R139" s="21">
        <v>13.6</v>
      </c>
      <c r="S139" s="21">
        <v>13.6</v>
      </c>
      <c r="T139" s="21">
        <v>13.6</v>
      </c>
      <c r="U139" s="21">
        <v>13.6</v>
      </c>
      <c r="V139" s="21">
        <v>13.6</v>
      </c>
      <c r="W139" s="21">
        <v>13.6</v>
      </c>
      <c r="X139" s="21">
        <v>13.6</v>
      </c>
      <c r="Y139" s="21">
        <v>13.6</v>
      </c>
      <c r="Z139" s="21">
        <v>13.6</v>
      </c>
      <c r="AA139" s="21">
        <v>5.05</v>
      </c>
      <c r="AB139" s="6">
        <v>5.05</v>
      </c>
      <c r="AC139" s="6">
        <v>5.05</v>
      </c>
      <c r="AD139" s="6">
        <v>5.05</v>
      </c>
      <c r="AE139" s="6">
        <v>5.05</v>
      </c>
      <c r="AF139" s="6">
        <v>5.05</v>
      </c>
      <c r="AG139" s="6">
        <v>5.05</v>
      </c>
      <c r="AH139" s="6">
        <v>5.05</v>
      </c>
      <c r="AI139" s="6">
        <v>5.05</v>
      </c>
      <c r="AJ139" s="6">
        <v>5.05</v>
      </c>
      <c r="AK139" s="6">
        <v>5.05</v>
      </c>
      <c r="AL139" s="6">
        <v>5.05</v>
      </c>
      <c r="AM139" s="6">
        <v>5.05</v>
      </c>
      <c r="AN139" s="199"/>
      <c r="AO139" s="254">
        <f t="shared" si="24"/>
        <v>0</v>
      </c>
      <c r="AP139" s="265"/>
      <c r="AQ139" s="254">
        <f t="shared" si="25"/>
        <v>0</v>
      </c>
      <c r="AR139" s="261"/>
      <c r="AS139" s="254">
        <f t="shared" si="26"/>
        <v>0</v>
      </c>
      <c r="AT139" s="256"/>
      <c r="AU139" s="257">
        <f t="shared" si="27"/>
        <v>0</v>
      </c>
      <c r="AV139" s="265"/>
      <c r="AW139" s="257">
        <f t="shared" si="28"/>
        <v>0</v>
      </c>
      <c r="AX139" s="271"/>
      <c r="AY139" s="257">
        <f t="shared" si="29"/>
        <v>0</v>
      </c>
      <c r="AZ139" s="265"/>
      <c r="BA139" s="257">
        <f t="shared" si="30"/>
        <v>0</v>
      </c>
      <c r="BB139" s="265"/>
      <c r="BC139" s="257">
        <f t="shared" si="31"/>
        <v>0</v>
      </c>
      <c r="BD139" s="261"/>
      <c r="BE139" s="257">
        <f t="shared" si="32"/>
        <v>0</v>
      </c>
      <c r="BF139" s="265"/>
      <c r="BG139" s="257">
        <f t="shared" si="33"/>
        <v>0</v>
      </c>
      <c r="BH139" s="265"/>
      <c r="BI139" s="257">
        <f t="shared" si="34"/>
        <v>0</v>
      </c>
      <c r="BJ139" s="261"/>
      <c r="BK139" s="257">
        <f t="shared" si="35"/>
        <v>0</v>
      </c>
    </row>
    <row r="140" spans="1:63" ht="15" customHeight="1">
      <c r="A140" s="250" t="s">
        <v>105</v>
      </c>
      <c r="B140" s="59" t="s">
        <v>221</v>
      </c>
      <c r="C140" s="59" t="s">
        <v>172</v>
      </c>
      <c r="D140" s="473"/>
      <c r="E140" s="44" t="s">
        <v>173</v>
      </c>
      <c r="F140" s="444"/>
      <c r="G140" s="202">
        <v>2021</v>
      </c>
      <c r="H140" s="201" t="s">
        <v>263</v>
      </c>
      <c r="I140" s="207" t="s">
        <v>190</v>
      </c>
      <c r="J140" s="206">
        <v>15</v>
      </c>
      <c r="K140" s="201" t="s">
        <v>208</v>
      </c>
      <c r="L140" s="201" t="s">
        <v>177</v>
      </c>
      <c r="M140" s="21" t="s">
        <v>204</v>
      </c>
      <c r="N140" s="21">
        <v>6.4</v>
      </c>
      <c r="O140" s="21">
        <v>6.4</v>
      </c>
      <c r="P140" s="21">
        <v>6.4</v>
      </c>
      <c r="Q140" s="21">
        <v>6.4</v>
      </c>
      <c r="R140" s="21">
        <v>6.4</v>
      </c>
      <c r="S140" s="21">
        <v>6.4</v>
      </c>
      <c r="T140" s="21">
        <v>6.4</v>
      </c>
      <c r="U140" s="21">
        <v>6.4</v>
      </c>
      <c r="V140" s="21">
        <v>6.4</v>
      </c>
      <c r="W140" s="21">
        <v>6.4</v>
      </c>
      <c r="X140" s="21">
        <v>6.4</v>
      </c>
      <c r="Y140" s="21">
        <v>6.4</v>
      </c>
      <c r="Z140" s="21">
        <v>6.4</v>
      </c>
      <c r="AA140" s="21">
        <v>1.85</v>
      </c>
      <c r="AB140" s="6">
        <v>1.85</v>
      </c>
      <c r="AC140" s="6">
        <v>1.85</v>
      </c>
      <c r="AD140" s="6">
        <v>1.85</v>
      </c>
      <c r="AE140" s="6">
        <v>1.85</v>
      </c>
      <c r="AF140" s="6">
        <v>1.85</v>
      </c>
      <c r="AG140" s="6">
        <v>1.85</v>
      </c>
      <c r="AH140" s="6">
        <v>1.85</v>
      </c>
      <c r="AI140" s="6">
        <v>1.85</v>
      </c>
      <c r="AJ140" s="6">
        <v>1.85</v>
      </c>
      <c r="AK140" s="6">
        <v>1.85</v>
      </c>
      <c r="AL140" s="6">
        <v>1.85</v>
      </c>
      <c r="AM140" s="6">
        <v>1.85</v>
      </c>
      <c r="AN140" s="199">
        <v>2320</v>
      </c>
      <c r="AO140" s="254">
        <f t="shared" si="24"/>
        <v>4292</v>
      </c>
      <c r="AP140" s="265"/>
      <c r="AQ140" s="254">
        <f t="shared" si="25"/>
        <v>0</v>
      </c>
      <c r="AR140" s="261"/>
      <c r="AS140" s="254">
        <f t="shared" si="26"/>
        <v>0</v>
      </c>
      <c r="AT140" s="256"/>
      <c r="AU140" s="257">
        <f t="shared" si="27"/>
        <v>0</v>
      </c>
      <c r="AV140" s="265"/>
      <c r="AW140" s="257">
        <f t="shared" si="28"/>
        <v>0</v>
      </c>
      <c r="AX140" s="271"/>
      <c r="AY140" s="257">
        <f t="shared" si="29"/>
        <v>0</v>
      </c>
      <c r="AZ140" s="265"/>
      <c r="BA140" s="257">
        <f t="shared" si="30"/>
        <v>0</v>
      </c>
      <c r="BB140" s="265"/>
      <c r="BC140" s="257">
        <f t="shared" si="31"/>
        <v>0</v>
      </c>
      <c r="BD140" s="261"/>
      <c r="BE140" s="257">
        <f t="shared" si="32"/>
        <v>0</v>
      </c>
      <c r="BF140" s="265"/>
      <c r="BG140" s="257">
        <f t="shared" si="33"/>
        <v>0</v>
      </c>
      <c r="BH140" s="265"/>
      <c r="BI140" s="257">
        <f t="shared" si="34"/>
        <v>0</v>
      </c>
      <c r="BJ140" s="261"/>
      <c r="BK140" s="257">
        <f t="shared" si="35"/>
        <v>0</v>
      </c>
    </row>
    <row r="141" spans="1:63" ht="15" customHeight="1">
      <c r="A141" s="250" t="s">
        <v>105</v>
      </c>
      <c r="B141" s="59" t="s">
        <v>221</v>
      </c>
      <c r="C141" s="59" t="s">
        <v>172</v>
      </c>
      <c r="D141" s="473"/>
      <c r="E141" s="44" t="s">
        <v>173</v>
      </c>
      <c r="F141" s="444"/>
      <c r="G141" s="202">
        <v>2023</v>
      </c>
      <c r="H141" s="201" t="s">
        <v>264</v>
      </c>
      <c r="I141" s="207" t="s">
        <v>183</v>
      </c>
      <c r="J141" s="206">
        <v>14</v>
      </c>
      <c r="K141" s="201" t="s">
        <v>243</v>
      </c>
      <c r="L141" s="201" t="s">
        <v>177</v>
      </c>
      <c r="M141" s="21" t="s">
        <v>204</v>
      </c>
      <c r="N141" s="21">
        <v>16.100000000000001</v>
      </c>
      <c r="O141" s="21">
        <v>16.100000000000001</v>
      </c>
      <c r="P141" s="21">
        <v>16.100000000000001</v>
      </c>
      <c r="Q141" s="21">
        <v>16.100000000000001</v>
      </c>
      <c r="R141" s="21">
        <v>16.100000000000001</v>
      </c>
      <c r="S141" s="21">
        <v>16.100000000000001</v>
      </c>
      <c r="T141" s="21">
        <v>16.100000000000001</v>
      </c>
      <c r="U141" s="21">
        <v>16.100000000000001</v>
      </c>
      <c r="V141" s="21">
        <v>16.100000000000001</v>
      </c>
      <c r="W141" s="21">
        <v>16.100000000000001</v>
      </c>
      <c r="X141" s="21">
        <v>16.100000000000001</v>
      </c>
      <c r="Y141" s="21">
        <v>16.100000000000001</v>
      </c>
      <c r="Z141" s="21">
        <v>16.100000000000001</v>
      </c>
      <c r="AA141" s="21">
        <v>0</v>
      </c>
      <c r="AB141" s="6">
        <v>0</v>
      </c>
      <c r="AC141" s="6">
        <v>0</v>
      </c>
      <c r="AD141" s="6">
        <v>0</v>
      </c>
      <c r="AE141" s="1">
        <v>0</v>
      </c>
      <c r="AF141" s="1">
        <v>1.5</v>
      </c>
      <c r="AG141" s="1">
        <v>1.5</v>
      </c>
      <c r="AH141" s="1">
        <v>1.5</v>
      </c>
      <c r="AI141" s="1">
        <v>1.5</v>
      </c>
      <c r="AJ141" s="1">
        <v>1.5</v>
      </c>
      <c r="AK141" s="1">
        <v>1.5</v>
      </c>
      <c r="AL141" s="1">
        <v>1.5</v>
      </c>
      <c r="AM141" s="1">
        <v>1.5</v>
      </c>
      <c r="AN141" s="199"/>
      <c r="AO141" s="254">
        <f t="shared" si="24"/>
        <v>0</v>
      </c>
      <c r="AP141" s="265"/>
      <c r="AQ141" s="254">
        <f t="shared" si="25"/>
        <v>0</v>
      </c>
      <c r="AR141" s="261"/>
      <c r="AS141" s="254">
        <f t="shared" si="26"/>
        <v>0</v>
      </c>
      <c r="AT141" s="256"/>
      <c r="AU141" s="257">
        <f t="shared" si="27"/>
        <v>0</v>
      </c>
      <c r="AV141" s="270">
        <v>14840</v>
      </c>
      <c r="AW141" s="257">
        <f t="shared" si="28"/>
        <v>22260</v>
      </c>
      <c r="AX141" s="270">
        <v>20160</v>
      </c>
      <c r="AY141" s="257">
        <f t="shared" si="29"/>
        <v>30240</v>
      </c>
      <c r="AZ141" s="268">
        <v>11640</v>
      </c>
      <c r="BA141" s="257">
        <f t="shared" si="30"/>
        <v>17460</v>
      </c>
      <c r="BB141" s="256">
        <v>20240</v>
      </c>
      <c r="BC141" s="257">
        <f t="shared" si="31"/>
        <v>30360</v>
      </c>
      <c r="BD141" s="256">
        <v>14520</v>
      </c>
      <c r="BE141" s="257">
        <f t="shared" si="32"/>
        <v>21780</v>
      </c>
      <c r="BF141" s="256">
        <v>8040</v>
      </c>
      <c r="BG141" s="257">
        <f t="shared" si="33"/>
        <v>12060</v>
      </c>
      <c r="BH141" s="256">
        <v>19180</v>
      </c>
      <c r="BI141" s="257">
        <f t="shared" si="34"/>
        <v>28770</v>
      </c>
      <c r="BJ141" s="256">
        <v>18680</v>
      </c>
      <c r="BK141" s="257">
        <f t="shared" si="35"/>
        <v>28020</v>
      </c>
    </row>
    <row r="142" spans="1:63" ht="15" customHeight="1">
      <c r="A142" s="250" t="s">
        <v>105</v>
      </c>
      <c r="B142" s="59" t="s">
        <v>221</v>
      </c>
      <c r="C142" s="59" t="s">
        <v>172</v>
      </c>
      <c r="D142" s="473"/>
      <c r="E142" s="44" t="s">
        <v>173</v>
      </c>
      <c r="F142" s="444"/>
      <c r="G142" s="202">
        <v>2023</v>
      </c>
      <c r="H142" s="201" t="s">
        <v>265</v>
      </c>
      <c r="I142" s="188" t="s">
        <v>183</v>
      </c>
      <c r="J142" s="206">
        <v>16</v>
      </c>
      <c r="K142" s="201" t="s">
        <v>243</v>
      </c>
      <c r="L142" s="201" t="s">
        <v>177</v>
      </c>
      <c r="M142" s="21" t="s">
        <v>204</v>
      </c>
      <c r="N142" s="21">
        <v>14.3</v>
      </c>
      <c r="O142" s="21">
        <v>14.3</v>
      </c>
      <c r="P142" s="21">
        <v>14.3</v>
      </c>
      <c r="Q142" s="21">
        <v>14.3</v>
      </c>
      <c r="R142" s="21">
        <v>14.3</v>
      </c>
      <c r="S142" s="21">
        <v>14.3</v>
      </c>
      <c r="T142" s="21">
        <v>14.3</v>
      </c>
      <c r="U142" s="21">
        <v>14.3</v>
      </c>
      <c r="V142" s="21">
        <v>14.3</v>
      </c>
      <c r="W142" s="21">
        <v>14.3</v>
      </c>
      <c r="X142" s="21">
        <v>14.3</v>
      </c>
      <c r="Y142" s="21">
        <v>14.3</v>
      </c>
      <c r="Z142" s="21">
        <v>14.3</v>
      </c>
      <c r="AA142" s="21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1.5</v>
      </c>
      <c r="AL142" s="1">
        <v>1.5</v>
      </c>
      <c r="AM142" s="1">
        <v>1.5</v>
      </c>
      <c r="AN142" s="275"/>
      <c r="AO142" s="254">
        <f t="shared" si="24"/>
        <v>0</v>
      </c>
      <c r="AP142" s="265"/>
      <c r="AQ142" s="254">
        <f t="shared" si="25"/>
        <v>0</v>
      </c>
      <c r="AR142" s="261"/>
      <c r="AS142" s="254">
        <f t="shared" si="26"/>
        <v>0</v>
      </c>
      <c r="AT142" s="256"/>
      <c r="AU142" s="257">
        <f t="shared" si="27"/>
        <v>0</v>
      </c>
      <c r="AV142" s="270"/>
      <c r="AW142" s="257">
        <f t="shared" si="28"/>
        <v>0</v>
      </c>
      <c r="AX142" s="270"/>
      <c r="AY142" s="257">
        <f t="shared" si="29"/>
        <v>0</v>
      </c>
      <c r="AZ142" s="268"/>
      <c r="BA142" s="257">
        <f t="shared" si="30"/>
        <v>0</v>
      </c>
      <c r="BB142" s="59"/>
      <c r="BC142" s="257">
        <f t="shared" si="31"/>
        <v>0</v>
      </c>
      <c r="BD142" s="59"/>
      <c r="BE142" s="257">
        <f t="shared" si="32"/>
        <v>0</v>
      </c>
      <c r="BF142" s="59"/>
      <c r="BG142" s="257">
        <f t="shared" si="33"/>
        <v>0</v>
      </c>
      <c r="BH142" s="256">
        <v>10520</v>
      </c>
      <c r="BI142" s="257">
        <f t="shared" si="34"/>
        <v>15780</v>
      </c>
      <c r="BJ142" s="256">
        <v>6720</v>
      </c>
      <c r="BK142" s="257">
        <f t="shared" si="35"/>
        <v>10080</v>
      </c>
    </row>
    <row r="143" spans="1:63" ht="15" customHeight="1" thickBot="1">
      <c r="A143" s="250" t="s">
        <v>105</v>
      </c>
      <c r="B143" s="59" t="s">
        <v>221</v>
      </c>
      <c r="C143" s="59" t="s">
        <v>172</v>
      </c>
      <c r="D143" s="473"/>
      <c r="E143" s="44" t="s">
        <v>173</v>
      </c>
      <c r="F143" s="444"/>
      <c r="G143" s="212">
        <v>2023</v>
      </c>
      <c r="H143" s="209" t="s">
        <v>265</v>
      </c>
      <c r="I143" s="211" t="s">
        <v>183</v>
      </c>
      <c r="J143" s="210">
        <v>16</v>
      </c>
      <c r="K143" s="209" t="s">
        <v>266</v>
      </c>
      <c r="L143" s="209" t="s">
        <v>177</v>
      </c>
      <c r="M143" s="24" t="s">
        <v>204</v>
      </c>
      <c r="N143" s="24">
        <v>15.2</v>
      </c>
      <c r="O143" s="24">
        <v>15.2</v>
      </c>
      <c r="P143" s="24">
        <v>15.2</v>
      </c>
      <c r="Q143" s="24">
        <v>15.2</v>
      </c>
      <c r="R143" s="24">
        <v>15.2</v>
      </c>
      <c r="S143" s="24">
        <v>15.2</v>
      </c>
      <c r="T143" s="24">
        <v>15.2</v>
      </c>
      <c r="U143" s="24">
        <v>15.2</v>
      </c>
      <c r="V143" s="24">
        <v>15.2</v>
      </c>
      <c r="W143" s="24">
        <v>15.2</v>
      </c>
      <c r="X143" s="24">
        <v>15.2</v>
      </c>
      <c r="Y143" s="24">
        <v>15.2</v>
      </c>
      <c r="Z143" s="24">
        <v>15.2</v>
      </c>
      <c r="AA143" s="24">
        <v>0</v>
      </c>
      <c r="AB143" s="165">
        <v>0</v>
      </c>
      <c r="AC143" s="165">
        <v>0</v>
      </c>
      <c r="AD143" s="165">
        <v>0</v>
      </c>
      <c r="AE143" s="165">
        <v>0</v>
      </c>
      <c r="AF143" s="165">
        <v>0</v>
      </c>
      <c r="AG143" s="165">
        <v>0</v>
      </c>
      <c r="AH143" s="165">
        <v>0</v>
      </c>
      <c r="AI143" s="165">
        <v>0</v>
      </c>
      <c r="AJ143" s="165">
        <v>0</v>
      </c>
      <c r="AK143" s="78">
        <v>1.5</v>
      </c>
      <c r="AL143" s="78">
        <v>1.5</v>
      </c>
      <c r="AM143" s="78">
        <v>1.5</v>
      </c>
      <c r="AN143" s="276"/>
      <c r="AO143" s="254">
        <f t="shared" si="24"/>
        <v>0</v>
      </c>
      <c r="AP143" s="265"/>
      <c r="AQ143" s="254">
        <f t="shared" si="25"/>
        <v>0</v>
      </c>
      <c r="AR143" s="261"/>
      <c r="AS143" s="254">
        <f t="shared" si="26"/>
        <v>0</v>
      </c>
      <c r="AT143" s="256"/>
      <c r="AU143" s="257">
        <f t="shared" si="27"/>
        <v>0</v>
      </c>
      <c r="AV143" s="270"/>
      <c r="AW143" s="257">
        <f t="shared" si="28"/>
        <v>0</v>
      </c>
      <c r="AX143" s="270"/>
      <c r="AY143" s="257">
        <f t="shared" si="29"/>
        <v>0</v>
      </c>
      <c r="AZ143" s="268"/>
      <c r="BA143" s="257">
        <f t="shared" si="30"/>
        <v>0</v>
      </c>
      <c r="BB143" s="59"/>
      <c r="BC143" s="257">
        <f t="shared" si="31"/>
        <v>0</v>
      </c>
      <c r="BD143" s="59"/>
      <c r="BE143" s="257">
        <f t="shared" si="32"/>
        <v>0</v>
      </c>
      <c r="BF143" s="59"/>
      <c r="BG143" s="257">
        <f t="shared" si="33"/>
        <v>0</v>
      </c>
      <c r="BH143" s="59"/>
      <c r="BI143" s="257">
        <f t="shared" si="34"/>
        <v>0</v>
      </c>
      <c r="BJ143" s="59"/>
      <c r="BK143" s="257">
        <f t="shared" si="35"/>
        <v>0</v>
      </c>
    </row>
    <row r="144" spans="1:63" ht="15" hidden="1" customHeight="1">
      <c r="A144" s="250" t="s">
        <v>105</v>
      </c>
      <c r="C144" s="59"/>
      <c r="D144" s="473"/>
      <c r="E144" s="44"/>
      <c r="F144" s="444"/>
      <c r="G144" s="202"/>
      <c r="H144" s="208"/>
      <c r="I144" s="188"/>
      <c r="J144" s="206"/>
      <c r="K144" s="83"/>
      <c r="L144" s="20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6"/>
      <c r="AC144" s="6"/>
      <c r="AD144" s="6"/>
      <c r="AN144" s="199"/>
      <c r="AO144" s="254">
        <f t="shared" si="24"/>
        <v>0</v>
      </c>
      <c r="AP144" s="265"/>
      <c r="AQ144" s="254">
        <f t="shared" si="25"/>
        <v>0</v>
      </c>
      <c r="AR144" s="261"/>
      <c r="AS144" s="254">
        <f t="shared" si="26"/>
        <v>0</v>
      </c>
      <c r="AT144" s="256"/>
      <c r="AU144" s="257">
        <f t="shared" si="27"/>
        <v>0</v>
      </c>
      <c r="AV144" s="270"/>
      <c r="AW144" s="257">
        <f t="shared" si="28"/>
        <v>0</v>
      </c>
      <c r="AX144" s="270"/>
      <c r="AY144" s="257">
        <f t="shared" si="29"/>
        <v>0</v>
      </c>
      <c r="AZ144" s="268"/>
      <c r="BA144" s="257">
        <f t="shared" si="30"/>
        <v>0</v>
      </c>
      <c r="BB144" s="59"/>
      <c r="BC144" s="257">
        <f t="shared" si="31"/>
        <v>0</v>
      </c>
      <c r="BD144" s="59"/>
      <c r="BE144" s="257">
        <f t="shared" si="32"/>
        <v>0</v>
      </c>
      <c r="BF144" s="59"/>
      <c r="BG144" s="257">
        <f t="shared" si="33"/>
        <v>0</v>
      </c>
      <c r="BH144" s="59"/>
      <c r="BI144" s="257">
        <f t="shared" si="34"/>
        <v>0</v>
      </c>
      <c r="BJ144" s="59"/>
      <c r="BK144" s="257">
        <f t="shared" si="35"/>
        <v>0</v>
      </c>
    </row>
    <row r="145" spans="1:63" ht="15" hidden="1" customHeight="1">
      <c r="A145" s="250" t="s">
        <v>105</v>
      </c>
      <c r="C145" s="59"/>
      <c r="D145" s="473"/>
      <c r="E145" s="44"/>
      <c r="F145" s="444"/>
      <c r="G145" s="202"/>
      <c r="H145" s="201"/>
      <c r="I145" s="207"/>
      <c r="J145" s="206"/>
      <c r="K145" s="84"/>
      <c r="L145" s="20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6"/>
      <c r="AC145" s="6"/>
      <c r="AD145" s="6"/>
      <c r="AN145" s="199"/>
      <c r="AO145" s="254">
        <f t="shared" si="24"/>
        <v>0</v>
      </c>
      <c r="AP145" s="265"/>
      <c r="AQ145" s="254">
        <f t="shared" si="25"/>
        <v>0</v>
      </c>
      <c r="AR145" s="261"/>
      <c r="AS145" s="254">
        <f t="shared" si="26"/>
        <v>0</v>
      </c>
      <c r="AT145" s="256"/>
      <c r="AU145" s="257">
        <f t="shared" si="27"/>
        <v>0</v>
      </c>
      <c r="AV145" s="270"/>
      <c r="AW145" s="257">
        <f t="shared" si="28"/>
        <v>0</v>
      </c>
      <c r="AX145" s="270"/>
      <c r="AY145" s="257">
        <f t="shared" si="29"/>
        <v>0</v>
      </c>
      <c r="AZ145" s="268"/>
      <c r="BA145" s="257">
        <f t="shared" si="30"/>
        <v>0</v>
      </c>
      <c r="BB145" s="59"/>
      <c r="BC145" s="257">
        <f t="shared" si="31"/>
        <v>0</v>
      </c>
      <c r="BD145" s="59"/>
      <c r="BE145" s="257">
        <f t="shared" si="32"/>
        <v>0</v>
      </c>
      <c r="BF145" s="59"/>
      <c r="BG145" s="257">
        <f t="shared" si="33"/>
        <v>0</v>
      </c>
      <c r="BH145" s="59"/>
      <c r="BI145" s="257">
        <f t="shared" si="34"/>
        <v>0</v>
      </c>
      <c r="BJ145" s="59"/>
      <c r="BK145" s="257">
        <f t="shared" si="35"/>
        <v>0</v>
      </c>
    </row>
    <row r="146" spans="1:63" ht="15" hidden="1" customHeight="1">
      <c r="A146" s="250" t="s">
        <v>105</v>
      </c>
      <c r="C146" s="59"/>
      <c r="D146" s="473"/>
      <c r="E146" s="44"/>
      <c r="F146" s="444"/>
      <c r="G146" s="202"/>
      <c r="H146" s="201"/>
      <c r="I146" s="188"/>
      <c r="J146" s="206"/>
      <c r="K146" s="84"/>
      <c r="L146" s="20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6"/>
      <c r="AC146" s="6"/>
      <c r="AD146" s="6"/>
      <c r="AN146" s="199"/>
      <c r="AO146" s="254">
        <f t="shared" si="24"/>
        <v>0</v>
      </c>
      <c r="AP146" s="265"/>
      <c r="AQ146" s="254">
        <f t="shared" si="25"/>
        <v>0</v>
      </c>
      <c r="AR146" s="261"/>
      <c r="AS146" s="254">
        <f t="shared" si="26"/>
        <v>0</v>
      </c>
      <c r="AT146" s="256"/>
      <c r="AU146" s="257">
        <f t="shared" si="27"/>
        <v>0</v>
      </c>
      <c r="AV146" s="270"/>
      <c r="AW146" s="257">
        <f t="shared" si="28"/>
        <v>0</v>
      </c>
      <c r="AX146" s="270"/>
      <c r="AY146" s="257">
        <f t="shared" si="29"/>
        <v>0</v>
      </c>
      <c r="AZ146" s="268"/>
      <c r="BA146" s="257">
        <f t="shared" si="30"/>
        <v>0</v>
      </c>
      <c r="BB146" s="59"/>
      <c r="BC146" s="257">
        <f t="shared" si="31"/>
        <v>0</v>
      </c>
      <c r="BD146" s="59"/>
      <c r="BE146" s="257">
        <f t="shared" si="32"/>
        <v>0</v>
      </c>
      <c r="BF146" s="59"/>
      <c r="BG146" s="257">
        <f t="shared" si="33"/>
        <v>0</v>
      </c>
      <c r="BH146" s="59"/>
      <c r="BI146" s="257">
        <f t="shared" si="34"/>
        <v>0</v>
      </c>
      <c r="BJ146" s="59"/>
      <c r="BK146" s="257">
        <f t="shared" si="35"/>
        <v>0</v>
      </c>
    </row>
    <row r="147" spans="1:63" ht="15" hidden="1" customHeight="1">
      <c r="A147" s="250" t="s">
        <v>105</v>
      </c>
      <c r="C147" s="59"/>
      <c r="D147" s="473"/>
      <c r="E147" s="44"/>
      <c r="F147" s="444"/>
      <c r="G147" s="67"/>
      <c r="H147" s="84"/>
      <c r="I147" s="84"/>
      <c r="J147" s="110"/>
      <c r="K147" s="84"/>
      <c r="L147" s="84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6"/>
      <c r="AC147" s="6"/>
      <c r="AD147" s="6"/>
      <c r="AN147" s="199"/>
      <c r="AO147" s="254">
        <f t="shared" si="24"/>
        <v>0</v>
      </c>
      <c r="AP147" s="265"/>
      <c r="AQ147" s="254">
        <f t="shared" si="25"/>
        <v>0</v>
      </c>
      <c r="AR147" s="261"/>
      <c r="AS147" s="254">
        <f t="shared" si="26"/>
        <v>0</v>
      </c>
      <c r="AT147" s="256"/>
      <c r="AU147" s="257">
        <f t="shared" si="27"/>
        <v>0</v>
      </c>
      <c r="AV147" s="270"/>
      <c r="AW147" s="257">
        <f t="shared" si="28"/>
        <v>0</v>
      </c>
      <c r="AX147" s="270"/>
      <c r="AY147" s="257">
        <f t="shared" si="29"/>
        <v>0</v>
      </c>
      <c r="AZ147" s="268"/>
      <c r="BA147" s="257">
        <f t="shared" si="30"/>
        <v>0</v>
      </c>
      <c r="BB147" s="59"/>
      <c r="BC147" s="257">
        <f t="shared" si="31"/>
        <v>0</v>
      </c>
      <c r="BD147" s="59"/>
      <c r="BE147" s="257">
        <f t="shared" si="32"/>
        <v>0</v>
      </c>
      <c r="BF147" s="59"/>
      <c r="BG147" s="257">
        <f t="shared" si="33"/>
        <v>0</v>
      </c>
      <c r="BH147" s="59"/>
      <c r="BI147" s="257">
        <f t="shared" si="34"/>
        <v>0</v>
      </c>
      <c r="BJ147" s="59"/>
      <c r="BK147" s="257">
        <f t="shared" si="35"/>
        <v>0</v>
      </c>
    </row>
    <row r="148" spans="1:63" ht="15" hidden="1" customHeight="1">
      <c r="A148" s="250" t="s">
        <v>105</v>
      </c>
      <c r="C148" s="59"/>
      <c r="D148" s="473"/>
      <c r="E148" s="44"/>
      <c r="F148" s="444"/>
      <c r="G148" s="67"/>
      <c r="H148" s="84"/>
      <c r="I148" s="84"/>
      <c r="J148" s="110"/>
      <c r="K148" s="84"/>
      <c r="L148" s="84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6"/>
      <c r="AC148" s="6"/>
      <c r="AD148" s="6"/>
      <c r="AN148" s="199"/>
      <c r="AO148" s="254">
        <f t="shared" si="24"/>
        <v>0</v>
      </c>
      <c r="AP148" s="265"/>
      <c r="AQ148" s="254">
        <f t="shared" si="25"/>
        <v>0</v>
      </c>
      <c r="AR148" s="261"/>
      <c r="AS148" s="254">
        <f t="shared" si="26"/>
        <v>0</v>
      </c>
      <c r="AT148" s="256"/>
      <c r="AU148" s="257">
        <f t="shared" si="27"/>
        <v>0</v>
      </c>
      <c r="AV148" s="270"/>
      <c r="AW148" s="257">
        <f t="shared" si="28"/>
        <v>0</v>
      </c>
      <c r="AX148" s="270"/>
      <c r="AY148" s="257">
        <f t="shared" si="29"/>
        <v>0</v>
      </c>
      <c r="AZ148" s="268"/>
      <c r="BA148" s="257">
        <f t="shared" si="30"/>
        <v>0</v>
      </c>
      <c r="BB148" s="59"/>
      <c r="BC148" s="257">
        <f t="shared" si="31"/>
        <v>0</v>
      </c>
      <c r="BD148" s="59"/>
      <c r="BE148" s="257">
        <f t="shared" si="32"/>
        <v>0</v>
      </c>
      <c r="BF148" s="59"/>
      <c r="BG148" s="257">
        <f t="shared" si="33"/>
        <v>0</v>
      </c>
      <c r="BH148" s="59"/>
      <c r="BI148" s="257">
        <f t="shared" si="34"/>
        <v>0</v>
      </c>
      <c r="BJ148" s="59"/>
      <c r="BK148" s="257">
        <f t="shared" si="35"/>
        <v>0</v>
      </c>
    </row>
    <row r="149" spans="1:63" ht="15" hidden="1" customHeight="1">
      <c r="A149" s="250" t="s">
        <v>105</v>
      </c>
      <c r="C149" s="59"/>
      <c r="D149" s="473"/>
      <c r="E149" s="44"/>
      <c r="F149" s="444"/>
      <c r="G149" s="67"/>
      <c r="H149" s="84"/>
      <c r="I149" s="84"/>
      <c r="J149" s="110"/>
      <c r="K149" s="84"/>
      <c r="L149" s="84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6"/>
      <c r="AC149" s="6"/>
      <c r="AD149" s="6"/>
      <c r="AN149" s="199"/>
      <c r="AO149" s="254">
        <f t="shared" si="24"/>
        <v>0</v>
      </c>
      <c r="AP149" s="265"/>
      <c r="AQ149" s="254">
        <f t="shared" si="25"/>
        <v>0</v>
      </c>
      <c r="AR149" s="261"/>
      <c r="AS149" s="254">
        <f t="shared" si="26"/>
        <v>0</v>
      </c>
      <c r="AT149" s="256"/>
      <c r="AU149" s="257">
        <f t="shared" si="27"/>
        <v>0</v>
      </c>
      <c r="AV149" s="270"/>
      <c r="AW149" s="257">
        <f t="shared" si="28"/>
        <v>0</v>
      </c>
      <c r="AX149" s="270"/>
      <c r="AY149" s="257">
        <f t="shared" si="29"/>
        <v>0</v>
      </c>
      <c r="AZ149" s="268"/>
      <c r="BA149" s="257">
        <f t="shared" si="30"/>
        <v>0</v>
      </c>
      <c r="BB149" s="59"/>
      <c r="BC149" s="257">
        <f t="shared" si="31"/>
        <v>0</v>
      </c>
      <c r="BD149" s="59"/>
      <c r="BE149" s="257">
        <f t="shared" si="32"/>
        <v>0</v>
      </c>
      <c r="BF149" s="59"/>
      <c r="BG149" s="257">
        <f t="shared" si="33"/>
        <v>0</v>
      </c>
      <c r="BH149" s="59"/>
      <c r="BI149" s="257">
        <f t="shared" si="34"/>
        <v>0</v>
      </c>
      <c r="BJ149" s="59"/>
      <c r="BK149" s="257">
        <f t="shared" si="35"/>
        <v>0</v>
      </c>
    </row>
    <row r="150" spans="1:63" ht="15" hidden="1" customHeight="1">
      <c r="A150" s="250" t="s">
        <v>105</v>
      </c>
      <c r="C150" s="59"/>
      <c r="D150" s="473"/>
      <c r="E150" s="44"/>
      <c r="F150" s="444"/>
      <c r="G150" s="67"/>
      <c r="H150" s="84"/>
      <c r="I150" s="84"/>
      <c r="J150" s="110"/>
      <c r="K150" s="84"/>
      <c r="L150" s="84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6"/>
      <c r="AC150" s="6"/>
      <c r="AD150" s="6"/>
      <c r="AN150" s="199"/>
      <c r="AO150" s="254">
        <f t="shared" si="24"/>
        <v>0</v>
      </c>
      <c r="AP150" s="265"/>
      <c r="AQ150" s="254">
        <f t="shared" si="25"/>
        <v>0</v>
      </c>
      <c r="AR150" s="261"/>
      <c r="AS150" s="254">
        <f t="shared" si="26"/>
        <v>0</v>
      </c>
      <c r="AT150" s="256"/>
      <c r="AU150" s="257">
        <f t="shared" si="27"/>
        <v>0</v>
      </c>
      <c r="AV150" s="270"/>
      <c r="AW150" s="257">
        <f t="shared" si="28"/>
        <v>0</v>
      </c>
      <c r="AX150" s="270"/>
      <c r="AY150" s="257">
        <f t="shared" si="29"/>
        <v>0</v>
      </c>
      <c r="AZ150" s="268"/>
      <c r="BA150" s="257">
        <f t="shared" si="30"/>
        <v>0</v>
      </c>
      <c r="BB150" s="59"/>
      <c r="BC150" s="257">
        <f t="shared" si="31"/>
        <v>0</v>
      </c>
      <c r="BD150" s="59"/>
      <c r="BE150" s="257">
        <f t="shared" si="32"/>
        <v>0</v>
      </c>
      <c r="BF150" s="59"/>
      <c r="BG150" s="257">
        <f t="shared" si="33"/>
        <v>0</v>
      </c>
      <c r="BH150" s="59"/>
      <c r="BI150" s="257">
        <f t="shared" si="34"/>
        <v>0</v>
      </c>
      <c r="BJ150" s="59"/>
      <c r="BK150" s="257">
        <f t="shared" si="35"/>
        <v>0</v>
      </c>
    </row>
    <row r="151" spans="1:63" ht="15" hidden="1" customHeight="1">
      <c r="A151" s="250" t="s">
        <v>105</v>
      </c>
      <c r="C151" s="59"/>
      <c r="D151" s="473"/>
      <c r="E151" s="44"/>
      <c r="F151" s="444"/>
      <c r="G151" s="67"/>
      <c r="H151" s="84"/>
      <c r="I151" s="84"/>
      <c r="J151" s="110"/>
      <c r="K151" s="84"/>
      <c r="L151" s="84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6"/>
      <c r="AC151" s="6"/>
      <c r="AD151" s="6"/>
      <c r="AN151" s="199"/>
      <c r="AO151" s="254">
        <f t="shared" si="24"/>
        <v>0</v>
      </c>
      <c r="AP151" s="265"/>
      <c r="AQ151" s="254">
        <f t="shared" si="25"/>
        <v>0</v>
      </c>
      <c r="AR151" s="261"/>
      <c r="AS151" s="254">
        <f t="shared" si="26"/>
        <v>0</v>
      </c>
      <c r="AT151" s="256"/>
      <c r="AU151" s="257">
        <f t="shared" si="27"/>
        <v>0</v>
      </c>
      <c r="AV151" s="270"/>
      <c r="AW151" s="257">
        <f t="shared" si="28"/>
        <v>0</v>
      </c>
      <c r="AX151" s="270"/>
      <c r="AY151" s="257">
        <f t="shared" si="29"/>
        <v>0</v>
      </c>
      <c r="AZ151" s="268"/>
      <c r="BA151" s="257">
        <f t="shared" si="30"/>
        <v>0</v>
      </c>
      <c r="BB151" s="59"/>
      <c r="BC151" s="257">
        <f t="shared" si="31"/>
        <v>0</v>
      </c>
      <c r="BD151" s="59"/>
      <c r="BE151" s="257">
        <f t="shared" si="32"/>
        <v>0</v>
      </c>
      <c r="BF151" s="59"/>
      <c r="BG151" s="257">
        <f t="shared" si="33"/>
        <v>0</v>
      </c>
      <c r="BH151" s="59"/>
      <c r="BI151" s="257">
        <f t="shared" si="34"/>
        <v>0</v>
      </c>
      <c r="BJ151" s="59"/>
      <c r="BK151" s="257">
        <f t="shared" si="35"/>
        <v>0</v>
      </c>
    </row>
    <row r="152" spans="1:63" ht="15" hidden="1" customHeight="1">
      <c r="A152" s="250" t="s">
        <v>105</v>
      </c>
      <c r="C152" s="59"/>
      <c r="D152" s="473"/>
      <c r="E152" s="44"/>
      <c r="F152" s="444"/>
      <c r="G152" s="67"/>
      <c r="H152" s="84"/>
      <c r="I152" s="84"/>
      <c r="J152" s="110"/>
      <c r="K152" s="84"/>
      <c r="L152" s="84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6"/>
      <c r="AC152" s="6"/>
      <c r="AD152" s="6"/>
      <c r="AN152" s="199"/>
      <c r="AO152" s="254">
        <f t="shared" si="24"/>
        <v>0</v>
      </c>
      <c r="AP152" s="265"/>
      <c r="AQ152" s="254">
        <f t="shared" si="25"/>
        <v>0</v>
      </c>
      <c r="AR152" s="261"/>
      <c r="AS152" s="254">
        <f t="shared" si="26"/>
        <v>0</v>
      </c>
      <c r="AT152" s="256"/>
      <c r="AU152" s="257">
        <f t="shared" si="27"/>
        <v>0</v>
      </c>
      <c r="AV152" s="270"/>
      <c r="AW152" s="257">
        <f t="shared" si="28"/>
        <v>0</v>
      </c>
      <c r="AX152" s="270"/>
      <c r="AY152" s="257">
        <f t="shared" si="29"/>
        <v>0</v>
      </c>
      <c r="AZ152" s="268"/>
      <c r="BA152" s="257">
        <f t="shared" si="30"/>
        <v>0</v>
      </c>
      <c r="BB152" s="59"/>
      <c r="BC152" s="257">
        <f t="shared" si="31"/>
        <v>0</v>
      </c>
      <c r="BD152" s="59"/>
      <c r="BE152" s="257">
        <f t="shared" si="32"/>
        <v>0</v>
      </c>
      <c r="BF152" s="59"/>
      <c r="BG152" s="257">
        <f t="shared" si="33"/>
        <v>0</v>
      </c>
      <c r="BH152" s="59"/>
      <c r="BI152" s="257">
        <f t="shared" si="34"/>
        <v>0</v>
      </c>
      <c r="BJ152" s="59"/>
      <c r="BK152" s="257">
        <f t="shared" si="35"/>
        <v>0</v>
      </c>
    </row>
    <row r="153" spans="1:63" ht="15" hidden="1" customHeight="1">
      <c r="A153" s="250" t="s">
        <v>105</v>
      </c>
      <c r="C153" s="59"/>
      <c r="D153" s="473"/>
      <c r="E153" s="44"/>
      <c r="F153" s="444"/>
      <c r="G153" s="67"/>
      <c r="H153" s="84"/>
      <c r="I153" s="84"/>
      <c r="J153" s="110"/>
      <c r="K153" s="84"/>
      <c r="L153" s="84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6"/>
      <c r="AC153" s="6"/>
      <c r="AD153" s="6"/>
      <c r="AN153" s="199"/>
      <c r="AO153" s="254">
        <f t="shared" si="24"/>
        <v>0</v>
      </c>
      <c r="AP153" s="265"/>
      <c r="AQ153" s="254">
        <f t="shared" si="25"/>
        <v>0</v>
      </c>
      <c r="AR153" s="261"/>
      <c r="AS153" s="254">
        <f t="shared" si="26"/>
        <v>0</v>
      </c>
      <c r="AT153" s="256"/>
      <c r="AU153" s="257">
        <f t="shared" si="27"/>
        <v>0</v>
      </c>
      <c r="AV153" s="270"/>
      <c r="AW153" s="257">
        <f t="shared" si="28"/>
        <v>0</v>
      </c>
      <c r="AX153" s="270"/>
      <c r="AY153" s="257">
        <f t="shared" si="29"/>
        <v>0</v>
      </c>
      <c r="AZ153" s="268"/>
      <c r="BA153" s="257">
        <f t="shared" si="30"/>
        <v>0</v>
      </c>
      <c r="BB153" s="59"/>
      <c r="BC153" s="257">
        <f t="shared" si="31"/>
        <v>0</v>
      </c>
      <c r="BD153" s="59"/>
      <c r="BE153" s="257">
        <f t="shared" si="32"/>
        <v>0</v>
      </c>
      <c r="BF153" s="59"/>
      <c r="BG153" s="257">
        <f t="shared" si="33"/>
        <v>0</v>
      </c>
      <c r="BH153" s="59"/>
      <c r="BI153" s="257">
        <f t="shared" si="34"/>
        <v>0</v>
      </c>
      <c r="BJ153" s="59"/>
      <c r="BK153" s="257">
        <f t="shared" si="35"/>
        <v>0</v>
      </c>
    </row>
    <row r="154" spans="1:63" ht="16.5" hidden="1" customHeight="1">
      <c r="A154" s="250" t="s">
        <v>105</v>
      </c>
      <c r="C154" s="59"/>
      <c r="D154" s="473"/>
      <c r="E154" s="44"/>
      <c r="F154" s="444"/>
      <c r="G154" s="67"/>
      <c r="H154" s="84"/>
      <c r="I154" s="84"/>
      <c r="J154" s="110"/>
      <c r="K154" s="84"/>
      <c r="L154" s="84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6"/>
      <c r="AC154" s="6"/>
      <c r="AD154" s="6"/>
      <c r="AN154" s="168"/>
      <c r="AO154" s="254">
        <f t="shared" si="24"/>
        <v>0</v>
      </c>
      <c r="AP154" s="264"/>
      <c r="AQ154" s="254">
        <f t="shared" si="25"/>
        <v>0</v>
      </c>
      <c r="AR154" s="261"/>
      <c r="AS154" s="254">
        <f t="shared" si="26"/>
        <v>0</v>
      </c>
      <c r="AT154" s="256"/>
      <c r="AU154" s="257">
        <f t="shared" si="27"/>
        <v>0</v>
      </c>
      <c r="AV154" s="270"/>
      <c r="AW154" s="257">
        <f t="shared" si="28"/>
        <v>0</v>
      </c>
      <c r="AX154" s="270"/>
      <c r="AY154" s="257">
        <f t="shared" si="29"/>
        <v>0</v>
      </c>
      <c r="AZ154" s="268"/>
      <c r="BA154" s="257">
        <f t="shared" si="30"/>
        <v>0</v>
      </c>
      <c r="BB154" s="59"/>
      <c r="BC154" s="257">
        <f t="shared" si="31"/>
        <v>0</v>
      </c>
      <c r="BD154" s="59"/>
      <c r="BE154" s="257">
        <f t="shared" si="32"/>
        <v>0</v>
      </c>
      <c r="BF154" s="59"/>
      <c r="BG154" s="257">
        <f t="shared" si="33"/>
        <v>0</v>
      </c>
      <c r="BH154" s="59"/>
      <c r="BI154" s="257">
        <f t="shared" si="34"/>
        <v>0</v>
      </c>
      <c r="BJ154" s="59"/>
      <c r="BK154" s="257">
        <f t="shared" si="35"/>
        <v>0</v>
      </c>
    </row>
    <row r="155" spans="1:63" ht="16.5" hidden="1" customHeight="1">
      <c r="A155" s="250" t="s">
        <v>105</v>
      </c>
      <c r="C155" s="59"/>
      <c r="D155" s="473"/>
      <c r="E155" s="44"/>
      <c r="F155" s="444"/>
      <c r="G155" s="67"/>
      <c r="H155" s="84"/>
      <c r="I155" s="84"/>
      <c r="J155" s="110"/>
      <c r="K155" s="84"/>
      <c r="L155" s="84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6"/>
      <c r="AC155" s="6"/>
      <c r="AD155" s="6"/>
      <c r="AN155" s="168"/>
      <c r="AO155" s="254">
        <f t="shared" si="24"/>
        <v>0</v>
      </c>
      <c r="AP155" s="264"/>
      <c r="AQ155" s="254">
        <f t="shared" si="25"/>
        <v>0</v>
      </c>
      <c r="AR155" s="261"/>
      <c r="AS155" s="254">
        <f t="shared" si="26"/>
        <v>0</v>
      </c>
      <c r="AT155" s="256"/>
      <c r="AU155" s="257">
        <f t="shared" si="27"/>
        <v>0</v>
      </c>
      <c r="AV155" s="270"/>
      <c r="AW155" s="257">
        <f t="shared" si="28"/>
        <v>0</v>
      </c>
      <c r="AX155" s="270"/>
      <c r="AY155" s="257">
        <f t="shared" si="29"/>
        <v>0</v>
      </c>
      <c r="AZ155" s="268"/>
      <c r="BA155" s="257">
        <f t="shared" si="30"/>
        <v>0</v>
      </c>
      <c r="BB155" s="59"/>
      <c r="BC155" s="257">
        <f t="shared" si="31"/>
        <v>0</v>
      </c>
      <c r="BD155" s="59"/>
      <c r="BE155" s="257">
        <f t="shared" si="32"/>
        <v>0</v>
      </c>
      <c r="BF155" s="59"/>
      <c r="BG155" s="257">
        <f t="shared" si="33"/>
        <v>0</v>
      </c>
      <c r="BH155" s="59"/>
      <c r="BI155" s="257">
        <f t="shared" si="34"/>
        <v>0</v>
      </c>
      <c r="BJ155" s="59"/>
      <c r="BK155" s="257">
        <f t="shared" si="35"/>
        <v>0</v>
      </c>
    </row>
    <row r="156" spans="1:63" ht="16.5" hidden="1" customHeight="1">
      <c r="A156" s="250" t="s">
        <v>105</v>
      </c>
      <c r="C156" s="59"/>
      <c r="D156" s="473"/>
      <c r="E156" s="44"/>
      <c r="F156" s="444"/>
      <c r="G156" s="67"/>
      <c r="H156" s="84"/>
      <c r="I156" s="84"/>
      <c r="J156" s="110"/>
      <c r="K156" s="84"/>
      <c r="L156" s="84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6"/>
      <c r="AC156" s="6"/>
      <c r="AD156" s="6"/>
      <c r="AN156" s="168"/>
      <c r="AO156" s="254">
        <f t="shared" si="24"/>
        <v>0</v>
      </c>
      <c r="AP156" s="264"/>
      <c r="AQ156" s="254">
        <f t="shared" si="25"/>
        <v>0</v>
      </c>
      <c r="AR156" s="261"/>
      <c r="AS156" s="254">
        <f t="shared" si="26"/>
        <v>0</v>
      </c>
      <c r="AT156" s="256"/>
      <c r="AU156" s="257">
        <f t="shared" si="27"/>
        <v>0</v>
      </c>
      <c r="AV156" s="270"/>
      <c r="AW156" s="257">
        <f t="shared" si="28"/>
        <v>0</v>
      </c>
      <c r="AX156" s="270"/>
      <c r="AY156" s="257">
        <f t="shared" si="29"/>
        <v>0</v>
      </c>
      <c r="AZ156" s="268"/>
      <c r="BA156" s="257">
        <f t="shared" si="30"/>
        <v>0</v>
      </c>
      <c r="BB156" s="59"/>
      <c r="BC156" s="257">
        <f t="shared" si="31"/>
        <v>0</v>
      </c>
      <c r="BD156" s="59"/>
      <c r="BE156" s="257">
        <f t="shared" si="32"/>
        <v>0</v>
      </c>
      <c r="BF156" s="59"/>
      <c r="BG156" s="257">
        <f t="shared" si="33"/>
        <v>0</v>
      </c>
      <c r="BH156" s="59"/>
      <c r="BI156" s="257">
        <f t="shared" si="34"/>
        <v>0</v>
      </c>
      <c r="BJ156" s="59"/>
      <c r="BK156" s="257">
        <f t="shared" si="35"/>
        <v>0</v>
      </c>
    </row>
    <row r="157" spans="1:63" ht="16.5" hidden="1" customHeight="1">
      <c r="A157" s="250" t="s">
        <v>105</v>
      </c>
      <c r="C157" s="59"/>
      <c r="D157" s="473"/>
      <c r="E157" s="44"/>
      <c r="F157" s="444"/>
      <c r="G157" s="67"/>
      <c r="H157" s="84"/>
      <c r="I157" s="84"/>
      <c r="J157" s="110"/>
      <c r="K157" s="84"/>
      <c r="L157" s="84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6"/>
      <c r="AC157" s="6"/>
      <c r="AD157" s="6"/>
      <c r="AN157" s="168"/>
      <c r="AO157" s="254">
        <f t="shared" si="24"/>
        <v>0</v>
      </c>
      <c r="AP157" s="264"/>
      <c r="AQ157" s="254">
        <f t="shared" si="25"/>
        <v>0</v>
      </c>
      <c r="AR157" s="261"/>
      <c r="AS157" s="254">
        <f t="shared" si="26"/>
        <v>0</v>
      </c>
      <c r="AT157" s="256"/>
      <c r="AU157" s="257">
        <f t="shared" si="27"/>
        <v>0</v>
      </c>
      <c r="AV157" s="270"/>
      <c r="AW157" s="257">
        <f t="shared" si="28"/>
        <v>0</v>
      </c>
      <c r="AX157" s="270"/>
      <c r="AY157" s="257">
        <f t="shared" si="29"/>
        <v>0</v>
      </c>
      <c r="AZ157" s="268"/>
      <c r="BA157" s="257">
        <f t="shared" si="30"/>
        <v>0</v>
      </c>
      <c r="BB157" s="59"/>
      <c r="BC157" s="257">
        <f t="shared" si="31"/>
        <v>0</v>
      </c>
      <c r="BD157" s="59"/>
      <c r="BE157" s="257">
        <f t="shared" si="32"/>
        <v>0</v>
      </c>
      <c r="BF157" s="59"/>
      <c r="BG157" s="257">
        <f t="shared" si="33"/>
        <v>0</v>
      </c>
      <c r="BH157" s="59"/>
      <c r="BI157" s="257">
        <f t="shared" si="34"/>
        <v>0</v>
      </c>
      <c r="BJ157" s="59"/>
      <c r="BK157" s="257">
        <f t="shared" si="35"/>
        <v>0</v>
      </c>
    </row>
    <row r="158" spans="1:63" ht="15" hidden="1" customHeight="1">
      <c r="A158" s="250" t="s">
        <v>105</v>
      </c>
      <c r="C158" s="59"/>
      <c r="D158" s="473"/>
      <c r="E158" s="44"/>
      <c r="F158" s="444"/>
      <c r="G158" s="67"/>
      <c r="H158" s="84"/>
      <c r="I158" s="84"/>
      <c r="J158" s="110"/>
      <c r="K158" s="84"/>
      <c r="L158" s="84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6"/>
      <c r="AC158" s="6"/>
      <c r="AD158" s="6"/>
      <c r="AN158" s="199"/>
      <c r="AO158" s="254">
        <f t="shared" si="24"/>
        <v>0</v>
      </c>
      <c r="AP158" s="265"/>
      <c r="AQ158" s="254">
        <f t="shared" si="25"/>
        <v>0</v>
      </c>
      <c r="AR158" s="261"/>
      <c r="AS158" s="254">
        <f t="shared" si="26"/>
        <v>0</v>
      </c>
      <c r="AT158" s="256"/>
      <c r="AU158" s="257">
        <f t="shared" si="27"/>
        <v>0</v>
      </c>
      <c r="AV158" s="270"/>
      <c r="AW158" s="257">
        <f t="shared" si="28"/>
        <v>0</v>
      </c>
      <c r="AX158" s="270"/>
      <c r="AY158" s="257">
        <f t="shared" si="29"/>
        <v>0</v>
      </c>
      <c r="AZ158" s="268"/>
      <c r="BA158" s="257">
        <f t="shared" si="30"/>
        <v>0</v>
      </c>
      <c r="BB158" s="59"/>
      <c r="BC158" s="257">
        <f t="shared" si="31"/>
        <v>0</v>
      </c>
      <c r="BD158" s="59"/>
      <c r="BE158" s="257">
        <f t="shared" si="32"/>
        <v>0</v>
      </c>
      <c r="BF158" s="59"/>
      <c r="BG158" s="257">
        <f t="shared" si="33"/>
        <v>0</v>
      </c>
      <c r="BH158" s="59"/>
      <c r="BI158" s="257">
        <f t="shared" si="34"/>
        <v>0</v>
      </c>
      <c r="BJ158" s="59"/>
      <c r="BK158" s="257">
        <f t="shared" si="35"/>
        <v>0</v>
      </c>
    </row>
    <row r="159" spans="1:63" ht="15" hidden="1" customHeight="1">
      <c r="A159" s="250" t="s">
        <v>105</v>
      </c>
      <c r="C159" s="59"/>
      <c r="D159" s="473"/>
      <c r="E159" s="44"/>
      <c r="F159" s="444"/>
      <c r="G159" s="67"/>
      <c r="H159" s="84"/>
      <c r="I159" s="84"/>
      <c r="J159" s="110"/>
      <c r="K159" s="84"/>
      <c r="L159" s="84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6"/>
      <c r="AC159" s="6"/>
      <c r="AD159" s="6"/>
      <c r="AN159" s="199"/>
      <c r="AO159" s="254">
        <f t="shared" si="24"/>
        <v>0</v>
      </c>
      <c r="AP159" s="265"/>
      <c r="AQ159" s="254">
        <f t="shared" si="25"/>
        <v>0</v>
      </c>
      <c r="AR159" s="261"/>
      <c r="AS159" s="254">
        <f t="shared" si="26"/>
        <v>0</v>
      </c>
      <c r="AT159" s="256"/>
      <c r="AU159" s="257">
        <f t="shared" si="27"/>
        <v>0</v>
      </c>
      <c r="AV159" s="270"/>
      <c r="AW159" s="257">
        <f t="shared" si="28"/>
        <v>0</v>
      </c>
      <c r="AX159" s="270"/>
      <c r="AY159" s="257">
        <f t="shared" si="29"/>
        <v>0</v>
      </c>
      <c r="AZ159" s="268"/>
      <c r="BA159" s="257">
        <f t="shared" si="30"/>
        <v>0</v>
      </c>
      <c r="BB159" s="59"/>
      <c r="BC159" s="257">
        <f t="shared" si="31"/>
        <v>0</v>
      </c>
      <c r="BD159" s="59"/>
      <c r="BE159" s="257">
        <f t="shared" si="32"/>
        <v>0</v>
      </c>
      <c r="BF159" s="59"/>
      <c r="BG159" s="257">
        <f t="shared" si="33"/>
        <v>0</v>
      </c>
      <c r="BH159" s="59"/>
      <c r="BI159" s="257">
        <f t="shared" si="34"/>
        <v>0</v>
      </c>
      <c r="BJ159" s="59"/>
      <c r="BK159" s="257">
        <f t="shared" si="35"/>
        <v>0</v>
      </c>
    </row>
    <row r="160" spans="1:63" ht="15" hidden="1" customHeight="1">
      <c r="A160" s="250" t="s">
        <v>105</v>
      </c>
      <c r="C160" s="59"/>
      <c r="D160" s="473"/>
      <c r="E160" s="44"/>
      <c r="F160" s="444"/>
      <c r="G160" s="67"/>
      <c r="H160" s="84"/>
      <c r="I160" s="84"/>
      <c r="J160" s="110"/>
      <c r="K160" s="84"/>
      <c r="L160" s="84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6"/>
      <c r="AC160" s="6"/>
      <c r="AD160" s="6"/>
      <c r="AN160" s="199"/>
      <c r="AO160" s="254">
        <f t="shared" si="24"/>
        <v>0</v>
      </c>
      <c r="AP160" s="265"/>
      <c r="AQ160" s="254">
        <f t="shared" si="25"/>
        <v>0</v>
      </c>
      <c r="AR160" s="261"/>
      <c r="AS160" s="254">
        <f t="shared" si="26"/>
        <v>0</v>
      </c>
      <c r="AT160" s="256"/>
      <c r="AU160" s="257">
        <f t="shared" si="27"/>
        <v>0</v>
      </c>
      <c r="AV160" s="270"/>
      <c r="AW160" s="257">
        <f t="shared" si="28"/>
        <v>0</v>
      </c>
      <c r="AX160" s="270"/>
      <c r="AY160" s="257">
        <f t="shared" si="29"/>
        <v>0</v>
      </c>
      <c r="AZ160" s="268"/>
      <c r="BA160" s="257">
        <f t="shared" si="30"/>
        <v>0</v>
      </c>
      <c r="BB160" s="59"/>
      <c r="BC160" s="257">
        <f t="shared" si="31"/>
        <v>0</v>
      </c>
      <c r="BD160" s="59"/>
      <c r="BE160" s="257">
        <f t="shared" si="32"/>
        <v>0</v>
      </c>
      <c r="BF160" s="59"/>
      <c r="BG160" s="257">
        <f t="shared" si="33"/>
        <v>0</v>
      </c>
      <c r="BH160" s="59"/>
      <c r="BI160" s="257">
        <f t="shared" si="34"/>
        <v>0</v>
      </c>
      <c r="BJ160" s="59"/>
      <c r="BK160" s="257">
        <f t="shared" si="35"/>
        <v>0</v>
      </c>
    </row>
    <row r="161" spans="1:63" ht="15" hidden="1" customHeight="1">
      <c r="A161" s="250" t="s">
        <v>105</v>
      </c>
      <c r="C161" s="59"/>
      <c r="D161" s="473"/>
      <c r="E161" s="44"/>
      <c r="F161" s="444"/>
      <c r="G161" s="67"/>
      <c r="H161" s="84"/>
      <c r="I161" s="84"/>
      <c r="J161" s="110"/>
      <c r="K161" s="84"/>
      <c r="L161" s="84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6"/>
      <c r="AC161" s="6"/>
      <c r="AD161" s="6"/>
      <c r="AN161" s="199"/>
      <c r="AO161" s="254">
        <f t="shared" si="24"/>
        <v>0</v>
      </c>
      <c r="AP161" s="265"/>
      <c r="AQ161" s="254">
        <f t="shared" si="25"/>
        <v>0</v>
      </c>
      <c r="AR161" s="261"/>
      <c r="AS161" s="254">
        <f t="shared" si="26"/>
        <v>0</v>
      </c>
      <c r="AT161" s="256"/>
      <c r="AU161" s="257">
        <f t="shared" si="27"/>
        <v>0</v>
      </c>
      <c r="AV161" s="270"/>
      <c r="AW161" s="257">
        <f t="shared" si="28"/>
        <v>0</v>
      </c>
      <c r="AX161" s="270"/>
      <c r="AY161" s="257">
        <f t="shared" si="29"/>
        <v>0</v>
      </c>
      <c r="AZ161" s="268"/>
      <c r="BA161" s="257">
        <f t="shared" si="30"/>
        <v>0</v>
      </c>
      <c r="BB161" s="59"/>
      <c r="BC161" s="257">
        <f t="shared" si="31"/>
        <v>0</v>
      </c>
      <c r="BD161" s="59"/>
      <c r="BE161" s="257">
        <f t="shared" si="32"/>
        <v>0</v>
      </c>
      <c r="BF161" s="59"/>
      <c r="BG161" s="257">
        <f t="shared" si="33"/>
        <v>0</v>
      </c>
      <c r="BH161" s="59"/>
      <c r="BI161" s="257">
        <f t="shared" si="34"/>
        <v>0</v>
      </c>
      <c r="BJ161" s="59"/>
      <c r="BK161" s="257">
        <f t="shared" si="35"/>
        <v>0</v>
      </c>
    </row>
    <row r="162" spans="1:63" ht="15" hidden="1" customHeight="1">
      <c r="A162" s="250" t="s">
        <v>105</v>
      </c>
      <c r="C162" s="59"/>
      <c r="D162" s="473"/>
      <c r="E162" s="44"/>
      <c r="F162" s="444"/>
      <c r="G162" s="67"/>
      <c r="H162" s="84"/>
      <c r="I162" s="84"/>
      <c r="J162" s="110"/>
      <c r="K162" s="84"/>
      <c r="L162" s="84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6"/>
      <c r="AC162" s="6"/>
      <c r="AD162" s="6"/>
      <c r="AN162" s="199"/>
      <c r="AO162" s="254">
        <f t="shared" si="24"/>
        <v>0</v>
      </c>
      <c r="AP162" s="265"/>
      <c r="AQ162" s="254">
        <f t="shared" si="25"/>
        <v>0</v>
      </c>
      <c r="AR162" s="261"/>
      <c r="AS162" s="254">
        <f t="shared" si="26"/>
        <v>0</v>
      </c>
      <c r="AT162" s="256"/>
      <c r="AU162" s="257">
        <f t="shared" si="27"/>
        <v>0</v>
      </c>
      <c r="AV162" s="270"/>
      <c r="AW162" s="257">
        <f t="shared" si="28"/>
        <v>0</v>
      </c>
      <c r="AX162" s="270"/>
      <c r="AY162" s="257">
        <f t="shared" si="29"/>
        <v>0</v>
      </c>
      <c r="AZ162" s="268"/>
      <c r="BA162" s="257">
        <f t="shared" si="30"/>
        <v>0</v>
      </c>
      <c r="BB162" s="59"/>
      <c r="BC162" s="257">
        <f t="shared" si="31"/>
        <v>0</v>
      </c>
      <c r="BD162" s="59"/>
      <c r="BE162" s="257">
        <f t="shared" si="32"/>
        <v>0</v>
      </c>
      <c r="BF162" s="59"/>
      <c r="BG162" s="257">
        <f t="shared" si="33"/>
        <v>0</v>
      </c>
      <c r="BH162" s="59"/>
      <c r="BI162" s="257">
        <f t="shared" si="34"/>
        <v>0</v>
      </c>
      <c r="BJ162" s="59"/>
      <c r="BK162" s="257">
        <f t="shared" si="35"/>
        <v>0</v>
      </c>
    </row>
    <row r="163" spans="1:63" ht="15" hidden="1" customHeight="1">
      <c r="A163" s="250" t="s">
        <v>105</v>
      </c>
      <c r="C163" s="59"/>
      <c r="D163" s="473"/>
      <c r="E163" s="44"/>
      <c r="F163" s="444"/>
      <c r="G163" s="67"/>
      <c r="H163" s="84"/>
      <c r="I163" s="84"/>
      <c r="J163" s="110"/>
      <c r="K163" s="84"/>
      <c r="L163" s="84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6"/>
      <c r="AC163" s="6"/>
      <c r="AD163" s="6"/>
      <c r="AN163" s="199"/>
      <c r="AO163" s="254">
        <f t="shared" si="24"/>
        <v>0</v>
      </c>
      <c r="AP163" s="265"/>
      <c r="AQ163" s="254">
        <f t="shared" si="25"/>
        <v>0</v>
      </c>
      <c r="AR163" s="261"/>
      <c r="AS163" s="254">
        <f t="shared" si="26"/>
        <v>0</v>
      </c>
      <c r="AT163" s="256"/>
      <c r="AU163" s="257">
        <f t="shared" si="27"/>
        <v>0</v>
      </c>
      <c r="AV163" s="270"/>
      <c r="AW163" s="257">
        <f t="shared" si="28"/>
        <v>0</v>
      </c>
      <c r="AX163" s="270"/>
      <c r="AY163" s="257">
        <f t="shared" si="29"/>
        <v>0</v>
      </c>
      <c r="AZ163" s="268"/>
      <c r="BA163" s="257">
        <f t="shared" si="30"/>
        <v>0</v>
      </c>
      <c r="BB163" s="59"/>
      <c r="BC163" s="257">
        <f t="shared" si="31"/>
        <v>0</v>
      </c>
      <c r="BD163" s="59"/>
      <c r="BE163" s="257">
        <f t="shared" si="32"/>
        <v>0</v>
      </c>
      <c r="BF163" s="59"/>
      <c r="BG163" s="257">
        <f t="shared" si="33"/>
        <v>0</v>
      </c>
      <c r="BH163" s="59"/>
      <c r="BI163" s="257">
        <f t="shared" si="34"/>
        <v>0</v>
      </c>
      <c r="BJ163" s="59"/>
      <c r="BK163" s="257">
        <f t="shared" si="35"/>
        <v>0</v>
      </c>
    </row>
    <row r="164" spans="1:63" ht="15" hidden="1" customHeight="1">
      <c r="A164" s="250" t="s">
        <v>105</v>
      </c>
      <c r="C164" s="59"/>
      <c r="D164" s="473"/>
      <c r="E164" s="44"/>
      <c r="F164" s="444"/>
      <c r="G164" s="67"/>
      <c r="H164" s="84"/>
      <c r="I164" s="84"/>
      <c r="J164" s="110"/>
      <c r="K164" s="84"/>
      <c r="L164" s="84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6"/>
      <c r="AC164" s="6"/>
      <c r="AD164" s="6"/>
      <c r="AN164" s="199"/>
      <c r="AO164" s="254">
        <f t="shared" si="24"/>
        <v>0</v>
      </c>
      <c r="AP164" s="265"/>
      <c r="AQ164" s="254">
        <f t="shared" si="25"/>
        <v>0</v>
      </c>
      <c r="AR164" s="261"/>
      <c r="AS164" s="254">
        <f t="shared" si="26"/>
        <v>0</v>
      </c>
      <c r="AT164" s="256"/>
      <c r="AU164" s="257">
        <f t="shared" si="27"/>
        <v>0</v>
      </c>
      <c r="AV164" s="270"/>
      <c r="AW164" s="257">
        <f t="shared" si="28"/>
        <v>0</v>
      </c>
      <c r="AX164" s="270"/>
      <c r="AY164" s="257">
        <f t="shared" si="29"/>
        <v>0</v>
      </c>
      <c r="AZ164" s="268"/>
      <c r="BA164" s="257">
        <f t="shared" si="30"/>
        <v>0</v>
      </c>
      <c r="BB164" s="59"/>
      <c r="BC164" s="257">
        <f t="shared" si="31"/>
        <v>0</v>
      </c>
      <c r="BD164" s="59"/>
      <c r="BE164" s="257">
        <f t="shared" si="32"/>
        <v>0</v>
      </c>
      <c r="BF164" s="59"/>
      <c r="BG164" s="257">
        <f t="shared" si="33"/>
        <v>0</v>
      </c>
      <c r="BH164" s="59"/>
      <c r="BI164" s="257">
        <f t="shared" si="34"/>
        <v>0</v>
      </c>
      <c r="BJ164" s="59"/>
      <c r="BK164" s="257">
        <f t="shared" si="35"/>
        <v>0</v>
      </c>
    </row>
    <row r="165" spans="1:63" ht="15" hidden="1" customHeight="1">
      <c r="A165" s="250" t="s">
        <v>105</v>
      </c>
      <c r="C165" s="59"/>
      <c r="D165" s="473"/>
      <c r="E165" s="44"/>
      <c r="F165" s="444"/>
      <c r="G165" s="67"/>
      <c r="H165" s="84"/>
      <c r="I165" s="84"/>
      <c r="J165" s="110"/>
      <c r="K165" s="84"/>
      <c r="L165" s="84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6"/>
      <c r="AC165" s="6"/>
      <c r="AD165" s="6"/>
      <c r="AN165" s="199"/>
      <c r="AO165" s="254">
        <f t="shared" si="24"/>
        <v>0</v>
      </c>
      <c r="AP165" s="265"/>
      <c r="AQ165" s="254">
        <f t="shared" si="25"/>
        <v>0</v>
      </c>
      <c r="AR165" s="261"/>
      <c r="AS165" s="254">
        <f t="shared" si="26"/>
        <v>0</v>
      </c>
      <c r="AT165" s="256"/>
      <c r="AU165" s="257">
        <f t="shared" si="27"/>
        <v>0</v>
      </c>
      <c r="AV165" s="270"/>
      <c r="AW165" s="257">
        <f t="shared" si="28"/>
        <v>0</v>
      </c>
      <c r="AX165" s="270"/>
      <c r="AY165" s="257">
        <f t="shared" si="29"/>
        <v>0</v>
      </c>
      <c r="AZ165" s="268"/>
      <c r="BA165" s="257">
        <f t="shared" si="30"/>
        <v>0</v>
      </c>
      <c r="BB165" s="59"/>
      <c r="BC165" s="257">
        <f t="shared" si="31"/>
        <v>0</v>
      </c>
      <c r="BD165" s="59"/>
      <c r="BE165" s="257">
        <f t="shared" si="32"/>
        <v>0</v>
      </c>
      <c r="BF165" s="59"/>
      <c r="BG165" s="257">
        <f t="shared" si="33"/>
        <v>0</v>
      </c>
      <c r="BH165" s="59"/>
      <c r="BI165" s="257">
        <f t="shared" si="34"/>
        <v>0</v>
      </c>
      <c r="BJ165" s="59"/>
      <c r="BK165" s="257">
        <f t="shared" si="35"/>
        <v>0</v>
      </c>
    </row>
    <row r="166" spans="1:63" ht="16.5" hidden="1" customHeight="1">
      <c r="A166" s="250" t="s">
        <v>105</v>
      </c>
      <c r="C166" s="59"/>
      <c r="D166" s="473"/>
      <c r="E166" s="44"/>
      <c r="F166" s="444"/>
      <c r="G166" s="67"/>
      <c r="H166" s="84"/>
      <c r="I166" s="84"/>
      <c r="J166" s="110"/>
      <c r="K166" s="84"/>
      <c r="L166" s="84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6"/>
      <c r="AC166" s="6"/>
      <c r="AD166" s="6"/>
      <c r="AN166" s="168"/>
      <c r="AO166" s="254">
        <f t="shared" si="24"/>
        <v>0</v>
      </c>
      <c r="AP166" s="264"/>
      <c r="AQ166" s="254">
        <f t="shared" si="25"/>
        <v>0</v>
      </c>
      <c r="AR166" s="261"/>
      <c r="AS166" s="254">
        <f t="shared" si="26"/>
        <v>0</v>
      </c>
      <c r="AT166" s="256"/>
      <c r="AU166" s="257">
        <f t="shared" si="27"/>
        <v>0</v>
      </c>
      <c r="AV166" s="270"/>
      <c r="AW166" s="257">
        <f t="shared" si="28"/>
        <v>0</v>
      </c>
      <c r="AX166" s="270"/>
      <c r="AY166" s="257">
        <f t="shared" si="29"/>
        <v>0</v>
      </c>
      <c r="AZ166" s="268"/>
      <c r="BA166" s="257">
        <f t="shared" si="30"/>
        <v>0</v>
      </c>
      <c r="BB166" s="59"/>
      <c r="BC166" s="257">
        <f t="shared" si="31"/>
        <v>0</v>
      </c>
      <c r="BD166" s="59"/>
      <c r="BE166" s="257">
        <f t="shared" si="32"/>
        <v>0</v>
      </c>
      <c r="BF166" s="59"/>
      <c r="BG166" s="257">
        <f t="shared" si="33"/>
        <v>0</v>
      </c>
      <c r="BH166" s="59"/>
      <c r="BI166" s="257">
        <f t="shared" si="34"/>
        <v>0</v>
      </c>
      <c r="BJ166" s="59"/>
      <c r="BK166" s="257">
        <f t="shared" si="35"/>
        <v>0</v>
      </c>
    </row>
    <row r="167" spans="1:63" ht="16.5" hidden="1" customHeight="1" thickBot="1">
      <c r="A167" s="250" t="s">
        <v>105</v>
      </c>
      <c r="C167" s="59"/>
      <c r="D167" s="473"/>
      <c r="E167" s="44"/>
      <c r="F167" s="445"/>
      <c r="G167" s="75"/>
      <c r="H167" s="86"/>
      <c r="I167" s="84"/>
      <c r="J167" s="110"/>
      <c r="K167" s="84"/>
      <c r="L167" s="84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6"/>
      <c r="AC167" s="6"/>
      <c r="AD167" s="6"/>
      <c r="AN167" s="166"/>
      <c r="AO167" s="254">
        <f t="shared" si="24"/>
        <v>0</v>
      </c>
      <c r="AP167" s="264"/>
      <c r="AQ167" s="254">
        <f t="shared" si="25"/>
        <v>0</v>
      </c>
      <c r="AR167" s="261"/>
      <c r="AS167" s="254">
        <f t="shared" si="26"/>
        <v>0</v>
      </c>
      <c r="AT167" s="256"/>
      <c r="AU167" s="257">
        <f t="shared" si="27"/>
        <v>0</v>
      </c>
      <c r="AV167" s="270"/>
      <c r="AW167" s="257">
        <f t="shared" si="28"/>
        <v>0</v>
      </c>
      <c r="AX167" s="270"/>
      <c r="AY167" s="257">
        <f t="shared" si="29"/>
        <v>0</v>
      </c>
      <c r="AZ167" s="268"/>
      <c r="BA167" s="257">
        <f t="shared" si="30"/>
        <v>0</v>
      </c>
      <c r="BB167" s="59"/>
      <c r="BC167" s="257">
        <f t="shared" si="31"/>
        <v>0</v>
      </c>
      <c r="BD167" s="59"/>
      <c r="BE167" s="257">
        <f t="shared" si="32"/>
        <v>0</v>
      </c>
      <c r="BF167" s="59"/>
      <c r="BG167" s="257">
        <f t="shared" si="33"/>
        <v>0</v>
      </c>
      <c r="BH167" s="59"/>
      <c r="BI167" s="257">
        <f t="shared" si="34"/>
        <v>0</v>
      </c>
      <c r="BJ167" s="59"/>
      <c r="BK167" s="257">
        <f t="shared" si="35"/>
        <v>0</v>
      </c>
    </row>
    <row r="168" spans="1:63" ht="15" customHeight="1">
      <c r="A168" s="250" t="s">
        <v>105</v>
      </c>
      <c r="C168" s="59"/>
      <c r="D168" s="473"/>
      <c r="E168" s="39"/>
      <c r="F168" s="459" t="s">
        <v>77</v>
      </c>
      <c r="G168" s="65"/>
      <c r="H168" s="77"/>
      <c r="I168" s="125"/>
      <c r="J168" s="128"/>
      <c r="K168" s="131"/>
      <c r="L168" s="122"/>
      <c r="M168" s="120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173"/>
      <c r="AC168" s="173"/>
      <c r="AD168" s="173"/>
      <c r="AE168" s="176"/>
      <c r="AF168" s="176"/>
      <c r="AG168" s="176"/>
      <c r="AH168" s="176"/>
      <c r="AI168" s="176"/>
      <c r="AJ168" s="176"/>
      <c r="AK168" s="176"/>
      <c r="AL168" s="176"/>
      <c r="AM168" s="176"/>
      <c r="AN168" s="168"/>
      <c r="AO168" s="254">
        <f t="shared" si="24"/>
        <v>0</v>
      </c>
      <c r="AP168" s="255"/>
      <c r="AQ168" s="254">
        <f t="shared" si="25"/>
        <v>0</v>
      </c>
      <c r="AR168" s="255"/>
      <c r="AS168" s="254">
        <f t="shared" si="26"/>
        <v>0</v>
      </c>
      <c r="AT168" s="256"/>
      <c r="AU168" s="257">
        <f t="shared" si="27"/>
        <v>0</v>
      </c>
      <c r="AV168" s="270"/>
      <c r="AW168" s="257">
        <f t="shared" si="28"/>
        <v>0</v>
      </c>
      <c r="AX168" s="270"/>
      <c r="AY168" s="257">
        <f t="shared" si="29"/>
        <v>0</v>
      </c>
      <c r="AZ168" s="268"/>
      <c r="BA168" s="257">
        <f t="shared" si="30"/>
        <v>0</v>
      </c>
      <c r="BB168" s="59"/>
      <c r="BC168" s="257">
        <f t="shared" si="31"/>
        <v>0</v>
      </c>
      <c r="BD168" s="59"/>
      <c r="BE168" s="257">
        <f t="shared" si="32"/>
        <v>0</v>
      </c>
      <c r="BF168" s="59"/>
      <c r="BG168" s="257">
        <f t="shared" si="33"/>
        <v>0</v>
      </c>
      <c r="BH168" s="59"/>
      <c r="BI168" s="257">
        <f t="shared" si="34"/>
        <v>0</v>
      </c>
      <c r="BJ168" s="59"/>
      <c r="BK168" s="257">
        <f t="shared" si="35"/>
        <v>0</v>
      </c>
    </row>
    <row r="169" spans="1:63" ht="15.75" customHeight="1">
      <c r="A169" s="250" t="s">
        <v>105</v>
      </c>
      <c r="C169" s="59"/>
      <c r="D169" s="473"/>
      <c r="E169" s="39"/>
      <c r="F169" s="460"/>
      <c r="G169" s="67"/>
      <c r="H169" s="88"/>
      <c r="I169" s="126"/>
      <c r="J169" s="129"/>
      <c r="K169" s="132"/>
      <c r="L169" s="123"/>
      <c r="M169" s="1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6"/>
      <c r="AC169" s="6"/>
      <c r="AD169" s="6"/>
      <c r="AN169" s="168"/>
      <c r="AO169" s="254">
        <f t="shared" si="24"/>
        <v>0</v>
      </c>
      <c r="AP169" s="255"/>
      <c r="AQ169" s="254">
        <f t="shared" si="25"/>
        <v>0</v>
      </c>
      <c r="AR169" s="261"/>
      <c r="AS169" s="254">
        <f t="shared" si="26"/>
        <v>0</v>
      </c>
      <c r="AT169" s="256"/>
      <c r="AU169" s="257">
        <f t="shared" si="27"/>
        <v>0</v>
      </c>
      <c r="AV169" s="270"/>
      <c r="AW169" s="257">
        <f t="shared" si="28"/>
        <v>0</v>
      </c>
      <c r="AX169" s="270"/>
      <c r="AY169" s="257">
        <f t="shared" si="29"/>
        <v>0</v>
      </c>
      <c r="AZ169" s="268"/>
      <c r="BA169" s="257">
        <f t="shared" si="30"/>
        <v>0</v>
      </c>
      <c r="BB169" s="59"/>
      <c r="BC169" s="257">
        <f t="shared" si="31"/>
        <v>0</v>
      </c>
      <c r="BD169" s="59"/>
      <c r="BE169" s="257">
        <f t="shared" si="32"/>
        <v>0</v>
      </c>
      <c r="BF169" s="59"/>
      <c r="BG169" s="257">
        <f t="shared" si="33"/>
        <v>0</v>
      </c>
      <c r="BH169" s="59"/>
      <c r="BI169" s="257">
        <f t="shared" si="34"/>
        <v>0</v>
      </c>
      <c r="BJ169" s="59"/>
      <c r="BK169" s="257">
        <f t="shared" si="35"/>
        <v>0</v>
      </c>
    </row>
    <row r="170" spans="1:63" ht="15.75" customHeight="1" thickBot="1">
      <c r="A170" s="250" t="s">
        <v>105</v>
      </c>
      <c r="C170" s="59"/>
      <c r="D170" s="473"/>
      <c r="E170" s="39"/>
      <c r="F170" s="461"/>
      <c r="G170" s="75"/>
      <c r="H170" s="89"/>
      <c r="I170" s="127"/>
      <c r="J170" s="130"/>
      <c r="K170" s="133"/>
      <c r="L170" s="124"/>
      <c r="M170" s="1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4"/>
      <c r="AB170" s="6"/>
      <c r="AC170" s="6"/>
      <c r="AD170" s="6"/>
      <c r="AE170" s="78"/>
      <c r="AF170" s="78"/>
      <c r="AG170" s="78"/>
      <c r="AH170" s="78"/>
      <c r="AI170" s="78"/>
      <c r="AJ170" s="78"/>
      <c r="AK170" s="78"/>
      <c r="AL170" s="78"/>
      <c r="AM170" s="78"/>
      <c r="AN170" s="166"/>
      <c r="AO170" s="254">
        <f t="shared" si="24"/>
        <v>0</v>
      </c>
      <c r="AP170" s="255"/>
      <c r="AQ170" s="254">
        <f t="shared" si="25"/>
        <v>0</v>
      </c>
      <c r="AR170" s="261"/>
      <c r="AS170" s="254">
        <f t="shared" si="26"/>
        <v>0</v>
      </c>
      <c r="AT170" s="256"/>
      <c r="AU170" s="257">
        <f t="shared" si="27"/>
        <v>0</v>
      </c>
      <c r="AV170" s="270"/>
      <c r="AW170" s="257">
        <f t="shared" si="28"/>
        <v>0</v>
      </c>
      <c r="AX170" s="270"/>
      <c r="AY170" s="257">
        <f t="shared" si="29"/>
        <v>0</v>
      </c>
      <c r="AZ170" s="268"/>
      <c r="BA170" s="257">
        <f t="shared" si="30"/>
        <v>0</v>
      </c>
      <c r="BB170" s="59"/>
      <c r="BC170" s="257">
        <f t="shared" si="31"/>
        <v>0</v>
      </c>
      <c r="BD170" s="59"/>
      <c r="BE170" s="257">
        <f t="shared" si="32"/>
        <v>0</v>
      </c>
      <c r="BF170" s="59"/>
      <c r="BG170" s="257">
        <f t="shared" si="33"/>
        <v>0</v>
      </c>
      <c r="BH170" s="59"/>
      <c r="BI170" s="257">
        <f t="shared" si="34"/>
        <v>0</v>
      </c>
      <c r="BJ170" s="59"/>
      <c r="BK170" s="257">
        <f t="shared" si="35"/>
        <v>0</v>
      </c>
    </row>
    <row r="171" spans="1:63" ht="21" customHeight="1">
      <c r="A171" s="250" t="s">
        <v>105</v>
      </c>
      <c r="B171" s="59" t="s">
        <v>221</v>
      </c>
      <c r="C171" s="59" t="s">
        <v>172</v>
      </c>
      <c r="D171" s="473"/>
      <c r="E171" s="39" t="s">
        <v>173</v>
      </c>
      <c r="F171" s="453" t="s">
        <v>267</v>
      </c>
      <c r="G171" s="172">
        <v>2021</v>
      </c>
      <c r="H171" s="203" t="s">
        <v>268</v>
      </c>
      <c r="I171" s="188" t="s">
        <v>183</v>
      </c>
      <c r="J171" s="187">
        <v>17</v>
      </c>
      <c r="K171" s="203" t="s">
        <v>208</v>
      </c>
      <c r="L171" s="77" t="s">
        <v>177</v>
      </c>
      <c r="M171" s="25" t="s">
        <v>204</v>
      </c>
      <c r="N171" s="25">
        <v>14.45</v>
      </c>
      <c r="O171" s="25">
        <v>14.45</v>
      </c>
      <c r="P171" s="25">
        <v>14.45</v>
      </c>
      <c r="Q171" s="25">
        <v>14.45</v>
      </c>
      <c r="R171" s="25">
        <v>14.45</v>
      </c>
      <c r="S171" s="25">
        <v>14.45</v>
      </c>
      <c r="T171" s="25">
        <v>14.45</v>
      </c>
      <c r="U171" s="25">
        <v>14.45</v>
      </c>
      <c r="V171" s="25">
        <v>14.45</v>
      </c>
      <c r="W171" s="25">
        <v>14.45</v>
      </c>
      <c r="X171" s="25">
        <v>14.45</v>
      </c>
      <c r="Y171" s="25">
        <v>14.45</v>
      </c>
      <c r="Z171" s="25">
        <v>14.45</v>
      </c>
      <c r="AA171" s="25">
        <v>5.5</v>
      </c>
      <c r="AB171" s="173">
        <v>5.5</v>
      </c>
      <c r="AC171" s="173">
        <v>5.5</v>
      </c>
      <c r="AD171" s="173">
        <v>5.5</v>
      </c>
      <c r="AE171" s="6">
        <v>5.5</v>
      </c>
      <c r="AF171" s="6">
        <v>5.5</v>
      </c>
      <c r="AG171" s="6">
        <v>5.5</v>
      </c>
      <c r="AH171" s="6">
        <v>5.5</v>
      </c>
      <c r="AI171" s="6">
        <v>5.5</v>
      </c>
      <c r="AJ171" s="6">
        <v>5.5</v>
      </c>
      <c r="AK171" s="6">
        <v>5.5</v>
      </c>
      <c r="AL171" s="6">
        <v>5.5</v>
      </c>
      <c r="AM171" s="6">
        <v>5.5</v>
      </c>
      <c r="AN171" s="174">
        <v>400</v>
      </c>
      <c r="AO171" s="254">
        <f t="shared" si="24"/>
        <v>2200</v>
      </c>
      <c r="AP171" s="255">
        <v>1280</v>
      </c>
      <c r="AQ171" s="254">
        <f t="shared" si="25"/>
        <v>7040</v>
      </c>
      <c r="AR171" s="255">
        <v>1240</v>
      </c>
      <c r="AS171" s="254">
        <f t="shared" si="26"/>
        <v>6820</v>
      </c>
      <c r="AT171" s="256">
        <v>960</v>
      </c>
      <c r="AU171" s="257">
        <f t="shared" si="27"/>
        <v>5280</v>
      </c>
      <c r="AV171" s="255">
        <v>1080</v>
      </c>
      <c r="AW171" s="257">
        <f t="shared" si="28"/>
        <v>5940</v>
      </c>
      <c r="AX171" s="255">
        <v>1200</v>
      </c>
      <c r="AY171" s="257">
        <f t="shared" si="29"/>
        <v>6600</v>
      </c>
      <c r="AZ171" s="255">
        <v>80</v>
      </c>
      <c r="BA171" s="257">
        <f t="shared" si="30"/>
        <v>440</v>
      </c>
      <c r="BB171" s="255"/>
      <c r="BC171" s="257">
        <f t="shared" si="31"/>
        <v>0</v>
      </c>
      <c r="BD171" s="255">
        <v>80</v>
      </c>
      <c r="BE171" s="257">
        <f t="shared" si="32"/>
        <v>440</v>
      </c>
      <c r="BF171" s="59"/>
      <c r="BG171" s="257">
        <f t="shared" si="33"/>
        <v>0</v>
      </c>
      <c r="BH171" s="59"/>
      <c r="BI171" s="257">
        <f t="shared" si="34"/>
        <v>0</v>
      </c>
      <c r="BJ171" s="59"/>
      <c r="BK171" s="257">
        <f t="shared" si="35"/>
        <v>0</v>
      </c>
    </row>
    <row r="172" spans="1:63" ht="15.75" customHeight="1">
      <c r="A172" s="250" t="s">
        <v>105</v>
      </c>
      <c r="B172" s="59" t="s">
        <v>221</v>
      </c>
      <c r="C172" s="59" t="s">
        <v>172</v>
      </c>
      <c r="D172" s="473"/>
      <c r="E172" s="39" t="s">
        <v>173</v>
      </c>
      <c r="F172" s="454"/>
      <c r="G172" s="172">
        <v>2021</v>
      </c>
      <c r="H172" s="203" t="s">
        <v>269</v>
      </c>
      <c r="I172" s="188" t="s">
        <v>183</v>
      </c>
      <c r="J172" s="187">
        <v>15</v>
      </c>
      <c r="K172" s="203" t="s">
        <v>270</v>
      </c>
      <c r="L172" s="201" t="s">
        <v>177</v>
      </c>
      <c r="M172" s="21" t="s">
        <v>204</v>
      </c>
      <c r="N172" s="21">
        <v>16.2</v>
      </c>
      <c r="O172" s="21">
        <v>16.2</v>
      </c>
      <c r="P172" s="21">
        <v>16.2</v>
      </c>
      <c r="Q172" s="21">
        <v>16.2</v>
      </c>
      <c r="R172" s="21">
        <v>16.2</v>
      </c>
      <c r="S172" s="21">
        <v>16.2</v>
      </c>
      <c r="T172" s="21">
        <v>16.2</v>
      </c>
      <c r="U172" s="21">
        <v>16.2</v>
      </c>
      <c r="V172" s="21">
        <v>16.2</v>
      </c>
      <c r="W172" s="21">
        <v>16.2</v>
      </c>
      <c r="X172" s="21">
        <v>16.2</v>
      </c>
      <c r="Y172" s="21">
        <v>16.2</v>
      </c>
      <c r="Z172" s="21">
        <v>16.2</v>
      </c>
      <c r="AA172" s="21">
        <v>5.5</v>
      </c>
      <c r="AB172" s="6">
        <v>5.5</v>
      </c>
      <c r="AC172" s="6">
        <v>5.5</v>
      </c>
      <c r="AD172" s="6">
        <v>5.5</v>
      </c>
      <c r="AE172" s="6">
        <v>5.5</v>
      </c>
      <c r="AF172" s="6">
        <v>5.5</v>
      </c>
      <c r="AG172" s="6">
        <v>5.5</v>
      </c>
      <c r="AH172" s="6">
        <v>5.5</v>
      </c>
      <c r="AI172" s="6">
        <v>5.5</v>
      </c>
      <c r="AJ172" s="6">
        <v>5.5</v>
      </c>
      <c r="AK172" s="6">
        <v>5.5</v>
      </c>
      <c r="AL172" s="6">
        <v>5.5</v>
      </c>
      <c r="AM172" s="6">
        <v>5.5</v>
      </c>
      <c r="AN172" s="200"/>
      <c r="AO172" s="254">
        <f t="shared" si="24"/>
        <v>0</v>
      </c>
      <c r="AP172" s="263"/>
      <c r="AQ172" s="254">
        <f t="shared" si="25"/>
        <v>0</v>
      </c>
      <c r="AR172" s="265"/>
      <c r="AS172" s="254">
        <f t="shared" si="26"/>
        <v>0</v>
      </c>
      <c r="AT172" s="256"/>
      <c r="AU172" s="257">
        <f t="shared" si="27"/>
        <v>0</v>
      </c>
      <c r="AV172" s="263"/>
      <c r="AW172" s="257">
        <f t="shared" si="28"/>
        <v>0</v>
      </c>
      <c r="AX172" s="265"/>
      <c r="AY172" s="257">
        <f t="shared" si="29"/>
        <v>0</v>
      </c>
      <c r="AZ172" s="263"/>
      <c r="BA172" s="257">
        <f t="shared" si="30"/>
        <v>0</v>
      </c>
      <c r="BB172" s="263"/>
      <c r="BC172" s="257">
        <f t="shared" si="31"/>
        <v>0</v>
      </c>
      <c r="BD172" s="265"/>
      <c r="BE172" s="257">
        <f t="shared" si="32"/>
        <v>0</v>
      </c>
      <c r="BF172" s="59"/>
      <c r="BG172" s="257">
        <f t="shared" si="33"/>
        <v>0</v>
      </c>
      <c r="BH172" s="59"/>
      <c r="BI172" s="257">
        <f t="shared" si="34"/>
        <v>0</v>
      </c>
      <c r="BJ172" s="59"/>
      <c r="BK172" s="257">
        <f t="shared" si="35"/>
        <v>0</v>
      </c>
    </row>
    <row r="173" spans="1:63" ht="15.75" customHeight="1">
      <c r="A173" s="250" t="s">
        <v>105</v>
      </c>
      <c r="B173" s="59" t="s">
        <v>221</v>
      </c>
      <c r="C173" s="59" t="s">
        <v>172</v>
      </c>
      <c r="D173" s="473"/>
      <c r="E173" s="39" t="s">
        <v>173</v>
      </c>
      <c r="F173" s="454"/>
      <c r="G173" s="172">
        <v>2021</v>
      </c>
      <c r="H173" s="203" t="s">
        <v>269</v>
      </c>
      <c r="I173" s="188" t="s">
        <v>183</v>
      </c>
      <c r="J173" s="187">
        <v>15</v>
      </c>
      <c r="K173" s="203" t="s">
        <v>208</v>
      </c>
      <c r="L173" s="201" t="s">
        <v>177</v>
      </c>
      <c r="M173" s="21" t="s">
        <v>204</v>
      </c>
      <c r="N173" s="21">
        <v>15.5</v>
      </c>
      <c r="O173" s="21">
        <v>15.5</v>
      </c>
      <c r="P173" s="21">
        <v>15.5</v>
      </c>
      <c r="Q173" s="21">
        <v>15.5</v>
      </c>
      <c r="R173" s="21">
        <v>15.5</v>
      </c>
      <c r="S173" s="21">
        <v>15.5</v>
      </c>
      <c r="T173" s="21">
        <v>15.5</v>
      </c>
      <c r="U173" s="21">
        <v>15.5</v>
      </c>
      <c r="V173" s="21">
        <v>15.5</v>
      </c>
      <c r="W173" s="21">
        <v>15.5</v>
      </c>
      <c r="X173" s="21">
        <v>15.5</v>
      </c>
      <c r="Y173" s="21">
        <v>15.5</v>
      </c>
      <c r="Z173" s="21">
        <v>15.5</v>
      </c>
      <c r="AA173" s="21">
        <v>5</v>
      </c>
      <c r="AB173" s="6">
        <v>5</v>
      </c>
      <c r="AC173" s="6">
        <v>5</v>
      </c>
      <c r="AD173" s="6">
        <v>5</v>
      </c>
      <c r="AE173" s="6">
        <v>5</v>
      </c>
      <c r="AF173" s="6">
        <v>5</v>
      </c>
      <c r="AG173" s="6">
        <v>5</v>
      </c>
      <c r="AH173" s="6">
        <v>5</v>
      </c>
      <c r="AI173" s="6">
        <v>5</v>
      </c>
      <c r="AJ173" s="6">
        <v>5</v>
      </c>
      <c r="AK173" s="6">
        <v>5</v>
      </c>
      <c r="AL173" s="6">
        <v>5</v>
      </c>
      <c r="AM173" s="6">
        <v>5</v>
      </c>
      <c r="AN173" s="200">
        <v>150</v>
      </c>
      <c r="AO173" s="254">
        <f t="shared" si="24"/>
        <v>750</v>
      </c>
      <c r="AP173" s="263"/>
      <c r="AQ173" s="254">
        <f t="shared" si="25"/>
        <v>0</v>
      </c>
      <c r="AR173" s="265"/>
      <c r="AS173" s="254">
        <f t="shared" si="26"/>
        <v>0</v>
      </c>
      <c r="AT173" s="256"/>
      <c r="AU173" s="257">
        <f t="shared" si="27"/>
        <v>0</v>
      </c>
      <c r="AV173" s="263"/>
      <c r="AW173" s="257">
        <f t="shared" si="28"/>
        <v>0</v>
      </c>
      <c r="AX173" s="265"/>
      <c r="AY173" s="257">
        <f t="shared" si="29"/>
        <v>0</v>
      </c>
      <c r="AZ173" s="263"/>
      <c r="BA173" s="257">
        <f t="shared" si="30"/>
        <v>0</v>
      </c>
      <c r="BB173" s="263"/>
      <c r="BC173" s="257">
        <f t="shared" si="31"/>
        <v>0</v>
      </c>
      <c r="BD173" s="265"/>
      <c r="BE173" s="257">
        <f t="shared" si="32"/>
        <v>0</v>
      </c>
      <c r="BF173" s="59"/>
      <c r="BG173" s="257">
        <f t="shared" si="33"/>
        <v>0</v>
      </c>
      <c r="BH173" s="59"/>
      <c r="BI173" s="257">
        <f t="shared" si="34"/>
        <v>0</v>
      </c>
      <c r="BJ173" s="59"/>
      <c r="BK173" s="257">
        <f t="shared" si="35"/>
        <v>0</v>
      </c>
    </row>
    <row r="174" spans="1:63" ht="15.75" customHeight="1">
      <c r="A174" s="250" t="s">
        <v>105</v>
      </c>
      <c r="B174" s="59" t="s">
        <v>221</v>
      </c>
      <c r="C174" s="59" t="s">
        <v>172</v>
      </c>
      <c r="D174" s="473"/>
      <c r="E174" s="39" t="s">
        <v>173</v>
      </c>
      <c r="F174" s="454"/>
      <c r="G174" s="202">
        <v>2022</v>
      </c>
      <c r="H174" s="203" t="s">
        <v>271</v>
      </c>
      <c r="I174" s="188" t="s">
        <v>183</v>
      </c>
      <c r="J174" s="187">
        <v>15</v>
      </c>
      <c r="K174" s="203" t="s">
        <v>262</v>
      </c>
      <c r="L174" s="201" t="s">
        <v>185</v>
      </c>
      <c r="M174" s="21" t="s">
        <v>186</v>
      </c>
      <c r="N174" s="21">
        <v>14.4</v>
      </c>
      <c r="O174" s="21">
        <v>14.4</v>
      </c>
      <c r="P174" s="21">
        <v>14.4</v>
      </c>
      <c r="Q174" s="21">
        <v>14.4</v>
      </c>
      <c r="R174" s="21">
        <v>14.4</v>
      </c>
      <c r="S174" s="21">
        <v>14.4</v>
      </c>
      <c r="T174" s="21">
        <v>14.4</v>
      </c>
      <c r="U174" s="21">
        <v>14.4</v>
      </c>
      <c r="V174" s="21">
        <v>14.4</v>
      </c>
      <c r="W174" s="21">
        <v>14.4</v>
      </c>
      <c r="X174" s="21">
        <v>14.4</v>
      </c>
      <c r="Y174" s="21">
        <v>14.4</v>
      </c>
      <c r="Z174" s="21">
        <v>14.4</v>
      </c>
      <c r="AA174" s="21">
        <v>2.2000000000000002</v>
      </c>
      <c r="AB174" s="6">
        <v>2.2000000000000002</v>
      </c>
      <c r="AC174" s="6">
        <v>2.2000000000000002</v>
      </c>
      <c r="AD174" s="6">
        <v>3.5</v>
      </c>
      <c r="AE174" s="1">
        <v>3.5</v>
      </c>
      <c r="AF174" s="6">
        <v>3.5</v>
      </c>
      <c r="AG174" s="6">
        <v>3.5</v>
      </c>
      <c r="AH174" s="6">
        <v>4</v>
      </c>
      <c r="AI174" s="6">
        <v>4</v>
      </c>
      <c r="AJ174" s="6">
        <v>4</v>
      </c>
      <c r="AK174" s="6">
        <v>4</v>
      </c>
      <c r="AL174" s="6">
        <v>4</v>
      </c>
      <c r="AM174" s="6">
        <v>4</v>
      </c>
      <c r="AN174" s="200">
        <v>13748</v>
      </c>
      <c r="AO174" s="254">
        <f t="shared" si="24"/>
        <v>30245.600000000002</v>
      </c>
      <c r="AP174" s="263">
        <v>4380</v>
      </c>
      <c r="AQ174" s="254">
        <f t="shared" si="25"/>
        <v>9636</v>
      </c>
      <c r="AR174" s="265">
        <v>11513</v>
      </c>
      <c r="AS174" s="254">
        <f t="shared" si="26"/>
        <v>40295.5</v>
      </c>
      <c r="AT174" s="256">
        <v>7120</v>
      </c>
      <c r="AU174" s="257">
        <f t="shared" si="27"/>
        <v>24920</v>
      </c>
      <c r="AV174" s="263">
        <v>2511</v>
      </c>
      <c r="AW174" s="257">
        <f t="shared" si="28"/>
        <v>8788.5</v>
      </c>
      <c r="AX174" s="265">
        <v>477</v>
      </c>
      <c r="AY174" s="257">
        <f t="shared" si="29"/>
        <v>1669.5</v>
      </c>
      <c r="AZ174" s="263">
        <v>480</v>
      </c>
      <c r="BA174" s="257">
        <f t="shared" si="30"/>
        <v>1920</v>
      </c>
      <c r="BB174" s="263">
        <v>597</v>
      </c>
      <c r="BC174" s="257">
        <f t="shared" si="31"/>
        <v>2388</v>
      </c>
      <c r="BD174" s="265">
        <v>400</v>
      </c>
      <c r="BE174" s="257">
        <f t="shared" si="32"/>
        <v>1600</v>
      </c>
      <c r="BF174" s="256">
        <v>200</v>
      </c>
      <c r="BG174" s="257">
        <f t="shared" si="33"/>
        <v>800</v>
      </c>
      <c r="BH174" s="59"/>
      <c r="BI174" s="257">
        <f t="shared" si="34"/>
        <v>0</v>
      </c>
      <c r="BJ174" s="59"/>
      <c r="BK174" s="257">
        <f t="shared" si="35"/>
        <v>0</v>
      </c>
    </row>
    <row r="175" spans="1:63" ht="15.75" customHeight="1">
      <c r="A175" s="250" t="s">
        <v>105</v>
      </c>
      <c r="B175" s="59" t="s">
        <v>221</v>
      </c>
      <c r="C175" s="59" t="s">
        <v>172</v>
      </c>
      <c r="D175" s="473"/>
      <c r="E175" s="39"/>
      <c r="F175" s="454"/>
      <c r="G175" s="202">
        <v>2023</v>
      </c>
      <c r="H175" s="201" t="s">
        <v>272</v>
      </c>
      <c r="I175" s="188" t="s">
        <v>183</v>
      </c>
      <c r="J175" s="187">
        <v>15</v>
      </c>
      <c r="K175" s="201" t="s">
        <v>243</v>
      </c>
      <c r="L175" s="201" t="s">
        <v>185</v>
      </c>
      <c r="M175" s="21" t="s">
        <v>186</v>
      </c>
      <c r="N175" s="21">
        <v>16.100000000000001</v>
      </c>
      <c r="O175" s="21">
        <v>16.100000000000001</v>
      </c>
      <c r="P175" s="21">
        <v>16.100000000000001</v>
      </c>
      <c r="Q175" s="21">
        <v>16.100000000000001</v>
      </c>
      <c r="R175" s="21">
        <v>16.100000000000001</v>
      </c>
      <c r="S175" s="21">
        <v>16.100000000000001</v>
      </c>
      <c r="T175" s="21">
        <v>16.100000000000001</v>
      </c>
      <c r="U175" s="21">
        <v>16.100000000000001</v>
      </c>
      <c r="V175" s="21">
        <v>16.100000000000001</v>
      </c>
      <c r="W175" s="21">
        <v>16.100000000000001</v>
      </c>
      <c r="X175" s="21">
        <v>16.100000000000001</v>
      </c>
      <c r="Y175" s="21">
        <v>16.100000000000001</v>
      </c>
      <c r="Z175" s="21">
        <v>16.100000000000001</v>
      </c>
      <c r="AA175" s="21">
        <v>0</v>
      </c>
      <c r="AB175" s="6">
        <v>0</v>
      </c>
      <c r="AC175" s="6">
        <v>0</v>
      </c>
      <c r="AD175" s="6">
        <v>0</v>
      </c>
      <c r="AE175" s="1">
        <v>1.5</v>
      </c>
      <c r="AF175" s="1">
        <v>1.5</v>
      </c>
      <c r="AG175" s="1">
        <v>1.5</v>
      </c>
      <c r="AH175" s="1">
        <v>1.5</v>
      </c>
      <c r="AI175" s="1">
        <v>1.5</v>
      </c>
      <c r="AJ175" s="1">
        <v>1.5</v>
      </c>
      <c r="AK175" s="1">
        <v>1.5</v>
      </c>
      <c r="AL175" s="1">
        <v>1.5</v>
      </c>
      <c r="AM175" s="1">
        <v>1.5</v>
      </c>
      <c r="AN175" s="200"/>
      <c r="AO175" s="254">
        <f t="shared" si="24"/>
        <v>0</v>
      </c>
      <c r="AP175" s="263"/>
      <c r="AQ175" s="254">
        <f t="shared" si="25"/>
        <v>0</v>
      </c>
      <c r="AR175" s="265"/>
      <c r="AS175" s="254">
        <f t="shared" si="26"/>
        <v>0</v>
      </c>
      <c r="AT175" s="256"/>
      <c r="AU175" s="257">
        <f t="shared" si="27"/>
        <v>0</v>
      </c>
      <c r="AV175" s="270">
        <v>50</v>
      </c>
      <c r="AW175" s="257">
        <f t="shared" si="28"/>
        <v>75</v>
      </c>
      <c r="AX175" s="270">
        <v>11280</v>
      </c>
      <c r="AY175" s="257">
        <f t="shared" si="29"/>
        <v>16920</v>
      </c>
      <c r="AZ175" s="268">
        <v>27853</v>
      </c>
      <c r="BA175" s="257">
        <f t="shared" si="30"/>
        <v>41779.5</v>
      </c>
      <c r="BB175" s="268">
        <v>20575</v>
      </c>
      <c r="BC175" s="257">
        <f t="shared" si="31"/>
        <v>30862.5</v>
      </c>
      <c r="BD175" s="268">
        <v>14885</v>
      </c>
      <c r="BE175" s="257">
        <f t="shared" si="32"/>
        <v>22327.5</v>
      </c>
      <c r="BF175" s="268">
        <v>17129</v>
      </c>
      <c r="BG175" s="257">
        <f t="shared" si="33"/>
        <v>25693.5</v>
      </c>
      <c r="BH175" s="268">
        <v>16755</v>
      </c>
      <c r="BI175" s="257">
        <f t="shared" si="34"/>
        <v>25132.5</v>
      </c>
      <c r="BJ175" s="268">
        <v>6724</v>
      </c>
      <c r="BK175" s="257">
        <f t="shared" si="35"/>
        <v>10086</v>
      </c>
    </row>
    <row r="176" spans="1:63" ht="15.75" customHeight="1" thickBot="1">
      <c r="A176" s="250" t="s">
        <v>105</v>
      </c>
      <c r="B176" s="59" t="s">
        <v>221</v>
      </c>
      <c r="C176" s="59" t="s">
        <v>172</v>
      </c>
      <c r="D176" s="473"/>
      <c r="E176" s="39"/>
      <c r="F176" s="454"/>
      <c r="G176" s="202">
        <v>2023</v>
      </c>
      <c r="H176" s="201" t="s">
        <v>272</v>
      </c>
      <c r="I176" s="188" t="s">
        <v>183</v>
      </c>
      <c r="J176" s="187">
        <v>15</v>
      </c>
      <c r="K176" s="201" t="s">
        <v>273</v>
      </c>
      <c r="L176" s="201" t="s">
        <v>185</v>
      </c>
      <c r="M176" s="21" t="s">
        <v>186</v>
      </c>
      <c r="N176" s="21">
        <v>15.1</v>
      </c>
      <c r="O176" s="21">
        <v>15.1</v>
      </c>
      <c r="P176" s="21">
        <v>15.1</v>
      </c>
      <c r="Q176" s="21">
        <v>15.1</v>
      </c>
      <c r="R176" s="21">
        <v>15.1</v>
      </c>
      <c r="S176" s="21">
        <v>15.1</v>
      </c>
      <c r="T176" s="21">
        <v>15.1</v>
      </c>
      <c r="U176" s="21">
        <v>15.1</v>
      </c>
      <c r="V176" s="21">
        <v>15.1</v>
      </c>
      <c r="W176" s="21">
        <v>15.1</v>
      </c>
      <c r="X176" s="21">
        <v>15.1</v>
      </c>
      <c r="Y176" s="21">
        <v>15.1</v>
      </c>
      <c r="Z176" s="21">
        <v>15.1</v>
      </c>
      <c r="AA176" s="21">
        <v>0</v>
      </c>
      <c r="AB176" s="6">
        <v>0</v>
      </c>
      <c r="AC176" s="6">
        <v>0</v>
      </c>
      <c r="AD176" s="6">
        <v>0</v>
      </c>
      <c r="AE176" s="1">
        <v>1.5</v>
      </c>
      <c r="AF176" s="1">
        <v>1.5</v>
      </c>
      <c r="AG176" s="1">
        <v>1.5</v>
      </c>
      <c r="AH176" s="1">
        <v>1.5</v>
      </c>
      <c r="AI176" s="1">
        <v>1.5</v>
      </c>
      <c r="AJ176" s="1">
        <v>1.5</v>
      </c>
      <c r="AK176" s="1">
        <v>1.5</v>
      </c>
      <c r="AL176" s="1">
        <v>1.5</v>
      </c>
      <c r="AM176" s="1">
        <v>1.5</v>
      </c>
      <c r="AN176" s="200"/>
      <c r="AO176" s="254">
        <f t="shared" si="24"/>
        <v>0</v>
      </c>
      <c r="AP176" s="263"/>
      <c r="AQ176" s="254">
        <f t="shared" si="25"/>
        <v>0</v>
      </c>
      <c r="AR176" s="265"/>
      <c r="AS176" s="254">
        <f t="shared" si="26"/>
        <v>0</v>
      </c>
      <c r="AT176" s="256"/>
      <c r="AU176" s="257">
        <f t="shared" si="27"/>
        <v>0</v>
      </c>
      <c r="AV176" s="270">
        <v>101</v>
      </c>
      <c r="AW176" s="257">
        <f t="shared" si="28"/>
        <v>151.5</v>
      </c>
      <c r="AX176" s="270">
        <v>13920</v>
      </c>
      <c r="AY176" s="257">
        <f t="shared" si="29"/>
        <v>20880</v>
      </c>
      <c r="AZ176" s="268">
        <v>20360</v>
      </c>
      <c r="BA176" s="257">
        <f t="shared" si="30"/>
        <v>30540</v>
      </c>
      <c r="BB176" s="268">
        <v>12340</v>
      </c>
      <c r="BC176" s="257">
        <f t="shared" si="31"/>
        <v>18510</v>
      </c>
      <c r="BD176" s="268">
        <v>27280</v>
      </c>
      <c r="BE176" s="257">
        <f t="shared" si="32"/>
        <v>40920</v>
      </c>
      <c r="BF176" s="268">
        <v>13048</v>
      </c>
      <c r="BG176" s="257">
        <f t="shared" si="33"/>
        <v>19572</v>
      </c>
      <c r="BH176" s="268">
        <v>25391</v>
      </c>
      <c r="BI176" s="257">
        <f t="shared" si="34"/>
        <v>38086.5</v>
      </c>
      <c r="BJ176" s="268">
        <v>5660</v>
      </c>
      <c r="BK176" s="257">
        <f t="shared" si="35"/>
        <v>8490</v>
      </c>
    </row>
    <row r="177" spans="1:63" ht="15.75" hidden="1" customHeight="1">
      <c r="A177" s="250" t="s">
        <v>105</v>
      </c>
      <c r="C177" s="59"/>
      <c r="D177" s="473"/>
      <c r="E177" s="39"/>
      <c r="F177" s="454"/>
      <c r="G177" s="67"/>
      <c r="H177" s="84"/>
      <c r="I177" s="84"/>
      <c r="J177" s="110"/>
      <c r="K177" s="84"/>
      <c r="L177" s="84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6"/>
      <c r="AC177" s="6"/>
      <c r="AD177" s="6"/>
      <c r="AN177" s="200"/>
      <c r="AO177" s="254">
        <f t="shared" si="24"/>
        <v>0</v>
      </c>
      <c r="AP177" s="263"/>
      <c r="AQ177" s="254">
        <f t="shared" si="25"/>
        <v>0</v>
      </c>
      <c r="AR177" s="265"/>
      <c r="AS177" s="254">
        <f t="shared" si="26"/>
        <v>0</v>
      </c>
      <c r="AT177" s="256"/>
      <c r="AU177" s="257">
        <f t="shared" si="27"/>
        <v>0</v>
      </c>
      <c r="AV177" s="270"/>
      <c r="AW177" s="257">
        <f t="shared" si="28"/>
        <v>0</v>
      </c>
      <c r="AX177" s="270"/>
      <c r="AY177" s="257">
        <f t="shared" si="29"/>
        <v>0</v>
      </c>
      <c r="AZ177" s="268"/>
      <c r="BA177" s="257">
        <f t="shared" si="30"/>
        <v>0</v>
      </c>
      <c r="BB177" s="59"/>
      <c r="BC177" s="257">
        <f t="shared" si="31"/>
        <v>0</v>
      </c>
      <c r="BD177" s="59"/>
      <c r="BE177" s="257">
        <f t="shared" si="32"/>
        <v>0</v>
      </c>
      <c r="BF177" s="59"/>
      <c r="BG177" s="257">
        <f t="shared" si="33"/>
        <v>0</v>
      </c>
      <c r="BH177" s="59"/>
      <c r="BI177" s="257">
        <f t="shared" si="34"/>
        <v>0</v>
      </c>
      <c r="BJ177" s="59"/>
      <c r="BK177" s="257">
        <f t="shared" si="35"/>
        <v>0</v>
      </c>
    </row>
    <row r="178" spans="1:63" ht="15.75" hidden="1" customHeight="1">
      <c r="A178" s="250" t="s">
        <v>105</v>
      </c>
      <c r="C178" s="59"/>
      <c r="D178" s="473"/>
      <c r="E178" s="39"/>
      <c r="F178" s="454"/>
      <c r="G178" s="67"/>
      <c r="H178" s="84"/>
      <c r="I178" s="84"/>
      <c r="J178" s="110"/>
      <c r="K178" s="84"/>
      <c r="L178" s="84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6"/>
      <c r="AC178" s="6"/>
      <c r="AD178" s="6"/>
      <c r="AN178" s="200"/>
      <c r="AO178" s="254">
        <f t="shared" si="24"/>
        <v>0</v>
      </c>
      <c r="AP178" s="263"/>
      <c r="AQ178" s="254">
        <f t="shared" si="25"/>
        <v>0</v>
      </c>
      <c r="AR178" s="265"/>
      <c r="AS178" s="254">
        <f t="shared" si="26"/>
        <v>0</v>
      </c>
      <c r="AT178" s="256"/>
      <c r="AU178" s="257">
        <f t="shared" si="27"/>
        <v>0</v>
      </c>
      <c r="AV178" s="270"/>
      <c r="AW178" s="257">
        <f t="shared" si="28"/>
        <v>0</v>
      </c>
      <c r="AX178" s="270"/>
      <c r="AY178" s="257">
        <f t="shared" si="29"/>
        <v>0</v>
      </c>
      <c r="AZ178" s="268"/>
      <c r="BA178" s="257">
        <f t="shared" si="30"/>
        <v>0</v>
      </c>
      <c r="BB178" s="59"/>
      <c r="BC178" s="257">
        <f t="shared" si="31"/>
        <v>0</v>
      </c>
      <c r="BD178" s="59"/>
      <c r="BE178" s="257">
        <f t="shared" si="32"/>
        <v>0</v>
      </c>
      <c r="BF178" s="59"/>
      <c r="BG178" s="257">
        <f t="shared" si="33"/>
        <v>0</v>
      </c>
      <c r="BH178" s="59"/>
      <c r="BI178" s="257">
        <f t="shared" si="34"/>
        <v>0</v>
      </c>
      <c r="BJ178" s="59"/>
      <c r="BK178" s="257">
        <f t="shared" si="35"/>
        <v>0</v>
      </c>
    </row>
    <row r="179" spans="1:63" ht="15.75" hidden="1" customHeight="1">
      <c r="A179" s="250" t="s">
        <v>105</v>
      </c>
      <c r="C179" s="59"/>
      <c r="D179" s="473"/>
      <c r="E179" s="39"/>
      <c r="F179" s="454"/>
      <c r="G179" s="67"/>
      <c r="H179" s="84"/>
      <c r="I179" s="84"/>
      <c r="J179" s="110"/>
      <c r="K179" s="84"/>
      <c r="L179" s="84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6"/>
      <c r="AC179" s="6"/>
      <c r="AD179" s="6"/>
      <c r="AN179" s="200"/>
      <c r="AO179" s="254">
        <f t="shared" si="24"/>
        <v>0</v>
      </c>
      <c r="AP179" s="263"/>
      <c r="AQ179" s="254">
        <f t="shared" si="25"/>
        <v>0</v>
      </c>
      <c r="AR179" s="265"/>
      <c r="AS179" s="254">
        <f t="shared" si="26"/>
        <v>0</v>
      </c>
      <c r="AT179" s="256"/>
      <c r="AU179" s="257">
        <f t="shared" si="27"/>
        <v>0</v>
      </c>
      <c r="AV179" s="270"/>
      <c r="AW179" s="257">
        <f t="shared" si="28"/>
        <v>0</v>
      </c>
      <c r="AX179" s="270"/>
      <c r="AY179" s="257">
        <f t="shared" si="29"/>
        <v>0</v>
      </c>
      <c r="AZ179" s="268"/>
      <c r="BA179" s="257">
        <f t="shared" si="30"/>
        <v>0</v>
      </c>
      <c r="BB179" s="59"/>
      <c r="BC179" s="257">
        <f t="shared" si="31"/>
        <v>0</v>
      </c>
      <c r="BD179" s="59"/>
      <c r="BE179" s="257">
        <f t="shared" si="32"/>
        <v>0</v>
      </c>
      <c r="BF179" s="59"/>
      <c r="BG179" s="257">
        <f t="shared" si="33"/>
        <v>0</v>
      </c>
      <c r="BH179" s="59"/>
      <c r="BI179" s="257">
        <f t="shared" si="34"/>
        <v>0</v>
      </c>
      <c r="BJ179" s="59"/>
      <c r="BK179" s="257">
        <f t="shared" si="35"/>
        <v>0</v>
      </c>
    </row>
    <row r="180" spans="1:63" ht="15.75" hidden="1" customHeight="1">
      <c r="A180" s="250" t="s">
        <v>105</v>
      </c>
      <c r="C180" s="59"/>
      <c r="D180" s="473"/>
      <c r="E180" s="39"/>
      <c r="F180" s="454"/>
      <c r="G180" s="67"/>
      <c r="H180" s="84"/>
      <c r="I180" s="84"/>
      <c r="J180" s="110"/>
      <c r="K180" s="84"/>
      <c r="L180" s="84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6"/>
      <c r="AC180" s="6"/>
      <c r="AD180" s="6"/>
      <c r="AN180" s="200"/>
      <c r="AO180" s="254">
        <f t="shared" si="24"/>
        <v>0</v>
      </c>
      <c r="AP180" s="263"/>
      <c r="AQ180" s="254">
        <f t="shared" si="25"/>
        <v>0</v>
      </c>
      <c r="AR180" s="265"/>
      <c r="AS180" s="254">
        <f t="shared" si="26"/>
        <v>0</v>
      </c>
      <c r="AT180" s="256"/>
      <c r="AU180" s="257">
        <f t="shared" si="27"/>
        <v>0</v>
      </c>
      <c r="AV180" s="270"/>
      <c r="AW180" s="257">
        <f t="shared" si="28"/>
        <v>0</v>
      </c>
      <c r="AX180" s="270"/>
      <c r="AY180" s="257">
        <f t="shared" si="29"/>
        <v>0</v>
      </c>
      <c r="AZ180" s="268"/>
      <c r="BA180" s="257">
        <f t="shared" si="30"/>
        <v>0</v>
      </c>
      <c r="BB180" s="59"/>
      <c r="BC180" s="257">
        <f t="shared" si="31"/>
        <v>0</v>
      </c>
      <c r="BD180" s="59"/>
      <c r="BE180" s="257">
        <f t="shared" si="32"/>
        <v>0</v>
      </c>
      <c r="BF180" s="59"/>
      <c r="BG180" s="257">
        <f t="shared" si="33"/>
        <v>0</v>
      </c>
      <c r="BH180" s="59"/>
      <c r="BI180" s="257">
        <f t="shared" si="34"/>
        <v>0</v>
      </c>
      <c r="BJ180" s="59"/>
      <c r="BK180" s="257">
        <f t="shared" si="35"/>
        <v>0</v>
      </c>
    </row>
    <row r="181" spans="1:63" ht="15.75" hidden="1" customHeight="1">
      <c r="A181" s="250" t="s">
        <v>105</v>
      </c>
      <c r="C181" s="59"/>
      <c r="D181" s="473"/>
      <c r="E181" s="39"/>
      <c r="F181" s="454"/>
      <c r="G181" s="67"/>
      <c r="H181" s="84"/>
      <c r="I181" s="84"/>
      <c r="J181" s="110"/>
      <c r="K181" s="84"/>
      <c r="L181" s="84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6"/>
      <c r="AC181" s="6"/>
      <c r="AD181" s="6"/>
      <c r="AN181" s="200"/>
      <c r="AO181" s="254">
        <f t="shared" si="24"/>
        <v>0</v>
      </c>
      <c r="AP181" s="263"/>
      <c r="AQ181" s="254">
        <f t="shared" si="25"/>
        <v>0</v>
      </c>
      <c r="AR181" s="265"/>
      <c r="AS181" s="254">
        <f t="shared" si="26"/>
        <v>0</v>
      </c>
      <c r="AT181" s="256"/>
      <c r="AU181" s="257">
        <f t="shared" si="27"/>
        <v>0</v>
      </c>
      <c r="AV181" s="270"/>
      <c r="AW181" s="257">
        <f t="shared" si="28"/>
        <v>0</v>
      </c>
      <c r="AX181" s="270"/>
      <c r="AY181" s="257">
        <f t="shared" si="29"/>
        <v>0</v>
      </c>
      <c r="AZ181" s="268"/>
      <c r="BA181" s="257">
        <f t="shared" si="30"/>
        <v>0</v>
      </c>
      <c r="BB181" s="59"/>
      <c r="BC181" s="257">
        <f t="shared" si="31"/>
        <v>0</v>
      </c>
      <c r="BD181" s="59"/>
      <c r="BE181" s="257">
        <f t="shared" si="32"/>
        <v>0</v>
      </c>
      <c r="BF181" s="59"/>
      <c r="BG181" s="257">
        <f t="shared" si="33"/>
        <v>0</v>
      </c>
      <c r="BH181" s="59"/>
      <c r="BI181" s="257">
        <f t="shared" si="34"/>
        <v>0</v>
      </c>
      <c r="BJ181" s="59"/>
      <c r="BK181" s="257">
        <f t="shared" si="35"/>
        <v>0</v>
      </c>
    </row>
    <row r="182" spans="1:63" ht="19.5" hidden="1" customHeight="1" thickBot="1">
      <c r="A182" s="250" t="s">
        <v>105</v>
      </c>
      <c r="C182" s="59"/>
      <c r="D182" s="473"/>
      <c r="E182" s="39"/>
      <c r="F182" s="455"/>
      <c r="G182" s="67"/>
      <c r="H182" s="112"/>
      <c r="I182" s="112"/>
      <c r="J182" s="113"/>
      <c r="K182" s="112"/>
      <c r="L182" s="112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6"/>
      <c r="AC182" s="6"/>
      <c r="AD182" s="6"/>
      <c r="AN182" s="200"/>
      <c r="AO182" s="254">
        <f t="shared" si="24"/>
        <v>0</v>
      </c>
      <c r="AP182" s="263"/>
      <c r="AQ182" s="254">
        <f t="shared" si="25"/>
        <v>0</v>
      </c>
      <c r="AR182" s="265"/>
      <c r="AS182" s="254">
        <f t="shared" si="26"/>
        <v>0</v>
      </c>
      <c r="AT182" s="256"/>
      <c r="AU182" s="257">
        <f t="shared" si="27"/>
        <v>0</v>
      </c>
      <c r="AV182" s="270"/>
      <c r="AW182" s="257">
        <f t="shared" si="28"/>
        <v>0</v>
      </c>
      <c r="AX182" s="270"/>
      <c r="AY182" s="257">
        <f t="shared" si="29"/>
        <v>0</v>
      </c>
      <c r="AZ182" s="268"/>
      <c r="BA182" s="257">
        <f t="shared" si="30"/>
        <v>0</v>
      </c>
      <c r="BB182" s="59"/>
      <c r="BC182" s="257">
        <f t="shared" si="31"/>
        <v>0</v>
      </c>
      <c r="BD182" s="59"/>
      <c r="BE182" s="257">
        <f t="shared" si="32"/>
        <v>0</v>
      </c>
      <c r="BF182" s="59"/>
      <c r="BG182" s="257">
        <f t="shared" si="33"/>
        <v>0</v>
      </c>
      <c r="BH182" s="59"/>
      <c r="BI182" s="257">
        <f t="shared" si="34"/>
        <v>0</v>
      </c>
      <c r="BJ182" s="59"/>
      <c r="BK182" s="257">
        <f t="shared" si="35"/>
        <v>0</v>
      </c>
    </row>
    <row r="183" spans="1:63" ht="17.25" customHeight="1" thickBot="1">
      <c r="A183" s="250" t="s">
        <v>105</v>
      </c>
      <c r="B183" s="59" t="s">
        <v>221</v>
      </c>
      <c r="C183" s="59" t="s">
        <v>172</v>
      </c>
      <c r="D183" s="473"/>
      <c r="E183" s="39" t="s">
        <v>173</v>
      </c>
      <c r="F183" s="459" t="s">
        <v>79</v>
      </c>
      <c r="G183" s="184">
        <v>2019</v>
      </c>
      <c r="H183" s="178" t="s">
        <v>274</v>
      </c>
      <c r="I183" s="198" t="s">
        <v>190</v>
      </c>
      <c r="J183" s="197">
        <v>11</v>
      </c>
      <c r="K183" s="28" t="s">
        <v>275</v>
      </c>
      <c r="L183" s="196" t="s">
        <v>177</v>
      </c>
      <c r="M183" s="180" t="s">
        <v>192</v>
      </c>
      <c r="N183" s="180">
        <v>4</v>
      </c>
      <c r="O183" s="180">
        <v>4</v>
      </c>
      <c r="P183" s="180">
        <v>4</v>
      </c>
      <c r="Q183" s="180">
        <v>4</v>
      </c>
      <c r="R183" s="180">
        <v>4</v>
      </c>
      <c r="S183" s="180">
        <v>4</v>
      </c>
      <c r="T183" s="180">
        <v>4</v>
      </c>
      <c r="U183" s="180">
        <v>4</v>
      </c>
      <c r="V183" s="180">
        <v>4</v>
      </c>
      <c r="W183" s="180">
        <v>4</v>
      </c>
      <c r="X183" s="180">
        <v>4</v>
      </c>
      <c r="Y183" s="180">
        <v>4</v>
      </c>
      <c r="Z183" s="180">
        <v>4</v>
      </c>
      <c r="AA183" s="180">
        <v>0.7</v>
      </c>
      <c r="AB183" s="162">
        <v>0.7</v>
      </c>
      <c r="AC183" s="162">
        <v>0.7</v>
      </c>
      <c r="AD183" s="162">
        <v>0.7</v>
      </c>
      <c r="AE183" s="28">
        <v>0.7</v>
      </c>
      <c r="AF183" s="162">
        <v>0.7</v>
      </c>
      <c r="AG183" s="173">
        <v>0.7</v>
      </c>
      <c r="AH183" s="173">
        <v>0.7</v>
      </c>
      <c r="AI183" s="173">
        <v>0.7</v>
      </c>
      <c r="AJ183" s="173">
        <v>0.7</v>
      </c>
      <c r="AK183" s="173">
        <v>0.7</v>
      </c>
      <c r="AL183" s="173">
        <v>0.7</v>
      </c>
      <c r="AM183" s="173">
        <v>0.7</v>
      </c>
      <c r="AN183" s="179">
        <v>7799</v>
      </c>
      <c r="AO183" s="254">
        <f t="shared" si="24"/>
        <v>5459.2999999999993</v>
      </c>
      <c r="AP183" s="255">
        <v>7480</v>
      </c>
      <c r="AQ183" s="254">
        <f t="shared" si="25"/>
        <v>5236</v>
      </c>
      <c r="AR183" s="255">
        <v>10400</v>
      </c>
      <c r="AS183" s="254">
        <f t="shared" si="26"/>
        <v>7279.9999999999991</v>
      </c>
      <c r="AT183" s="256">
        <v>7280</v>
      </c>
      <c r="AU183" s="257">
        <f t="shared" si="27"/>
        <v>5096</v>
      </c>
      <c r="AV183" s="255">
        <v>7040</v>
      </c>
      <c r="AW183" s="257">
        <f t="shared" si="28"/>
        <v>4928</v>
      </c>
      <c r="AX183" s="255">
        <v>13359</v>
      </c>
      <c r="AY183" s="257">
        <f t="shared" si="29"/>
        <v>9351.2999999999993</v>
      </c>
      <c r="AZ183" s="255">
        <v>10760</v>
      </c>
      <c r="BA183" s="257">
        <f t="shared" si="30"/>
        <v>7531.9999999999991</v>
      </c>
      <c r="BB183" s="255">
        <v>6480</v>
      </c>
      <c r="BC183" s="257">
        <f t="shared" si="31"/>
        <v>4536</v>
      </c>
      <c r="BD183" s="255">
        <v>12040</v>
      </c>
      <c r="BE183" s="257">
        <f t="shared" si="32"/>
        <v>8428</v>
      </c>
      <c r="BF183" s="255">
        <v>5520</v>
      </c>
      <c r="BG183" s="257">
        <f t="shared" si="33"/>
        <v>3863.9999999999995</v>
      </c>
      <c r="BH183" s="255">
        <v>4040</v>
      </c>
      <c r="BI183" s="257">
        <f t="shared" si="34"/>
        <v>2828</v>
      </c>
      <c r="BJ183" s="255">
        <v>9080</v>
      </c>
      <c r="BK183" s="257">
        <f t="shared" si="35"/>
        <v>6356</v>
      </c>
    </row>
    <row r="184" spans="1:63" ht="14.85" hidden="1" customHeight="1" thickBot="1">
      <c r="A184" s="250" t="s">
        <v>105</v>
      </c>
      <c r="C184" s="59"/>
      <c r="D184" s="473"/>
      <c r="E184" s="39"/>
      <c r="F184" s="461"/>
      <c r="G184" s="67"/>
      <c r="H184" s="75"/>
      <c r="I184" s="75"/>
      <c r="J184" s="135"/>
      <c r="K184" s="134"/>
      <c r="L184" s="75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6"/>
      <c r="AC184" s="6"/>
      <c r="AD184" s="6"/>
      <c r="AE184" s="78"/>
      <c r="AF184" s="78"/>
      <c r="AG184" s="78"/>
      <c r="AH184" s="78"/>
      <c r="AI184" s="78"/>
      <c r="AJ184" s="78"/>
      <c r="AK184" s="78"/>
      <c r="AL184" s="78"/>
      <c r="AM184" s="78"/>
      <c r="AN184" s="168"/>
      <c r="AO184" s="254">
        <f t="shared" si="24"/>
        <v>0</v>
      </c>
      <c r="AP184" s="255"/>
      <c r="AQ184" s="254">
        <f t="shared" si="25"/>
        <v>0</v>
      </c>
      <c r="AR184" s="255"/>
      <c r="AS184" s="254">
        <f t="shared" si="26"/>
        <v>0</v>
      </c>
      <c r="AT184" s="256"/>
      <c r="AU184" s="257">
        <f t="shared" si="27"/>
        <v>0</v>
      </c>
      <c r="AV184" s="270"/>
      <c r="AW184" s="257">
        <f t="shared" si="28"/>
        <v>0</v>
      </c>
      <c r="AX184" s="270"/>
      <c r="AY184" s="257">
        <f t="shared" si="29"/>
        <v>0</v>
      </c>
      <c r="AZ184" s="268"/>
      <c r="BA184" s="257">
        <f t="shared" si="30"/>
        <v>0</v>
      </c>
      <c r="BB184" s="59"/>
      <c r="BC184" s="257">
        <f t="shared" si="31"/>
        <v>0</v>
      </c>
      <c r="BD184" s="59"/>
      <c r="BE184" s="257">
        <f t="shared" si="32"/>
        <v>0</v>
      </c>
      <c r="BF184" s="59"/>
      <c r="BG184" s="257">
        <f t="shared" si="33"/>
        <v>0</v>
      </c>
      <c r="BH184" s="59"/>
      <c r="BI184" s="257">
        <f t="shared" si="34"/>
        <v>0</v>
      </c>
      <c r="BJ184" s="59"/>
      <c r="BK184" s="257">
        <f t="shared" si="35"/>
        <v>0</v>
      </c>
    </row>
    <row r="185" spans="1:63" ht="15" customHeight="1">
      <c r="A185" s="250" t="s">
        <v>105</v>
      </c>
      <c r="B185" s="59" t="s">
        <v>221</v>
      </c>
      <c r="C185" s="59" t="s">
        <v>172</v>
      </c>
      <c r="D185" s="473"/>
      <c r="E185" s="39" t="s">
        <v>173</v>
      </c>
      <c r="F185" s="465" t="s">
        <v>276</v>
      </c>
      <c r="G185" s="195">
        <v>2020</v>
      </c>
      <c r="H185" s="194" t="s">
        <v>277</v>
      </c>
      <c r="I185" s="193" t="s">
        <v>183</v>
      </c>
      <c r="J185" s="192">
        <v>15</v>
      </c>
      <c r="K185" s="191" t="s">
        <v>278</v>
      </c>
      <c r="L185" s="73" t="s">
        <v>177</v>
      </c>
      <c r="M185" s="25" t="s">
        <v>192</v>
      </c>
      <c r="N185" s="25">
        <v>17.8</v>
      </c>
      <c r="O185" s="25">
        <v>17.8</v>
      </c>
      <c r="P185" s="25">
        <v>17.8</v>
      </c>
      <c r="Q185" s="25">
        <v>17.8</v>
      </c>
      <c r="R185" s="25">
        <v>17.8</v>
      </c>
      <c r="S185" s="25">
        <v>17.8</v>
      </c>
      <c r="T185" s="25">
        <v>17.8</v>
      </c>
      <c r="U185" s="25">
        <v>17.8</v>
      </c>
      <c r="V185" s="25">
        <v>17.8</v>
      </c>
      <c r="W185" s="25">
        <v>17.8</v>
      </c>
      <c r="X185" s="25">
        <v>17.8</v>
      </c>
      <c r="Y185" s="25">
        <v>17.8</v>
      </c>
      <c r="Z185" s="25">
        <v>17.8</v>
      </c>
      <c r="AA185" s="25">
        <v>6.95</v>
      </c>
      <c r="AB185" s="173">
        <v>6.95</v>
      </c>
      <c r="AC185" s="173">
        <v>6.95</v>
      </c>
      <c r="AD185" s="173">
        <v>6.95</v>
      </c>
      <c r="AE185" s="173">
        <v>6.95</v>
      </c>
      <c r="AF185" s="173">
        <v>6.95</v>
      </c>
      <c r="AG185" s="173">
        <v>6.95</v>
      </c>
      <c r="AH185" s="173">
        <v>6.95</v>
      </c>
      <c r="AI185" s="173">
        <v>6.95</v>
      </c>
      <c r="AJ185" s="173">
        <v>6.95</v>
      </c>
      <c r="AK185" s="173">
        <v>6.95</v>
      </c>
      <c r="AL185" s="173">
        <v>6.95</v>
      </c>
      <c r="AM185" s="173">
        <v>6.95</v>
      </c>
      <c r="AN185" s="174"/>
      <c r="AO185" s="254">
        <f t="shared" si="24"/>
        <v>0</v>
      </c>
      <c r="AP185" s="255"/>
      <c r="AQ185" s="254">
        <f t="shared" si="25"/>
        <v>0</v>
      </c>
      <c r="AR185" s="255"/>
      <c r="AS185" s="254">
        <f t="shared" si="26"/>
        <v>0</v>
      </c>
      <c r="AT185" s="256"/>
      <c r="AU185" s="257">
        <f t="shared" si="27"/>
        <v>0</v>
      </c>
      <c r="AV185" s="255"/>
      <c r="AW185" s="257">
        <f t="shared" si="28"/>
        <v>0</v>
      </c>
      <c r="AX185" s="255"/>
      <c r="AY185" s="257">
        <f t="shared" si="29"/>
        <v>0</v>
      </c>
      <c r="AZ185" s="255"/>
      <c r="BA185" s="257">
        <f t="shared" si="30"/>
        <v>0</v>
      </c>
      <c r="BB185" s="255"/>
      <c r="BC185" s="257">
        <f t="shared" si="31"/>
        <v>0</v>
      </c>
      <c r="BD185" s="255"/>
      <c r="BE185" s="257">
        <f t="shared" si="32"/>
        <v>0</v>
      </c>
      <c r="BF185" s="59"/>
      <c r="BG185" s="257">
        <f t="shared" si="33"/>
        <v>0</v>
      </c>
      <c r="BH185" s="59"/>
      <c r="BI185" s="257">
        <f t="shared" si="34"/>
        <v>0</v>
      </c>
      <c r="BJ185" s="59"/>
      <c r="BK185" s="257">
        <f t="shared" si="35"/>
        <v>0</v>
      </c>
    </row>
    <row r="186" spans="1:63" ht="18" customHeight="1">
      <c r="A186" s="250" t="s">
        <v>105</v>
      </c>
      <c r="B186" s="59" t="s">
        <v>221</v>
      </c>
      <c r="C186" s="59" t="s">
        <v>172</v>
      </c>
      <c r="D186" s="473"/>
      <c r="E186" s="39" t="s">
        <v>173</v>
      </c>
      <c r="F186" s="466"/>
      <c r="G186" s="172">
        <v>2020</v>
      </c>
      <c r="H186" s="186" t="s">
        <v>277</v>
      </c>
      <c r="I186" s="188" t="s">
        <v>183</v>
      </c>
      <c r="J186" s="187">
        <v>15</v>
      </c>
      <c r="K186" s="67" t="s">
        <v>279</v>
      </c>
      <c r="L186" s="190" t="s">
        <v>177</v>
      </c>
      <c r="M186" s="21" t="s">
        <v>192</v>
      </c>
      <c r="N186" s="21">
        <v>26.2</v>
      </c>
      <c r="O186" s="21">
        <v>26.2</v>
      </c>
      <c r="P186" s="21">
        <v>26.2</v>
      </c>
      <c r="Q186" s="21">
        <v>26.2</v>
      </c>
      <c r="R186" s="21">
        <v>26.2</v>
      </c>
      <c r="S186" s="21">
        <v>26.2</v>
      </c>
      <c r="T186" s="21">
        <v>26.2</v>
      </c>
      <c r="U186" s="21">
        <v>26.2</v>
      </c>
      <c r="V186" s="21">
        <v>26.2</v>
      </c>
      <c r="W186" s="21">
        <v>26.2</v>
      </c>
      <c r="X186" s="21">
        <v>26.2</v>
      </c>
      <c r="Y186" s="21">
        <v>26.2</v>
      </c>
      <c r="Z186" s="21">
        <v>26.2</v>
      </c>
      <c r="AA186" s="21">
        <v>8.4499999999999993</v>
      </c>
      <c r="AB186" s="6">
        <v>8.4499999999999993</v>
      </c>
      <c r="AC186" s="6">
        <v>8.4499999999999993</v>
      </c>
      <c r="AD186" s="6">
        <v>8.4499999999999993</v>
      </c>
      <c r="AE186" s="6">
        <v>8.4499999999999993</v>
      </c>
      <c r="AF186" s="6">
        <v>8.4499999999999993</v>
      </c>
      <c r="AG186" s="6">
        <v>8.4499999999999993</v>
      </c>
      <c r="AH186" s="6">
        <v>8.4499999999999993</v>
      </c>
      <c r="AI186" s="6">
        <v>8.4499999999999993</v>
      </c>
      <c r="AJ186" s="6">
        <v>8.4499999999999993</v>
      </c>
      <c r="AK186" s="6">
        <v>8.4499999999999993</v>
      </c>
      <c r="AL186" s="6">
        <v>8.4499999999999993</v>
      </c>
      <c r="AM186" s="6">
        <v>8.4499999999999993</v>
      </c>
      <c r="AN186" s="168"/>
      <c r="AO186" s="254">
        <f t="shared" si="24"/>
        <v>0</v>
      </c>
      <c r="AP186" s="255"/>
      <c r="AQ186" s="254">
        <f t="shared" si="25"/>
        <v>0</v>
      </c>
      <c r="AR186" s="261"/>
      <c r="AS186" s="254">
        <f t="shared" si="26"/>
        <v>0</v>
      </c>
      <c r="AT186" s="256"/>
      <c r="AU186" s="257">
        <f t="shared" si="27"/>
        <v>0</v>
      </c>
      <c r="AV186" s="255"/>
      <c r="AW186" s="257">
        <f t="shared" si="28"/>
        <v>0</v>
      </c>
      <c r="AX186" s="271"/>
      <c r="AY186" s="257">
        <f t="shared" si="29"/>
        <v>0</v>
      </c>
      <c r="AZ186" s="255"/>
      <c r="BA186" s="257">
        <f t="shared" si="30"/>
        <v>0</v>
      </c>
      <c r="BB186" s="255"/>
      <c r="BC186" s="257">
        <f t="shared" si="31"/>
        <v>0</v>
      </c>
      <c r="BD186" s="274"/>
      <c r="BE186" s="257">
        <f t="shared" si="32"/>
        <v>0</v>
      </c>
      <c r="BF186" s="59"/>
      <c r="BG186" s="257">
        <f t="shared" si="33"/>
        <v>0</v>
      </c>
      <c r="BH186" s="59"/>
      <c r="BI186" s="257">
        <f t="shared" si="34"/>
        <v>0</v>
      </c>
      <c r="BJ186" s="59"/>
      <c r="BK186" s="257">
        <f t="shared" si="35"/>
        <v>0</v>
      </c>
    </row>
    <row r="187" spans="1:63" ht="18" customHeight="1">
      <c r="A187" s="250" t="s">
        <v>105</v>
      </c>
      <c r="B187" s="59" t="s">
        <v>221</v>
      </c>
      <c r="C187" s="59" t="s">
        <v>172</v>
      </c>
      <c r="D187" s="473"/>
      <c r="E187" s="39" t="s">
        <v>173</v>
      </c>
      <c r="F187" s="466"/>
      <c r="G187" s="172">
        <v>2020</v>
      </c>
      <c r="H187" s="186" t="s">
        <v>280</v>
      </c>
      <c r="I187" s="188" t="s">
        <v>183</v>
      </c>
      <c r="J187" s="187">
        <v>15</v>
      </c>
      <c r="K187" s="186" t="s">
        <v>281</v>
      </c>
      <c r="L187" s="190" t="s">
        <v>177</v>
      </c>
      <c r="M187" s="21" t="s">
        <v>192</v>
      </c>
      <c r="N187" s="21">
        <v>17.8</v>
      </c>
      <c r="O187" s="21">
        <v>17.8</v>
      </c>
      <c r="P187" s="21">
        <v>17.8</v>
      </c>
      <c r="Q187" s="21">
        <v>17.8</v>
      </c>
      <c r="R187" s="21">
        <v>17.8</v>
      </c>
      <c r="S187" s="21">
        <v>17.8</v>
      </c>
      <c r="T187" s="21">
        <v>17.8</v>
      </c>
      <c r="U187" s="21">
        <v>17.8</v>
      </c>
      <c r="V187" s="21">
        <v>17.8</v>
      </c>
      <c r="W187" s="21">
        <v>17.8</v>
      </c>
      <c r="X187" s="21">
        <v>17.8</v>
      </c>
      <c r="Y187" s="21">
        <v>17.8</v>
      </c>
      <c r="Z187" s="21">
        <v>17.8</v>
      </c>
      <c r="AA187" s="21">
        <v>6.95</v>
      </c>
      <c r="AB187" s="6">
        <v>6.95</v>
      </c>
      <c r="AC187" s="6">
        <v>6.95</v>
      </c>
      <c r="AD187" s="6">
        <v>6.95</v>
      </c>
      <c r="AE187" s="6">
        <v>6.95</v>
      </c>
      <c r="AF187" s="6">
        <v>6.95</v>
      </c>
      <c r="AG187" s="6">
        <v>6.95</v>
      </c>
      <c r="AH187" s="6">
        <v>6.95</v>
      </c>
      <c r="AI187" s="6">
        <v>6.95</v>
      </c>
      <c r="AJ187" s="6">
        <v>6.95</v>
      </c>
      <c r="AK187" s="6">
        <v>6.95</v>
      </c>
      <c r="AL187" s="6">
        <v>6.95</v>
      </c>
      <c r="AM187" s="6">
        <v>6.95</v>
      </c>
      <c r="AN187" s="168"/>
      <c r="AO187" s="254">
        <f t="shared" si="24"/>
        <v>0</v>
      </c>
      <c r="AP187" s="255"/>
      <c r="AQ187" s="254">
        <f t="shared" si="25"/>
        <v>0</v>
      </c>
      <c r="AR187" s="255"/>
      <c r="AS187" s="254">
        <f t="shared" si="26"/>
        <v>0</v>
      </c>
      <c r="AT187" s="256"/>
      <c r="AU187" s="257">
        <f t="shared" si="27"/>
        <v>0</v>
      </c>
      <c r="AV187" s="255"/>
      <c r="AW187" s="257">
        <f t="shared" si="28"/>
        <v>0</v>
      </c>
      <c r="AX187" s="255"/>
      <c r="AY187" s="257">
        <f t="shared" si="29"/>
        <v>0</v>
      </c>
      <c r="AZ187" s="255"/>
      <c r="BA187" s="257">
        <f t="shared" si="30"/>
        <v>0</v>
      </c>
      <c r="BB187" s="255"/>
      <c r="BC187" s="257">
        <f t="shared" si="31"/>
        <v>0</v>
      </c>
      <c r="BD187" s="255"/>
      <c r="BE187" s="257">
        <f t="shared" si="32"/>
        <v>0</v>
      </c>
      <c r="BF187" s="59"/>
      <c r="BG187" s="257">
        <f t="shared" si="33"/>
        <v>0</v>
      </c>
      <c r="BH187" s="59"/>
      <c r="BI187" s="257">
        <f t="shared" si="34"/>
        <v>0</v>
      </c>
      <c r="BJ187" s="59"/>
      <c r="BK187" s="257">
        <f t="shared" si="35"/>
        <v>0</v>
      </c>
    </row>
    <row r="188" spans="1:63" ht="18" customHeight="1">
      <c r="A188" s="250" t="s">
        <v>105</v>
      </c>
      <c r="B188" s="59" t="s">
        <v>221</v>
      </c>
      <c r="C188" s="59" t="s">
        <v>172</v>
      </c>
      <c r="D188" s="473"/>
      <c r="E188" s="39" t="s">
        <v>173</v>
      </c>
      <c r="F188" s="466"/>
      <c r="G188" s="172">
        <v>2020</v>
      </c>
      <c r="H188" s="186" t="s">
        <v>280</v>
      </c>
      <c r="I188" s="188" t="s">
        <v>183</v>
      </c>
      <c r="J188" s="187">
        <v>15</v>
      </c>
      <c r="K188" s="186" t="s">
        <v>282</v>
      </c>
      <c r="L188" s="190" t="s">
        <v>177</v>
      </c>
      <c r="M188" s="21" t="s">
        <v>192</v>
      </c>
      <c r="N188" s="21">
        <v>26.2</v>
      </c>
      <c r="O188" s="21">
        <v>26.2</v>
      </c>
      <c r="P188" s="21">
        <v>26.2</v>
      </c>
      <c r="Q188" s="21">
        <v>26.2</v>
      </c>
      <c r="R188" s="21">
        <v>26.2</v>
      </c>
      <c r="S188" s="21">
        <v>26.2</v>
      </c>
      <c r="T188" s="21">
        <v>26.2</v>
      </c>
      <c r="U188" s="21">
        <v>26.2</v>
      </c>
      <c r="V188" s="21">
        <v>26.2</v>
      </c>
      <c r="W188" s="21">
        <v>26.2</v>
      </c>
      <c r="X188" s="21">
        <v>26.2</v>
      </c>
      <c r="Y188" s="21">
        <v>26.2</v>
      </c>
      <c r="Z188" s="21">
        <v>26.2</v>
      </c>
      <c r="AA188" s="21">
        <v>8.4499999999999993</v>
      </c>
      <c r="AB188" s="6">
        <v>8.4499999999999993</v>
      </c>
      <c r="AC188" s="6">
        <v>8.4499999999999993</v>
      </c>
      <c r="AD188" s="6">
        <v>8.4499999999999993</v>
      </c>
      <c r="AE188" s="6">
        <v>8.4499999999999993</v>
      </c>
      <c r="AF188" s="6">
        <v>8.4499999999999993</v>
      </c>
      <c r="AG188" s="6">
        <v>8.4499999999999993</v>
      </c>
      <c r="AH188" s="6">
        <v>8.4499999999999993</v>
      </c>
      <c r="AI188" s="6">
        <v>8.4499999999999993</v>
      </c>
      <c r="AJ188" s="6">
        <v>8.4499999999999993</v>
      </c>
      <c r="AK188" s="6">
        <v>8.4499999999999993</v>
      </c>
      <c r="AL188" s="6">
        <v>8.4499999999999993</v>
      </c>
      <c r="AM188" s="6">
        <v>8.4499999999999993</v>
      </c>
      <c r="AN188" s="168"/>
      <c r="AO188" s="254">
        <f t="shared" si="24"/>
        <v>0</v>
      </c>
      <c r="AP188" s="255"/>
      <c r="AQ188" s="254">
        <f t="shared" si="25"/>
        <v>0</v>
      </c>
      <c r="AR188" s="261"/>
      <c r="AS188" s="254">
        <f t="shared" si="26"/>
        <v>0</v>
      </c>
      <c r="AT188" s="256"/>
      <c r="AU188" s="257">
        <f t="shared" si="27"/>
        <v>0</v>
      </c>
      <c r="AV188" s="255"/>
      <c r="AW188" s="257">
        <f t="shared" si="28"/>
        <v>0</v>
      </c>
      <c r="AX188" s="271"/>
      <c r="AY188" s="257">
        <f t="shared" si="29"/>
        <v>0</v>
      </c>
      <c r="AZ188" s="255"/>
      <c r="BA188" s="257">
        <f t="shared" si="30"/>
        <v>0</v>
      </c>
      <c r="BB188" s="255"/>
      <c r="BC188" s="257">
        <f t="shared" si="31"/>
        <v>0</v>
      </c>
      <c r="BD188" s="274"/>
      <c r="BE188" s="257">
        <f t="shared" si="32"/>
        <v>0</v>
      </c>
      <c r="BF188" s="59"/>
      <c r="BG188" s="257">
        <f t="shared" si="33"/>
        <v>0</v>
      </c>
      <c r="BH188" s="59"/>
      <c r="BI188" s="257">
        <f t="shared" si="34"/>
        <v>0</v>
      </c>
      <c r="BJ188" s="59"/>
      <c r="BK188" s="257">
        <f t="shared" si="35"/>
        <v>0</v>
      </c>
    </row>
    <row r="189" spans="1:63" ht="18" customHeight="1">
      <c r="A189" s="250" t="s">
        <v>105</v>
      </c>
      <c r="B189" s="59" t="s">
        <v>221</v>
      </c>
      <c r="C189" s="59" t="s">
        <v>172</v>
      </c>
      <c r="D189" s="473"/>
      <c r="E189" s="39" t="s">
        <v>173</v>
      </c>
      <c r="F189" s="466"/>
      <c r="G189" s="172">
        <v>2021</v>
      </c>
      <c r="H189" s="186" t="s">
        <v>283</v>
      </c>
      <c r="I189" s="188" t="s">
        <v>183</v>
      </c>
      <c r="J189" s="187">
        <v>16</v>
      </c>
      <c r="K189" s="189" t="s">
        <v>284</v>
      </c>
      <c r="L189" s="190" t="s">
        <v>177</v>
      </c>
      <c r="M189" s="21" t="s">
        <v>192</v>
      </c>
      <c r="N189" s="21">
        <v>17.8</v>
      </c>
      <c r="O189" s="21">
        <v>17.8</v>
      </c>
      <c r="P189" s="21">
        <v>17.8</v>
      </c>
      <c r="Q189" s="21">
        <v>17.8</v>
      </c>
      <c r="R189" s="21">
        <v>17.8</v>
      </c>
      <c r="S189" s="21">
        <v>17.8</v>
      </c>
      <c r="T189" s="21">
        <v>17.8</v>
      </c>
      <c r="U189" s="21">
        <v>17.8</v>
      </c>
      <c r="V189" s="21">
        <v>17.8</v>
      </c>
      <c r="W189" s="21">
        <v>17.8</v>
      </c>
      <c r="X189" s="21">
        <v>17.8</v>
      </c>
      <c r="Y189" s="21">
        <v>17.8</v>
      </c>
      <c r="Z189" s="21">
        <v>17.8</v>
      </c>
      <c r="AA189" s="21">
        <v>6.21</v>
      </c>
      <c r="AB189" s="6">
        <v>6.21</v>
      </c>
      <c r="AC189" s="6">
        <v>6.21</v>
      </c>
      <c r="AD189" s="6">
        <v>6.21</v>
      </c>
      <c r="AE189" s="6">
        <v>6.21</v>
      </c>
      <c r="AF189" s="6">
        <v>6.21</v>
      </c>
      <c r="AG189" s="6">
        <v>6.21</v>
      </c>
      <c r="AH189" s="6">
        <v>6.21</v>
      </c>
      <c r="AI189" s="6">
        <v>6.21</v>
      </c>
      <c r="AJ189" s="6">
        <v>6.21</v>
      </c>
      <c r="AK189" s="6">
        <v>6.21</v>
      </c>
      <c r="AL189" s="6">
        <v>6.21</v>
      </c>
      <c r="AM189" s="6">
        <v>6.21</v>
      </c>
      <c r="AN189" s="168"/>
      <c r="AO189" s="254">
        <f t="shared" si="24"/>
        <v>0</v>
      </c>
      <c r="AP189" s="255"/>
      <c r="AQ189" s="254">
        <f t="shared" si="25"/>
        <v>0</v>
      </c>
      <c r="AR189" s="261"/>
      <c r="AS189" s="254">
        <f t="shared" si="26"/>
        <v>0</v>
      </c>
      <c r="AT189" s="256"/>
      <c r="AU189" s="257">
        <f t="shared" si="27"/>
        <v>0</v>
      </c>
      <c r="AV189" s="255"/>
      <c r="AW189" s="257">
        <f t="shared" si="28"/>
        <v>0</v>
      </c>
      <c r="AX189" s="271"/>
      <c r="AY189" s="257">
        <f t="shared" si="29"/>
        <v>0</v>
      </c>
      <c r="AZ189" s="255"/>
      <c r="BA189" s="257">
        <f t="shared" si="30"/>
        <v>0</v>
      </c>
      <c r="BB189" s="255"/>
      <c r="BC189" s="257">
        <f t="shared" si="31"/>
        <v>0</v>
      </c>
      <c r="BD189" s="274"/>
      <c r="BE189" s="257">
        <f t="shared" si="32"/>
        <v>0</v>
      </c>
      <c r="BF189" s="59"/>
      <c r="BG189" s="257">
        <f t="shared" si="33"/>
        <v>0</v>
      </c>
      <c r="BH189" s="59"/>
      <c r="BI189" s="257">
        <f t="shared" si="34"/>
        <v>0</v>
      </c>
      <c r="BJ189" s="59"/>
      <c r="BK189" s="257">
        <f t="shared" si="35"/>
        <v>0</v>
      </c>
    </row>
    <row r="190" spans="1:63" ht="18" customHeight="1">
      <c r="A190" s="250" t="s">
        <v>105</v>
      </c>
      <c r="B190" s="59" t="s">
        <v>221</v>
      </c>
      <c r="C190" s="59" t="s">
        <v>172</v>
      </c>
      <c r="D190" s="473"/>
      <c r="E190" s="39" t="s">
        <v>173</v>
      </c>
      <c r="F190" s="466"/>
      <c r="G190" s="172">
        <v>2021</v>
      </c>
      <c r="H190" s="186" t="s">
        <v>283</v>
      </c>
      <c r="I190" s="188" t="s">
        <v>183</v>
      </c>
      <c r="J190" s="187">
        <v>16</v>
      </c>
      <c r="K190" s="189" t="s">
        <v>285</v>
      </c>
      <c r="L190" s="190" t="s">
        <v>177</v>
      </c>
      <c r="M190" s="21" t="s">
        <v>192</v>
      </c>
      <c r="N190" s="21">
        <v>26.2</v>
      </c>
      <c r="O190" s="21">
        <v>26.2</v>
      </c>
      <c r="P190" s="21">
        <v>26.2</v>
      </c>
      <c r="Q190" s="21">
        <v>26.2</v>
      </c>
      <c r="R190" s="21">
        <v>26.2</v>
      </c>
      <c r="S190" s="21">
        <v>26.2</v>
      </c>
      <c r="T190" s="21">
        <v>26.2</v>
      </c>
      <c r="U190" s="21">
        <v>26.2</v>
      </c>
      <c r="V190" s="21">
        <v>26.2</v>
      </c>
      <c r="W190" s="21">
        <v>26.2</v>
      </c>
      <c r="X190" s="21">
        <v>26.2</v>
      </c>
      <c r="Y190" s="21">
        <v>26.2</v>
      </c>
      <c r="Z190" s="21">
        <v>26.2</v>
      </c>
      <c r="AA190" s="21">
        <v>7.61</v>
      </c>
      <c r="AB190" s="6">
        <v>7.61</v>
      </c>
      <c r="AC190" s="6">
        <v>7.61</v>
      </c>
      <c r="AD190" s="6">
        <v>7.61</v>
      </c>
      <c r="AE190" s="6">
        <v>7.61</v>
      </c>
      <c r="AF190" s="6">
        <v>7.61</v>
      </c>
      <c r="AG190" s="6">
        <v>7.61</v>
      </c>
      <c r="AH190" s="6">
        <v>7.61</v>
      </c>
      <c r="AI190" s="6">
        <v>7.61</v>
      </c>
      <c r="AJ190" s="6">
        <v>7.61</v>
      </c>
      <c r="AK190" s="6">
        <v>7.61</v>
      </c>
      <c r="AL190" s="6">
        <v>7.61</v>
      </c>
      <c r="AM190" s="6">
        <v>7.61</v>
      </c>
      <c r="AN190" s="168"/>
      <c r="AO190" s="254">
        <f t="shared" si="24"/>
        <v>0</v>
      </c>
      <c r="AP190" s="255"/>
      <c r="AQ190" s="254">
        <f t="shared" si="25"/>
        <v>0</v>
      </c>
      <c r="AR190" s="261"/>
      <c r="AS190" s="254">
        <f t="shared" si="26"/>
        <v>0</v>
      </c>
      <c r="AT190" s="256"/>
      <c r="AU190" s="257">
        <f t="shared" si="27"/>
        <v>0</v>
      </c>
      <c r="AV190" s="255"/>
      <c r="AW190" s="257">
        <f t="shared" si="28"/>
        <v>0</v>
      </c>
      <c r="AX190" s="271"/>
      <c r="AY190" s="257">
        <f t="shared" si="29"/>
        <v>0</v>
      </c>
      <c r="AZ190" s="255"/>
      <c r="BA190" s="257">
        <f t="shared" si="30"/>
        <v>0</v>
      </c>
      <c r="BB190" s="255"/>
      <c r="BC190" s="257">
        <f t="shared" si="31"/>
        <v>0</v>
      </c>
      <c r="BD190" s="274"/>
      <c r="BE190" s="257">
        <f t="shared" si="32"/>
        <v>0</v>
      </c>
      <c r="BF190" s="59"/>
      <c r="BG190" s="257">
        <f t="shared" si="33"/>
        <v>0</v>
      </c>
      <c r="BH190" s="59"/>
      <c r="BI190" s="257">
        <f t="shared" si="34"/>
        <v>0</v>
      </c>
      <c r="BJ190" s="59"/>
      <c r="BK190" s="257">
        <f t="shared" si="35"/>
        <v>0</v>
      </c>
    </row>
    <row r="191" spans="1:63" ht="18" customHeight="1">
      <c r="A191" s="250" t="s">
        <v>105</v>
      </c>
      <c r="B191" s="59" t="s">
        <v>221</v>
      </c>
      <c r="C191" s="59" t="s">
        <v>172</v>
      </c>
      <c r="D191" s="473"/>
      <c r="E191" s="39" t="s">
        <v>173</v>
      </c>
      <c r="F191" s="466"/>
      <c r="G191" s="172">
        <v>2021</v>
      </c>
      <c r="H191" s="74" t="s">
        <v>286</v>
      </c>
      <c r="I191" s="188" t="s">
        <v>183</v>
      </c>
      <c r="J191" s="187">
        <v>16</v>
      </c>
      <c r="K191" s="74" t="s">
        <v>281</v>
      </c>
      <c r="L191" s="190" t="s">
        <v>177</v>
      </c>
      <c r="M191" s="21" t="s">
        <v>192</v>
      </c>
      <c r="N191" s="21">
        <v>17.8</v>
      </c>
      <c r="O191" s="21">
        <v>17.8</v>
      </c>
      <c r="P191" s="21">
        <v>17.8</v>
      </c>
      <c r="Q191" s="21">
        <v>17.8</v>
      </c>
      <c r="R191" s="21">
        <v>17.8</v>
      </c>
      <c r="S191" s="21">
        <v>17.8</v>
      </c>
      <c r="T191" s="21">
        <v>17.8</v>
      </c>
      <c r="U191" s="21">
        <v>17.8</v>
      </c>
      <c r="V191" s="21">
        <v>17.8</v>
      </c>
      <c r="W191" s="21">
        <v>17.8</v>
      </c>
      <c r="X191" s="21">
        <v>17.8</v>
      </c>
      <c r="Y191" s="21">
        <v>17.8</v>
      </c>
      <c r="Z191" s="21">
        <v>17.8</v>
      </c>
      <c r="AA191" s="21">
        <v>6.21</v>
      </c>
      <c r="AB191" s="6">
        <v>6.21</v>
      </c>
      <c r="AC191" s="6">
        <v>6.21</v>
      </c>
      <c r="AD191" s="6">
        <v>6.21</v>
      </c>
      <c r="AE191" s="6">
        <v>6.21</v>
      </c>
      <c r="AF191" s="6">
        <v>6.21</v>
      </c>
      <c r="AG191" s="6">
        <v>6.21</v>
      </c>
      <c r="AH191" s="6">
        <v>6.21</v>
      </c>
      <c r="AI191" s="6">
        <v>6.21</v>
      </c>
      <c r="AJ191" s="6">
        <v>6.21</v>
      </c>
      <c r="AK191" s="6">
        <v>6.21</v>
      </c>
      <c r="AL191" s="6">
        <v>6.21</v>
      </c>
      <c r="AM191" s="6">
        <v>6.21</v>
      </c>
      <c r="AN191" s="168"/>
      <c r="AO191" s="254">
        <f t="shared" si="24"/>
        <v>0</v>
      </c>
      <c r="AP191" s="255"/>
      <c r="AQ191" s="254">
        <f t="shared" si="25"/>
        <v>0</v>
      </c>
      <c r="AR191" s="261"/>
      <c r="AS191" s="254">
        <f t="shared" si="26"/>
        <v>0</v>
      </c>
      <c r="AT191" s="256"/>
      <c r="AU191" s="257">
        <f t="shared" si="27"/>
        <v>0</v>
      </c>
      <c r="AV191" s="255"/>
      <c r="AW191" s="257">
        <f t="shared" si="28"/>
        <v>0</v>
      </c>
      <c r="AX191" s="271"/>
      <c r="AY191" s="257">
        <f t="shared" si="29"/>
        <v>0</v>
      </c>
      <c r="AZ191" s="255"/>
      <c r="BA191" s="257">
        <f t="shared" si="30"/>
        <v>0</v>
      </c>
      <c r="BB191" s="255"/>
      <c r="BC191" s="257">
        <f t="shared" si="31"/>
        <v>0</v>
      </c>
      <c r="BD191" s="274"/>
      <c r="BE191" s="257">
        <f t="shared" si="32"/>
        <v>0</v>
      </c>
      <c r="BF191" s="59"/>
      <c r="BG191" s="257">
        <f t="shared" si="33"/>
        <v>0</v>
      </c>
      <c r="BH191" s="59"/>
      <c r="BI191" s="257">
        <f t="shared" si="34"/>
        <v>0</v>
      </c>
      <c r="BJ191" s="59"/>
      <c r="BK191" s="257">
        <f t="shared" si="35"/>
        <v>0</v>
      </c>
    </row>
    <row r="192" spans="1:63" ht="18" customHeight="1">
      <c r="A192" s="250" t="s">
        <v>105</v>
      </c>
      <c r="B192" s="59" t="s">
        <v>221</v>
      </c>
      <c r="C192" s="59" t="s">
        <v>172</v>
      </c>
      <c r="D192" s="473"/>
      <c r="E192" s="39" t="s">
        <v>173</v>
      </c>
      <c r="F192" s="466"/>
      <c r="G192" s="172">
        <v>2021</v>
      </c>
      <c r="H192" s="186" t="s">
        <v>286</v>
      </c>
      <c r="I192" s="188" t="s">
        <v>183</v>
      </c>
      <c r="J192" s="187">
        <v>16</v>
      </c>
      <c r="K192" s="189" t="s">
        <v>287</v>
      </c>
      <c r="L192" s="190" t="s">
        <v>177</v>
      </c>
      <c r="M192" s="21" t="s">
        <v>192</v>
      </c>
      <c r="N192" s="21">
        <v>26.2</v>
      </c>
      <c r="O192" s="21">
        <v>26.2</v>
      </c>
      <c r="P192" s="21">
        <v>26.2</v>
      </c>
      <c r="Q192" s="21">
        <v>26.2</v>
      </c>
      <c r="R192" s="21">
        <v>26.2</v>
      </c>
      <c r="S192" s="21">
        <v>26.2</v>
      </c>
      <c r="T192" s="21">
        <v>26.2</v>
      </c>
      <c r="U192" s="21">
        <v>26.2</v>
      </c>
      <c r="V192" s="21">
        <v>26.2</v>
      </c>
      <c r="W192" s="21">
        <v>26.2</v>
      </c>
      <c r="X192" s="21">
        <v>26.2</v>
      </c>
      <c r="Y192" s="21">
        <v>26.2</v>
      </c>
      <c r="Z192" s="21">
        <v>26.2</v>
      </c>
      <c r="AA192" s="21">
        <v>7.61</v>
      </c>
      <c r="AB192" s="6">
        <v>7.61</v>
      </c>
      <c r="AC192" s="6">
        <v>7.61</v>
      </c>
      <c r="AD192" s="6">
        <v>7.61</v>
      </c>
      <c r="AE192" s="6">
        <v>7.61</v>
      </c>
      <c r="AF192" s="6">
        <v>7.61</v>
      </c>
      <c r="AG192" s="6">
        <v>7.61</v>
      </c>
      <c r="AH192" s="6">
        <v>7.61</v>
      </c>
      <c r="AI192" s="6">
        <v>7.61</v>
      </c>
      <c r="AJ192" s="6">
        <v>7.61</v>
      </c>
      <c r="AK192" s="6">
        <v>7.61</v>
      </c>
      <c r="AL192" s="6">
        <v>7.61</v>
      </c>
      <c r="AM192" s="6">
        <v>7.61</v>
      </c>
      <c r="AN192" s="168"/>
      <c r="AO192" s="254">
        <f t="shared" si="24"/>
        <v>0</v>
      </c>
      <c r="AP192" s="255"/>
      <c r="AQ192" s="254">
        <f t="shared" si="25"/>
        <v>0</v>
      </c>
      <c r="AR192" s="255"/>
      <c r="AS192" s="254">
        <f t="shared" si="26"/>
        <v>0</v>
      </c>
      <c r="AT192" s="256"/>
      <c r="AU192" s="257">
        <f t="shared" si="27"/>
        <v>0</v>
      </c>
      <c r="AV192" s="255"/>
      <c r="AW192" s="257">
        <f t="shared" si="28"/>
        <v>0</v>
      </c>
      <c r="AX192" s="255"/>
      <c r="AY192" s="257">
        <f t="shared" si="29"/>
        <v>0</v>
      </c>
      <c r="AZ192" s="255"/>
      <c r="BA192" s="257">
        <f t="shared" si="30"/>
        <v>0</v>
      </c>
      <c r="BB192" s="255"/>
      <c r="BC192" s="257">
        <f t="shared" si="31"/>
        <v>0</v>
      </c>
      <c r="BD192" s="255"/>
      <c r="BE192" s="257">
        <f t="shared" si="32"/>
        <v>0</v>
      </c>
      <c r="BF192" s="59"/>
      <c r="BG192" s="257">
        <f t="shared" si="33"/>
        <v>0</v>
      </c>
      <c r="BH192" s="59"/>
      <c r="BI192" s="257">
        <f t="shared" si="34"/>
        <v>0</v>
      </c>
      <c r="BJ192" s="59"/>
      <c r="BK192" s="257">
        <f t="shared" si="35"/>
        <v>0</v>
      </c>
    </row>
    <row r="193" spans="1:63" ht="18" customHeight="1">
      <c r="A193" s="250" t="s">
        <v>105</v>
      </c>
      <c r="B193" s="59" t="s">
        <v>221</v>
      </c>
      <c r="C193" s="59" t="s">
        <v>172</v>
      </c>
      <c r="D193" s="473"/>
      <c r="E193" s="39" t="s">
        <v>173</v>
      </c>
      <c r="F193" s="466"/>
      <c r="G193" s="172">
        <v>2022</v>
      </c>
      <c r="H193" s="74" t="s">
        <v>288</v>
      </c>
      <c r="I193" s="188" t="s">
        <v>183</v>
      </c>
      <c r="J193" s="187">
        <v>16</v>
      </c>
      <c r="K193" s="189" t="s">
        <v>284</v>
      </c>
      <c r="L193" s="190" t="s">
        <v>177</v>
      </c>
      <c r="M193" s="21" t="s">
        <v>192</v>
      </c>
      <c r="N193" s="21">
        <v>17.2</v>
      </c>
      <c r="O193" s="21">
        <v>17.2</v>
      </c>
      <c r="P193" s="21">
        <v>17.2</v>
      </c>
      <c r="Q193" s="21">
        <v>17.2</v>
      </c>
      <c r="R193" s="21">
        <v>17.2</v>
      </c>
      <c r="S193" s="21">
        <v>17.2</v>
      </c>
      <c r="T193" s="21">
        <v>17.2</v>
      </c>
      <c r="U193" s="21">
        <v>17.2</v>
      </c>
      <c r="V193" s="21">
        <v>17.2</v>
      </c>
      <c r="W193" s="21">
        <v>17.2</v>
      </c>
      <c r="X193" s="21">
        <v>17.2</v>
      </c>
      <c r="Y193" s="21">
        <v>17.2</v>
      </c>
      <c r="Z193" s="21">
        <v>17.2</v>
      </c>
      <c r="AA193" s="21">
        <v>2.5</v>
      </c>
      <c r="AB193" s="6">
        <v>2.5</v>
      </c>
      <c r="AC193" s="6">
        <v>2.5</v>
      </c>
      <c r="AD193" s="6">
        <v>4</v>
      </c>
      <c r="AE193" s="6">
        <v>4</v>
      </c>
      <c r="AF193" s="6">
        <v>4</v>
      </c>
      <c r="AG193" s="6">
        <v>4</v>
      </c>
      <c r="AH193" s="6">
        <v>6.8</v>
      </c>
      <c r="AI193" s="6">
        <v>6.8</v>
      </c>
      <c r="AJ193" s="6">
        <v>6.8</v>
      </c>
      <c r="AK193" s="6">
        <v>6.8</v>
      </c>
      <c r="AL193" s="6">
        <v>6.8</v>
      </c>
      <c r="AM193" s="6">
        <v>6.8</v>
      </c>
      <c r="AN193" s="168"/>
      <c r="AO193" s="254">
        <f t="shared" si="24"/>
        <v>0</v>
      </c>
      <c r="AP193" s="255"/>
      <c r="AQ193" s="254">
        <f t="shared" si="25"/>
        <v>0</v>
      </c>
      <c r="AR193" s="261"/>
      <c r="AS193" s="254">
        <f t="shared" si="26"/>
        <v>0</v>
      </c>
      <c r="AT193" s="256"/>
      <c r="AU193" s="257">
        <f t="shared" si="27"/>
        <v>0</v>
      </c>
      <c r="AV193" s="255"/>
      <c r="AW193" s="257">
        <f t="shared" si="28"/>
        <v>0</v>
      </c>
      <c r="AX193" s="271"/>
      <c r="AY193" s="257">
        <f t="shared" si="29"/>
        <v>0</v>
      </c>
      <c r="AZ193" s="255"/>
      <c r="BA193" s="257">
        <f t="shared" si="30"/>
        <v>0</v>
      </c>
      <c r="BB193" s="255"/>
      <c r="BC193" s="257">
        <f t="shared" si="31"/>
        <v>0</v>
      </c>
      <c r="BD193" s="274"/>
      <c r="BE193" s="257">
        <f t="shared" si="32"/>
        <v>0</v>
      </c>
      <c r="BF193" s="59"/>
      <c r="BG193" s="257">
        <f t="shared" si="33"/>
        <v>0</v>
      </c>
      <c r="BH193" s="59"/>
      <c r="BI193" s="257">
        <f t="shared" si="34"/>
        <v>0</v>
      </c>
      <c r="BJ193" s="59"/>
      <c r="BK193" s="257">
        <f t="shared" si="35"/>
        <v>0</v>
      </c>
    </row>
    <row r="194" spans="1:63" ht="18" customHeight="1">
      <c r="A194" s="250" t="s">
        <v>105</v>
      </c>
      <c r="B194" s="59" t="s">
        <v>221</v>
      </c>
      <c r="C194" s="59" t="s">
        <v>172</v>
      </c>
      <c r="D194" s="473"/>
      <c r="E194" s="39" t="s">
        <v>173</v>
      </c>
      <c r="F194" s="466"/>
      <c r="G194" s="172">
        <v>2022</v>
      </c>
      <c r="H194" s="74" t="s">
        <v>288</v>
      </c>
      <c r="I194" s="188" t="s">
        <v>183</v>
      </c>
      <c r="J194" s="187">
        <v>16</v>
      </c>
      <c r="K194" s="189" t="s">
        <v>285</v>
      </c>
      <c r="L194" s="190" t="s">
        <v>177</v>
      </c>
      <c r="M194" s="21" t="s">
        <v>192</v>
      </c>
      <c r="N194" s="21">
        <v>25.35</v>
      </c>
      <c r="O194" s="21">
        <v>25.35</v>
      </c>
      <c r="P194" s="21">
        <v>25.35</v>
      </c>
      <c r="Q194" s="21">
        <v>25.35</v>
      </c>
      <c r="R194" s="21">
        <v>25.35</v>
      </c>
      <c r="S194" s="21">
        <v>25.35</v>
      </c>
      <c r="T194" s="21">
        <v>25.35</v>
      </c>
      <c r="U194" s="21">
        <v>25.35</v>
      </c>
      <c r="V194" s="21">
        <v>25.35</v>
      </c>
      <c r="W194" s="21">
        <v>25.35</v>
      </c>
      <c r="X194" s="21">
        <v>25.35</v>
      </c>
      <c r="Y194" s="21">
        <v>25.35</v>
      </c>
      <c r="Z194" s="21">
        <v>25.35</v>
      </c>
      <c r="AA194" s="21">
        <v>3.5</v>
      </c>
      <c r="AB194" s="6">
        <v>3.5</v>
      </c>
      <c r="AC194" s="6">
        <v>3.5</v>
      </c>
      <c r="AD194" s="6">
        <v>5.5</v>
      </c>
      <c r="AE194" s="6">
        <v>5.5</v>
      </c>
      <c r="AF194" s="6">
        <v>5.5</v>
      </c>
      <c r="AG194" s="6">
        <v>5.5</v>
      </c>
      <c r="AH194" s="6">
        <v>9.5500000000000007</v>
      </c>
      <c r="AI194" s="6">
        <v>9.5500000000000007</v>
      </c>
      <c r="AJ194" s="6">
        <v>9.5500000000000007</v>
      </c>
      <c r="AK194" s="6">
        <v>9.5500000000000007</v>
      </c>
      <c r="AL194" s="6">
        <v>9.5500000000000007</v>
      </c>
      <c r="AM194" s="6">
        <v>9.5500000000000007</v>
      </c>
      <c r="AN194" s="168">
        <v>1040</v>
      </c>
      <c r="AO194" s="254">
        <f t="shared" si="24"/>
        <v>3640</v>
      </c>
      <c r="AP194" s="255">
        <v>1120</v>
      </c>
      <c r="AQ194" s="254">
        <f t="shared" si="25"/>
        <v>3920</v>
      </c>
      <c r="AR194" s="255"/>
      <c r="AS194" s="254">
        <f t="shared" si="26"/>
        <v>0</v>
      </c>
      <c r="AT194" s="256">
        <v>680</v>
      </c>
      <c r="AU194" s="257">
        <f t="shared" si="27"/>
        <v>3740</v>
      </c>
      <c r="AV194" s="255"/>
      <c r="AW194" s="257">
        <f t="shared" si="28"/>
        <v>0</v>
      </c>
      <c r="AX194" s="255">
        <v>200</v>
      </c>
      <c r="AY194" s="257">
        <f t="shared" si="29"/>
        <v>1100</v>
      </c>
      <c r="AZ194" s="255"/>
      <c r="BA194" s="257">
        <f t="shared" si="30"/>
        <v>0</v>
      </c>
      <c r="BB194" s="255"/>
      <c r="BC194" s="257">
        <f t="shared" si="31"/>
        <v>0</v>
      </c>
      <c r="BD194" s="255">
        <v>7160</v>
      </c>
      <c r="BE194" s="257">
        <f t="shared" si="32"/>
        <v>68378</v>
      </c>
      <c r="BF194" s="59"/>
      <c r="BG194" s="257">
        <f t="shared" si="33"/>
        <v>0</v>
      </c>
      <c r="BH194" s="59"/>
      <c r="BI194" s="257">
        <f t="shared" si="34"/>
        <v>0</v>
      </c>
      <c r="BJ194" s="59"/>
      <c r="BK194" s="257">
        <f t="shared" si="35"/>
        <v>0</v>
      </c>
    </row>
    <row r="195" spans="1:63" ht="18" customHeight="1">
      <c r="A195" s="250" t="s">
        <v>105</v>
      </c>
      <c r="B195" s="59" t="s">
        <v>221</v>
      </c>
      <c r="C195" s="59" t="s">
        <v>172</v>
      </c>
      <c r="D195" s="473"/>
      <c r="E195" s="39" t="s">
        <v>173</v>
      </c>
      <c r="F195" s="466"/>
      <c r="G195" s="172">
        <v>2022</v>
      </c>
      <c r="H195" s="74" t="s">
        <v>288</v>
      </c>
      <c r="I195" s="188" t="s">
        <v>183</v>
      </c>
      <c r="J195" s="187">
        <v>16</v>
      </c>
      <c r="K195" s="74" t="s">
        <v>281</v>
      </c>
      <c r="L195" s="190" t="s">
        <v>177</v>
      </c>
      <c r="M195" s="21" t="s">
        <v>192</v>
      </c>
      <c r="N195" s="21">
        <v>17.2</v>
      </c>
      <c r="O195" s="21">
        <v>17.2</v>
      </c>
      <c r="P195" s="21">
        <v>17.2</v>
      </c>
      <c r="Q195" s="21">
        <v>17.2</v>
      </c>
      <c r="R195" s="21">
        <v>17.2</v>
      </c>
      <c r="S195" s="21">
        <v>17.2</v>
      </c>
      <c r="T195" s="21">
        <v>17.2</v>
      </c>
      <c r="U195" s="21">
        <v>17.2</v>
      </c>
      <c r="V195" s="21">
        <v>17.2</v>
      </c>
      <c r="W195" s="21">
        <v>17.2</v>
      </c>
      <c r="X195" s="21">
        <v>17.2</v>
      </c>
      <c r="Y195" s="21">
        <v>17.2</v>
      </c>
      <c r="Z195" s="21">
        <v>17.2</v>
      </c>
      <c r="AA195" s="21">
        <v>2.5</v>
      </c>
      <c r="AB195" s="6">
        <v>2.5</v>
      </c>
      <c r="AC195" s="6">
        <v>2.5</v>
      </c>
      <c r="AD195" s="6">
        <v>4</v>
      </c>
      <c r="AE195" s="6">
        <v>4</v>
      </c>
      <c r="AF195" s="6">
        <v>4</v>
      </c>
      <c r="AG195" s="6">
        <v>4</v>
      </c>
      <c r="AH195" s="6">
        <v>6.8</v>
      </c>
      <c r="AI195" s="6">
        <v>6.8</v>
      </c>
      <c r="AJ195" s="6">
        <v>6.8</v>
      </c>
      <c r="AK195" s="6">
        <v>6.8</v>
      </c>
      <c r="AL195" s="6">
        <v>6.8</v>
      </c>
      <c r="AM195" s="6">
        <v>6.8</v>
      </c>
      <c r="AN195" s="168">
        <v>160</v>
      </c>
      <c r="AO195" s="254">
        <f t="shared" si="24"/>
        <v>400</v>
      </c>
      <c r="AP195" s="255"/>
      <c r="AQ195" s="254">
        <f t="shared" si="25"/>
        <v>0</v>
      </c>
      <c r="AR195" s="266">
        <v>200</v>
      </c>
      <c r="AS195" s="254">
        <f t="shared" si="26"/>
        <v>800</v>
      </c>
      <c r="AT195" s="256"/>
      <c r="AU195" s="257">
        <f t="shared" si="27"/>
        <v>0</v>
      </c>
      <c r="AV195" s="255">
        <v>40</v>
      </c>
      <c r="AW195" s="257">
        <f t="shared" si="28"/>
        <v>160</v>
      </c>
      <c r="AX195" s="255">
        <v>120</v>
      </c>
      <c r="AY195" s="257">
        <f t="shared" si="29"/>
        <v>480</v>
      </c>
      <c r="AZ195" s="255">
        <v>40</v>
      </c>
      <c r="BA195" s="257">
        <f t="shared" si="30"/>
        <v>272</v>
      </c>
      <c r="BB195" s="255">
        <v>40</v>
      </c>
      <c r="BC195" s="257">
        <f t="shared" si="31"/>
        <v>272</v>
      </c>
      <c r="BD195" s="271">
        <v>40</v>
      </c>
      <c r="BE195" s="257">
        <f t="shared" si="32"/>
        <v>272</v>
      </c>
      <c r="BF195" s="59"/>
      <c r="BG195" s="257">
        <f t="shared" si="33"/>
        <v>0</v>
      </c>
      <c r="BH195" s="59"/>
      <c r="BI195" s="257">
        <f t="shared" si="34"/>
        <v>0</v>
      </c>
      <c r="BJ195" s="59"/>
      <c r="BK195" s="257">
        <f t="shared" si="35"/>
        <v>0</v>
      </c>
    </row>
    <row r="196" spans="1:63" ht="18" customHeight="1">
      <c r="A196" s="250" t="s">
        <v>105</v>
      </c>
      <c r="B196" s="59" t="s">
        <v>221</v>
      </c>
      <c r="C196" s="59" t="s">
        <v>172</v>
      </c>
      <c r="D196" s="473"/>
      <c r="E196" s="39" t="s">
        <v>173</v>
      </c>
      <c r="F196" s="466"/>
      <c r="G196" s="172">
        <v>2022</v>
      </c>
      <c r="H196" s="74" t="s">
        <v>288</v>
      </c>
      <c r="I196" s="188" t="s">
        <v>183</v>
      </c>
      <c r="J196" s="187">
        <v>16</v>
      </c>
      <c r="K196" s="189" t="s">
        <v>287</v>
      </c>
      <c r="L196" s="190" t="s">
        <v>177</v>
      </c>
      <c r="M196" s="21" t="s">
        <v>192</v>
      </c>
      <c r="N196" s="21">
        <v>25.35</v>
      </c>
      <c r="O196" s="21">
        <v>25.35</v>
      </c>
      <c r="P196" s="21">
        <v>25.35</v>
      </c>
      <c r="Q196" s="21">
        <v>25.35</v>
      </c>
      <c r="R196" s="21">
        <v>25.35</v>
      </c>
      <c r="S196" s="21">
        <v>25.35</v>
      </c>
      <c r="T196" s="21">
        <v>25.35</v>
      </c>
      <c r="U196" s="21">
        <v>25.35</v>
      </c>
      <c r="V196" s="21">
        <v>25.35</v>
      </c>
      <c r="W196" s="21">
        <v>25.35</v>
      </c>
      <c r="X196" s="21">
        <v>25.35</v>
      </c>
      <c r="Y196" s="21">
        <v>25.35</v>
      </c>
      <c r="Z196" s="21">
        <v>25.35</v>
      </c>
      <c r="AA196" s="21">
        <v>3.5</v>
      </c>
      <c r="AB196" s="6">
        <v>3.5</v>
      </c>
      <c r="AC196" s="6">
        <v>3.5</v>
      </c>
      <c r="AD196" s="6">
        <v>5.5</v>
      </c>
      <c r="AE196" s="6">
        <v>5.5</v>
      </c>
      <c r="AF196" s="6">
        <v>5.5</v>
      </c>
      <c r="AG196" s="6">
        <v>5.5</v>
      </c>
      <c r="AH196" s="6">
        <v>9.5500000000000007</v>
      </c>
      <c r="AI196" s="6">
        <v>9.5500000000000007</v>
      </c>
      <c r="AJ196" s="6">
        <v>9.5500000000000007</v>
      </c>
      <c r="AK196" s="6">
        <v>9.5500000000000007</v>
      </c>
      <c r="AL196" s="6">
        <v>9.5500000000000007</v>
      </c>
      <c r="AM196" s="6">
        <v>9.5500000000000007</v>
      </c>
      <c r="AN196" s="168">
        <v>160</v>
      </c>
      <c r="AO196" s="254">
        <f t="shared" ref="AO196:AO241" si="36">AB196*AN196</f>
        <v>560</v>
      </c>
      <c r="AP196" s="255">
        <v>156</v>
      </c>
      <c r="AQ196" s="254">
        <f t="shared" ref="AQ196:AQ241" si="37">AC196*AP196</f>
        <v>546</v>
      </c>
      <c r="AR196" s="255">
        <v>40</v>
      </c>
      <c r="AS196" s="254">
        <f t="shared" ref="AS196:AS241" si="38">AD196*AR196</f>
        <v>220</v>
      </c>
      <c r="AT196" s="256">
        <v>160</v>
      </c>
      <c r="AU196" s="257">
        <f t="shared" ref="AU196:AU241" si="39">AE196*AT196</f>
        <v>880</v>
      </c>
      <c r="AV196" s="255">
        <v>1520</v>
      </c>
      <c r="AW196" s="257">
        <f t="shared" ref="AW196:AW241" si="40">AF196*AV196</f>
        <v>8360</v>
      </c>
      <c r="AX196" s="255">
        <v>40</v>
      </c>
      <c r="AY196" s="257">
        <f t="shared" ref="AY196:AY241" si="41">AG196*AX196</f>
        <v>220</v>
      </c>
      <c r="AZ196" s="255">
        <v>238</v>
      </c>
      <c r="BA196" s="257">
        <f t="shared" ref="BA196:BA241" si="42">AH196*AZ196</f>
        <v>2272.9</v>
      </c>
      <c r="BB196" s="255">
        <v>2983</v>
      </c>
      <c r="BC196" s="257">
        <f t="shared" ref="BC196:BC241" si="43">AI196*BB196</f>
        <v>28487.65</v>
      </c>
      <c r="BD196" s="255"/>
      <c r="BE196" s="257">
        <f t="shared" ref="BE196:BE241" si="44">AJ196*BD196</f>
        <v>0</v>
      </c>
      <c r="BF196" s="59"/>
      <c r="BG196" s="257">
        <f t="shared" ref="BG196:BG241" si="45">AK196*BF196</f>
        <v>0</v>
      </c>
      <c r="BH196" s="59"/>
      <c r="BI196" s="257">
        <f t="shared" ref="BI196:BI241" si="46">AL196*BH196</f>
        <v>0</v>
      </c>
      <c r="BJ196" s="59"/>
      <c r="BK196" s="257">
        <f t="shared" ref="BK196:BK241" si="47">AM196*BJ196</f>
        <v>0</v>
      </c>
    </row>
    <row r="197" spans="1:63" ht="18" customHeight="1">
      <c r="A197" s="250" t="s">
        <v>105</v>
      </c>
      <c r="B197" s="59" t="s">
        <v>221</v>
      </c>
      <c r="C197" s="59" t="s">
        <v>172</v>
      </c>
      <c r="D197" s="473"/>
      <c r="E197" s="39" t="s">
        <v>173</v>
      </c>
      <c r="F197" s="466"/>
      <c r="G197" s="172">
        <v>2020</v>
      </c>
      <c r="H197" s="186" t="s">
        <v>277</v>
      </c>
      <c r="I197" s="188" t="s">
        <v>183</v>
      </c>
      <c r="J197" s="187">
        <v>15</v>
      </c>
      <c r="K197" s="186" t="s">
        <v>289</v>
      </c>
      <c r="L197" s="190" t="s">
        <v>177</v>
      </c>
      <c r="M197" s="21" t="s">
        <v>192</v>
      </c>
      <c r="N197" s="21">
        <v>17.8</v>
      </c>
      <c r="O197" s="21">
        <v>17.8</v>
      </c>
      <c r="P197" s="21">
        <v>17.8</v>
      </c>
      <c r="Q197" s="21">
        <v>17.8</v>
      </c>
      <c r="R197" s="21">
        <v>17.8</v>
      </c>
      <c r="S197" s="21">
        <v>17.8</v>
      </c>
      <c r="T197" s="21">
        <v>17.8</v>
      </c>
      <c r="U197" s="21">
        <v>17.8</v>
      </c>
      <c r="V197" s="21">
        <v>17.8</v>
      </c>
      <c r="W197" s="21">
        <v>17.8</v>
      </c>
      <c r="X197" s="21">
        <v>17.8</v>
      </c>
      <c r="Y197" s="21">
        <v>17.8</v>
      </c>
      <c r="Z197" s="21">
        <v>17.8</v>
      </c>
      <c r="AA197" s="21">
        <v>6.8</v>
      </c>
      <c r="AB197" s="6">
        <v>6.8</v>
      </c>
      <c r="AC197" s="6">
        <v>6.8</v>
      </c>
      <c r="AD197" s="6">
        <v>6.8</v>
      </c>
      <c r="AE197" s="6">
        <v>6.8</v>
      </c>
      <c r="AF197" s="6">
        <v>6.8</v>
      </c>
      <c r="AG197" s="6">
        <v>6.8</v>
      </c>
      <c r="AH197" s="6">
        <v>6.8</v>
      </c>
      <c r="AI197" s="6">
        <v>6.8</v>
      </c>
      <c r="AJ197" s="6">
        <v>6.8</v>
      </c>
      <c r="AK197" s="6">
        <v>6.8</v>
      </c>
      <c r="AL197" s="6">
        <v>6.8</v>
      </c>
      <c r="AM197" s="6">
        <v>6.8</v>
      </c>
      <c r="AN197" s="168"/>
      <c r="AO197" s="254">
        <f t="shared" si="36"/>
        <v>0</v>
      </c>
      <c r="AP197" s="255"/>
      <c r="AQ197" s="254">
        <f t="shared" si="37"/>
        <v>0</v>
      </c>
      <c r="AR197" s="261"/>
      <c r="AS197" s="254">
        <f t="shared" si="38"/>
        <v>0</v>
      </c>
      <c r="AT197" s="256"/>
      <c r="AU197" s="257">
        <f t="shared" si="39"/>
        <v>0</v>
      </c>
      <c r="AV197" s="255"/>
      <c r="AW197" s="257">
        <f t="shared" si="40"/>
        <v>0</v>
      </c>
      <c r="AX197" s="271"/>
      <c r="AY197" s="257">
        <f t="shared" si="41"/>
        <v>0</v>
      </c>
      <c r="AZ197" s="255"/>
      <c r="BA197" s="257">
        <f t="shared" si="42"/>
        <v>0</v>
      </c>
      <c r="BB197" s="255"/>
      <c r="BC197" s="257">
        <f t="shared" si="43"/>
        <v>0</v>
      </c>
      <c r="BD197" s="274"/>
      <c r="BE197" s="257">
        <f t="shared" si="44"/>
        <v>0</v>
      </c>
      <c r="BF197" s="59"/>
      <c r="BG197" s="257">
        <f t="shared" si="45"/>
        <v>0</v>
      </c>
      <c r="BH197" s="59"/>
      <c r="BI197" s="257">
        <f t="shared" si="46"/>
        <v>0</v>
      </c>
      <c r="BJ197" s="59"/>
      <c r="BK197" s="257">
        <f t="shared" si="47"/>
        <v>0</v>
      </c>
    </row>
    <row r="198" spans="1:63" ht="18" customHeight="1">
      <c r="A198" s="250" t="s">
        <v>105</v>
      </c>
      <c r="B198" s="59" t="s">
        <v>221</v>
      </c>
      <c r="C198" s="59" t="s">
        <v>172</v>
      </c>
      <c r="D198" s="473"/>
      <c r="E198" s="39" t="s">
        <v>173</v>
      </c>
      <c r="F198" s="466"/>
      <c r="G198" s="172">
        <v>2020</v>
      </c>
      <c r="H198" s="186" t="s">
        <v>277</v>
      </c>
      <c r="I198" s="188" t="s">
        <v>183</v>
      </c>
      <c r="J198" s="187">
        <v>15</v>
      </c>
      <c r="K198" s="186" t="s">
        <v>290</v>
      </c>
      <c r="L198" s="190" t="s">
        <v>177</v>
      </c>
      <c r="M198" s="21" t="s">
        <v>192</v>
      </c>
      <c r="N198" s="21">
        <v>26.2</v>
      </c>
      <c r="O198" s="21">
        <v>26.2</v>
      </c>
      <c r="P198" s="21">
        <v>26.2</v>
      </c>
      <c r="Q198" s="21">
        <v>26.2</v>
      </c>
      <c r="R198" s="21">
        <v>26.2</v>
      </c>
      <c r="S198" s="21">
        <v>26.2</v>
      </c>
      <c r="T198" s="21">
        <v>26.2</v>
      </c>
      <c r="U198" s="21">
        <v>26.2</v>
      </c>
      <c r="V198" s="21">
        <v>26.2</v>
      </c>
      <c r="W198" s="21">
        <v>26.2</v>
      </c>
      <c r="X198" s="21">
        <v>26.2</v>
      </c>
      <c r="Y198" s="21">
        <v>26.2</v>
      </c>
      <c r="Z198" s="21">
        <v>26.2</v>
      </c>
      <c r="AA198" s="21">
        <v>8.85</v>
      </c>
      <c r="AB198" s="6">
        <v>8.85</v>
      </c>
      <c r="AC198" s="6">
        <v>8.85</v>
      </c>
      <c r="AD198" s="6">
        <v>8.85</v>
      </c>
      <c r="AE198" s="6">
        <v>8.85</v>
      </c>
      <c r="AF198" s="6">
        <v>8.85</v>
      </c>
      <c r="AG198" s="6">
        <v>8.85</v>
      </c>
      <c r="AH198" s="6">
        <v>8.85</v>
      </c>
      <c r="AI198" s="6">
        <v>8.85</v>
      </c>
      <c r="AJ198" s="6">
        <v>8.85</v>
      </c>
      <c r="AK198" s="6">
        <v>8.85</v>
      </c>
      <c r="AL198" s="6">
        <v>8.85</v>
      </c>
      <c r="AM198" s="6">
        <v>8.85</v>
      </c>
      <c r="AN198" s="168"/>
      <c r="AO198" s="254">
        <f t="shared" si="36"/>
        <v>0</v>
      </c>
      <c r="AP198" s="255"/>
      <c r="AQ198" s="254">
        <f t="shared" si="37"/>
        <v>0</v>
      </c>
      <c r="AR198" s="261"/>
      <c r="AS198" s="254">
        <f t="shared" si="38"/>
        <v>0</v>
      </c>
      <c r="AT198" s="256"/>
      <c r="AU198" s="257">
        <f t="shared" si="39"/>
        <v>0</v>
      </c>
      <c r="AV198" s="255"/>
      <c r="AW198" s="257">
        <f t="shared" si="40"/>
        <v>0</v>
      </c>
      <c r="AX198" s="271"/>
      <c r="AY198" s="257">
        <f t="shared" si="41"/>
        <v>0</v>
      </c>
      <c r="AZ198" s="255"/>
      <c r="BA198" s="257">
        <f t="shared" si="42"/>
        <v>0</v>
      </c>
      <c r="BB198" s="255"/>
      <c r="BC198" s="257">
        <f t="shared" si="43"/>
        <v>0</v>
      </c>
      <c r="BD198" s="274"/>
      <c r="BE198" s="257">
        <f t="shared" si="44"/>
        <v>0</v>
      </c>
      <c r="BF198" s="59"/>
      <c r="BG198" s="257">
        <f t="shared" si="45"/>
        <v>0</v>
      </c>
      <c r="BH198" s="59"/>
      <c r="BI198" s="257">
        <f t="shared" si="46"/>
        <v>0</v>
      </c>
      <c r="BJ198" s="59"/>
      <c r="BK198" s="257">
        <f t="shared" si="47"/>
        <v>0</v>
      </c>
    </row>
    <row r="199" spans="1:63" ht="18" customHeight="1">
      <c r="A199" s="250" t="s">
        <v>105</v>
      </c>
      <c r="B199" s="59" t="s">
        <v>221</v>
      </c>
      <c r="C199" s="59" t="s">
        <v>172</v>
      </c>
      <c r="D199" s="473"/>
      <c r="E199" s="39" t="s">
        <v>173</v>
      </c>
      <c r="F199" s="466"/>
      <c r="G199" s="172">
        <v>2021</v>
      </c>
      <c r="H199" s="186" t="s">
        <v>283</v>
      </c>
      <c r="I199" s="188" t="s">
        <v>183</v>
      </c>
      <c r="J199" s="187">
        <v>16</v>
      </c>
      <c r="K199" s="186" t="s">
        <v>291</v>
      </c>
      <c r="L199" s="190" t="s">
        <v>177</v>
      </c>
      <c r="M199" s="21" t="s">
        <v>192</v>
      </c>
      <c r="N199" s="21">
        <v>17.8</v>
      </c>
      <c r="O199" s="21">
        <v>17.8</v>
      </c>
      <c r="P199" s="21">
        <v>17.8</v>
      </c>
      <c r="Q199" s="21">
        <v>17.8</v>
      </c>
      <c r="R199" s="21">
        <v>17.8</v>
      </c>
      <c r="S199" s="21">
        <v>17.8</v>
      </c>
      <c r="T199" s="21">
        <v>17.8</v>
      </c>
      <c r="U199" s="21">
        <v>17.8</v>
      </c>
      <c r="V199" s="21">
        <v>17.8</v>
      </c>
      <c r="W199" s="21">
        <v>17.8</v>
      </c>
      <c r="X199" s="21">
        <v>17.8</v>
      </c>
      <c r="Y199" s="21">
        <v>17.8</v>
      </c>
      <c r="Z199" s="21">
        <v>17.8</v>
      </c>
      <c r="AA199" s="21">
        <v>6.12</v>
      </c>
      <c r="AB199" s="6">
        <v>6.12</v>
      </c>
      <c r="AC199" s="6">
        <v>6.12</v>
      </c>
      <c r="AD199" s="6">
        <v>6.12</v>
      </c>
      <c r="AE199" s="6">
        <v>6.12</v>
      </c>
      <c r="AF199" s="6">
        <v>6.12</v>
      </c>
      <c r="AG199" s="6">
        <v>6.12</v>
      </c>
      <c r="AH199" s="6">
        <v>6.12</v>
      </c>
      <c r="AI199" s="6">
        <v>6.12</v>
      </c>
      <c r="AJ199" s="6">
        <v>6.12</v>
      </c>
      <c r="AK199" s="6">
        <v>6.12</v>
      </c>
      <c r="AL199" s="6">
        <v>6.12</v>
      </c>
      <c r="AM199" s="6">
        <v>6.12</v>
      </c>
      <c r="AN199" s="168"/>
      <c r="AO199" s="254">
        <f t="shared" si="36"/>
        <v>0</v>
      </c>
      <c r="AP199" s="255"/>
      <c r="AQ199" s="254">
        <f t="shared" si="37"/>
        <v>0</v>
      </c>
      <c r="AR199" s="261"/>
      <c r="AS199" s="254">
        <f t="shared" si="38"/>
        <v>0</v>
      </c>
      <c r="AT199" s="256"/>
      <c r="AU199" s="257">
        <f t="shared" si="39"/>
        <v>0</v>
      </c>
      <c r="AV199" s="255"/>
      <c r="AW199" s="257">
        <f t="shared" si="40"/>
        <v>0</v>
      </c>
      <c r="AX199" s="271"/>
      <c r="AY199" s="257">
        <f t="shared" si="41"/>
        <v>0</v>
      </c>
      <c r="AZ199" s="255"/>
      <c r="BA199" s="257">
        <f t="shared" si="42"/>
        <v>0</v>
      </c>
      <c r="BB199" s="255"/>
      <c r="BC199" s="257">
        <f t="shared" si="43"/>
        <v>0</v>
      </c>
      <c r="BD199" s="274"/>
      <c r="BE199" s="257">
        <f t="shared" si="44"/>
        <v>0</v>
      </c>
      <c r="BF199" s="59"/>
      <c r="BG199" s="257">
        <f t="shared" si="45"/>
        <v>0</v>
      </c>
      <c r="BH199" s="59"/>
      <c r="BI199" s="257">
        <f t="shared" si="46"/>
        <v>0</v>
      </c>
      <c r="BJ199" s="59"/>
      <c r="BK199" s="257">
        <f t="shared" si="47"/>
        <v>0</v>
      </c>
    </row>
    <row r="200" spans="1:63" ht="18" customHeight="1">
      <c r="A200" s="250" t="s">
        <v>105</v>
      </c>
      <c r="B200" s="59" t="s">
        <v>221</v>
      </c>
      <c r="C200" s="59" t="s">
        <v>172</v>
      </c>
      <c r="D200" s="473"/>
      <c r="E200" s="39" t="s">
        <v>173</v>
      </c>
      <c r="F200" s="466"/>
      <c r="G200" s="172">
        <v>2021</v>
      </c>
      <c r="H200" s="186" t="s">
        <v>283</v>
      </c>
      <c r="I200" s="188" t="s">
        <v>183</v>
      </c>
      <c r="J200" s="187">
        <v>16</v>
      </c>
      <c r="K200" s="186" t="s">
        <v>292</v>
      </c>
      <c r="L200" s="190" t="s">
        <v>177</v>
      </c>
      <c r="M200" s="21" t="s">
        <v>192</v>
      </c>
      <c r="N200" s="21">
        <v>26.2</v>
      </c>
      <c r="O200" s="21">
        <v>26.2</v>
      </c>
      <c r="P200" s="21">
        <v>26.2</v>
      </c>
      <c r="Q200" s="21">
        <v>26.2</v>
      </c>
      <c r="R200" s="21">
        <v>26.2</v>
      </c>
      <c r="S200" s="21">
        <v>26.2</v>
      </c>
      <c r="T200" s="21">
        <v>26.2</v>
      </c>
      <c r="U200" s="21">
        <v>26.2</v>
      </c>
      <c r="V200" s="21">
        <v>26.2</v>
      </c>
      <c r="W200" s="21">
        <v>26.2</v>
      </c>
      <c r="X200" s="21">
        <v>26.2</v>
      </c>
      <c r="Y200" s="21">
        <v>26.2</v>
      </c>
      <c r="Z200" s="21">
        <v>26.2</v>
      </c>
      <c r="AA200" s="21">
        <v>7.97</v>
      </c>
      <c r="AB200" s="6">
        <v>7.97</v>
      </c>
      <c r="AC200" s="6">
        <v>7.97</v>
      </c>
      <c r="AD200" s="6">
        <v>7.97</v>
      </c>
      <c r="AE200" s="6">
        <v>7.97</v>
      </c>
      <c r="AF200" s="6">
        <v>7.97</v>
      </c>
      <c r="AG200" s="6">
        <v>7.97</v>
      </c>
      <c r="AH200" s="6">
        <v>7.97</v>
      </c>
      <c r="AI200" s="6">
        <v>7.97</v>
      </c>
      <c r="AJ200" s="6">
        <v>7.97</v>
      </c>
      <c r="AK200" s="6">
        <v>7.97</v>
      </c>
      <c r="AL200" s="6">
        <v>7.97</v>
      </c>
      <c r="AM200" s="6">
        <v>7.97</v>
      </c>
      <c r="AN200" s="168"/>
      <c r="AO200" s="254">
        <f t="shared" si="36"/>
        <v>0</v>
      </c>
      <c r="AP200" s="255"/>
      <c r="AQ200" s="254">
        <f t="shared" si="37"/>
        <v>0</v>
      </c>
      <c r="AR200" s="261"/>
      <c r="AS200" s="254">
        <f t="shared" si="38"/>
        <v>0</v>
      </c>
      <c r="AT200" s="256"/>
      <c r="AU200" s="257">
        <f t="shared" si="39"/>
        <v>0</v>
      </c>
      <c r="AV200" s="255"/>
      <c r="AW200" s="257">
        <f t="shared" si="40"/>
        <v>0</v>
      </c>
      <c r="AX200" s="271"/>
      <c r="AY200" s="257">
        <f t="shared" si="41"/>
        <v>0</v>
      </c>
      <c r="AZ200" s="255"/>
      <c r="BA200" s="257">
        <f t="shared" si="42"/>
        <v>0</v>
      </c>
      <c r="BB200" s="255"/>
      <c r="BC200" s="257">
        <f t="shared" si="43"/>
        <v>0</v>
      </c>
      <c r="BD200" s="274"/>
      <c r="BE200" s="257">
        <f t="shared" si="44"/>
        <v>0</v>
      </c>
      <c r="BF200" s="59"/>
      <c r="BG200" s="257">
        <f t="shared" si="45"/>
        <v>0</v>
      </c>
      <c r="BH200" s="59"/>
      <c r="BI200" s="257">
        <f t="shared" si="46"/>
        <v>0</v>
      </c>
      <c r="BJ200" s="59"/>
      <c r="BK200" s="257">
        <f t="shared" si="47"/>
        <v>0</v>
      </c>
    </row>
    <row r="201" spans="1:63" ht="17.25" customHeight="1">
      <c r="A201" s="250" t="s">
        <v>105</v>
      </c>
      <c r="B201" s="59" t="s">
        <v>221</v>
      </c>
      <c r="C201" s="59" t="s">
        <v>172</v>
      </c>
      <c r="D201" s="473"/>
      <c r="E201" s="39" t="s">
        <v>173</v>
      </c>
      <c r="F201" s="466"/>
      <c r="G201" s="172">
        <v>2022</v>
      </c>
      <c r="H201" s="74" t="s">
        <v>288</v>
      </c>
      <c r="I201" s="188" t="s">
        <v>183</v>
      </c>
      <c r="J201" s="187">
        <v>16</v>
      </c>
      <c r="K201" s="186" t="s">
        <v>293</v>
      </c>
      <c r="L201" s="190" t="s">
        <v>177</v>
      </c>
      <c r="M201" s="21" t="s">
        <v>192</v>
      </c>
      <c r="N201" s="21">
        <v>17.2</v>
      </c>
      <c r="O201" s="21">
        <v>17.2</v>
      </c>
      <c r="P201" s="21">
        <v>17.2</v>
      </c>
      <c r="Q201" s="21">
        <v>17.2</v>
      </c>
      <c r="R201" s="21">
        <v>17.2</v>
      </c>
      <c r="S201" s="21">
        <v>17.2</v>
      </c>
      <c r="T201" s="21">
        <v>17.2</v>
      </c>
      <c r="U201" s="21">
        <v>17.2</v>
      </c>
      <c r="V201" s="21">
        <v>17.2</v>
      </c>
      <c r="W201" s="21">
        <v>17.2</v>
      </c>
      <c r="X201" s="21">
        <v>17.2</v>
      </c>
      <c r="Y201" s="21">
        <v>17.2</v>
      </c>
      <c r="Z201" s="21">
        <v>17.2</v>
      </c>
      <c r="AA201" s="21">
        <v>2.5</v>
      </c>
      <c r="AB201" s="6">
        <v>2.5</v>
      </c>
      <c r="AC201" s="6">
        <v>2.5</v>
      </c>
      <c r="AD201" s="6">
        <v>4</v>
      </c>
      <c r="AE201" s="6">
        <v>4</v>
      </c>
      <c r="AF201" s="6">
        <v>4</v>
      </c>
      <c r="AG201" s="6">
        <v>4</v>
      </c>
      <c r="AH201" s="6">
        <v>6.8</v>
      </c>
      <c r="AI201" s="6">
        <v>6.8</v>
      </c>
      <c r="AJ201" s="6">
        <v>6.8</v>
      </c>
      <c r="AK201" s="6">
        <v>6.8</v>
      </c>
      <c r="AL201" s="6">
        <v>6.8</v>
      </c>
      <c r="AM201" s="6">
        <v>6.8</v>
      </c>
      <c r="AN201" s="168">
        <v>2996</v>
      </c>
      <c r="AO201" s="254">
        <f t="shared" si="36"/>
        <v>7490</v>
      </c>
      <c r="AP201" s="255">
        <v>4720</v>
      </c>
      <c r="AQ201" s="254">
        <f t="shared" si="37"/>
        <v>11800</v>
      </c>
      <c r="AR201" s="255">
        <v>1480</v>
      </c>
      <c r="AS201" s="254">
        <f t="shared" si="38"/>
        <v>5920</v>
      </c>
      <c r="AT201" s="256"/>
      <c r="AU201" s="257">
        <f t="shared" si="39"/>
        <v>0</v>
      </c>
      <c r="AV201" s="255">
        <v>40</v>
      </c>
      <c r="AW201" s="257">
        <f t="shared" si="40"/>
        <v>160</v>
      </c>
      <c r="AX201" s="255"/>
      <c r="AY201" s="257">
        <f t="shared" si="41"/>
        <v>0</v>
      </c>
      <c r="AZ201" s="255">
        <v>40</v>
      </c>
      <c r="BA201" s="257">
        <f t="shared" si="42"/>
        <v>272</v>
      </c>
      <c r="BB201" s="255"/>
      <c r="BC201" s="257">
        <f t="shared" si="43"/>
        <v>0</v>
      </c>
      <c r="BD201" s="255"/>
      <c r="BE201" s="257">
        <f t="shared" si="44"/>
        <v>0</v>
      </c>
      <c r="BF201" s="59"/>
      <c r="BG201" s="257">
        <f t="shared" si="45"/>
        <v>0</v>
      </c>
      <c r="BH201" s="59"/>
      <c r="BI201" s="257">
        <f t="shared" si="46"/>
        <v>0</v>
      </c>
      <c r="BJ201" s="59"/>
      <c r="BK201" s="257">
        <f t="shared" si="47"/>
        <v>0</v>
      </c>
    </row>
    <row r="202" spans="1:63" ht="18" customHeight="1">
      <c r="A202" s="250" t="s">
        <v>105</v>
      </c>
      <c r="B202" s="59" t="s">
        <v>221</v>
      </c>
      <c r="C202" s="59" t="s">
        <v>172</v>
      </c>
      <c r="D202" s="473"/>
      <c r="E202" s="39" t="s">
        <v>173</v>
      </c>
      <c r="F202" s="466"/>
      <c r="G202" s="172">
        <v>2022</v>
      </c>
      <c r="H202" s="74" t="s">
        <v>288</v>
      </c>
      <c r="I202" s="188" t="s">
        <v>183</v>
      </c>
      <c r="J202" s="187">
        <v>16</v>
      </c>
      <c r="K202" s="74" t="s">
        <v>294</v>
      </c>
      <c r="L202" s="190" t="s">
        <v>177</v>
      </c>
      <c r="M202" s="21" t="s">
        <v>192</v>
      </c>
      <c r="N202" s="21">
        <v>25.35</v>
      </c>
      <c r="O202" s="21">
        <v>25.35</v>
      </c>
      <c r="P202" s="21">
        <v>25.35</v>
      </c>
      <c r="Q202" s="21">
        <v>25.35</v>
      </c>
      <c r="R202" s="21">
        <v>25.35</v>
      </c>
      <c r="S202" s="21">
        <v>25.35</v>
      </c>
      <c r="T202" s="21">
        <v>25.35</v>
      </c>
      <c r="U202" s="21">
        <v>25.35</v>
      </c>
      <c r="V202" s="21">
        <v>25.35</v>
      </c>
      <c r="W202" s="21">
        <v>25.35</v>
      </c>
      <c r="X202" s="21">
        <v>25.35</v>
      </c>
      <c r="Y202" s="21">
        <v>25.35</v>
      </c>
      <c r="Z202" s="21">
        <v>25.35</v>
      </c>
      <c r="AA202" s="21">
        <v>3.5</v>
      </c>
      <c r="AB202" s="6">
        <v>3.5</v>
      </c>
      <c r="AC202" s="6">
        <v>3.5</v>
      </c>
      <c r="AD202" s="6">
        <v>5.5</v>
      </c>
      <c r="AE202" s="6">
        <v>5.5</v>
      </c>
      <c r="AF202" s="6">
        <v>5.5</v>
      </c>
      <c r="AG202" s="6">
        <v>5.5</v>
      </c>
      <c r="AH202" s="6">
        <v>9.5500000000000007</v>
      </c>
      <c r="AI202" s="6">
        <v>9.5500000000000007</v>
      </c>
      <c r="AJ202" s="6">
        <v>9.5500000000000007</v>
      </c>
      <c r="AK202" s="6">
        <v>9.5500000000000007</v>
      </c>
      <c r="AL202" s="6">
        <v>9.5500000000000007</v>
      </c>
      <c r="AM202" s="6">
        <v>9.5500000000000007</v>
      </c>
      <c r="AN202" s="168"/>
      <c r="AO202" s="254">
        <f t="shared" si="36"/>
        <v>0</v>
      </c>
      <c r="AP202" s="255">
        <v>1080</v>
      </c>
      <c r="AQ202" s="254">
        <f t="shared" si="37"/>
        <v>3780</v>
      </c>
      <c r="AR202" s="261"/>
      <c r="AS202" s="254">
        <f t="shared" si="38"/>
        <v>0</v>
      </c>
      <c r="AT202" s="256"/>
      <c r="AU202" s="257">
        <f t="shared" si="39"/>
        <v>0</v>
      </c>
      <c r="AV202" s="255">
        <v>160</v>
      </c>
      <c r="AW202" s="257">
        <f t="shared" si="40"/>
        <v>880</v>
      </c>
      <c r="AX202" s="255">
        <v>1000</v>
      </c>
      <c r="AY202" s="257">
        <f t="shared" si="41"/>
        <v>5500</v>
      </c>
      <c r="AZ202" s="255"/>
      <c r="BA202" s="257">
        <f t="shared" si="42"/>
        <v>0</v>
      </c>
      <c r="BB202" s="255"/>
      <c r="BC202" s="257">
        <f t="shared" si="43"/>
        <v>0</v>
      </c>
      <c r="BD202" s="274"/>
      <c r="BE202" s="257">
        <f t="shared" si="44"/>
        <v>0</v>
      </c>
      <c r="BF202" s="59"/>
      <c r="BG202" s="257">
        <f t="shared" si="45"/>
        <v>0</v>
      </c>
      <c r="BH202" s="59"/>
      <c r="BI202" s="257">
        <f t="shared" si="46"/>
        <v>0</v>
      </c>
      <c r="BJ202" s="59"/>
      <c r="BK202" s="257">
        <f t="shared" si="47"/>
        <v>0</v>
      </c>
    </row>
    <row r="203" spans="1:63" ht="18" customHeight="1">
      <c r="A203" s="250" t="s">
        <v>105</v>
      </c>
      <c r="B203" s="59" t="s">
        <v>221</v>
      </c>
      <c r="C203" s="59" t="s">
        <v>172</v>
      </c>
      <c r="D203" s="473"/>
      <c r="E203" s="39" t="s">
        <v>173</v>
      </c>
      <c r="F203" s="466"/>
      <c r="G203" s="172">
        <v>2023</v>
      </c>
      <c r="H203" s="74" t="s">
        <v>295</v>
      </c>
      <c r="I203" s="188" t="s">
        <v>183</v>
      </c>
      <c r="J203" s="187">
        <v>16</v>
      </c>
      <c r="K203" s="186" t="s">
        <v>296</v>
      </c>
      <c r="L203" s="74" t="s">
        <v>185</v>
      </c>
      <c r="M203" s="21" t="s">
        <v>297</v>
      </c>
      <c r="N203" s="21">
        <v>17.2</v>
      </c>
      <c r="O203" s="21">
        <v>17.2</v>
      </c>
      <c r="P203" s="21">
        <v>17.2</v>
      </c>
      <c r="Q203" s="21">
        <v>17.2</v>
      </c>
      <c r="R203" s="21">
        <v>17.2</v>
      </c>
      <c r="S203" s="21">
        <v>17.2</v>
      </c>
      <c r="T203" s="21">
        <v>17.2</v>
      </c>
      <c r="U203" s="21">
        <v>17.2</v>
      </c>
      <c r="V203" s="21">
        <v>17.2</v>
      </c>
      <c r="W203" s="21">
        <v>17.2</v>
      </c>
      <c r="X203" s="21">
        <v>17.2</v>
      </c>
      <c r="Y203" s="21">
        <v>17.2</v>
      </c>
      <c r="Z203" s="21">
        <v>17.2</v>
      </c>
      <c r="AA203" s="21">
        <v>0</v>
      </c>
      <c r="AB203" s="6">
        <v>0</v>
      </c>
      <c r="AC203" s="6">
        <v>0</v>
      </c>
      <c r="AD203" s="6">
        <v>0</v>
      </c>
      <c r="AE203" s="1">
        <v>2.5</v>
      </c>
      <c r="AF203" s="1">
        <v>2.5</v>
      </c>
      <c r="AG203" s="1">
        <v>2.5</v>
      </c>
      <c r="AH203" s="1">
        <v>2.5</v>
      </c>
      <c r="AI203" s="1">
        <v>2.5</v>
      </c>
      <c r="AJ203" s="1">
        <v>2.5</v>
      </c>
      <c r="AK203" s="1">
        <v>2.5</v>
      </c>
      <c r="AL203" s="1">
        <v>2.5</v>
      </c>
      <c r="AM203" s="1">
        <v>2.5</v>
      </c>
      <c r="AN203" s="168"/>
      <c r="AO203" s="254">
        <f t="shared" si="36"/>
        <v>0</v>
      </c>
      <c r="AP203" s="255"/>
      <c r="AQ203" s="254">
        <f t="shared" si="37"/>
        <v>0</v>
      </c>
      <c r="AR203" s="255"/>
      <c r="AS203" s="254">
        <f t="shared" si="38"/>
        <v>0</v>
      </c>
      <c r="AT203" s="256"/>
      <c r="AU203" s="257">
        <f t="shared" si="39"/>
        <v>0</v>
      </c>
      <c r="AV203" s="270">
        <v>40</v>
      </c>
      <c r="AW203" s="257">
        <f t="shared" si="40"/>
        <v>100</v>
      </c>
      <c r="AX203" s="270">
        <v>4560</v>
      </c>
      <c r="AY203" s="257">
        <f t="shared" si="41"/>
        <v>11400</v>
      </c>
      <c r="AZ203" s="268">
        <v>6424</v>
      </c>
      <c r="BA203" s="257">
        <f t="shared" si="42"/>
        <v>16060</v>
      </c>
      <c r="BB203" s="268">
        <v>2960</v>
      </c>
      <c r="BC203" s="257">
        <f t="shared" si="43"/>
        <v>7400</v>
      </c>
      <c r="BD203" s="268">
        <v>1920</v>
      </c>
      <c r="BE203" s="257">
        <f t="shared" si="44"/>
        <v>4800</v>
      </c>
      <c r="BF203" s="256">
        <v>3240</v>
      </c>
      <c r="BG203" s="257">
        <f t="shared" si="45"/>
        <v>8100</v>
      </c>
      <c r="BH203" s="256">
        <v>1045</v>
      </c>
      <c r="BI203" s="257">
        <f t="shared" si="46"/>
        <v>2612.5</v>
      </c>
      <c r="BJ203" s="268">
        <v>920</v>
      </c>
      <c r="BK203" s="257">
        <f t="shared" si="47"/>
        <v>2300</v>
      </c>
    </row>
    <row r="204" spans="1:63" ht="18" customHeight="1">
      <c r="A204" s="250" t="s">
        <v>105</v>
      </c>
      <c r="B204" s="59" t="s">
        <v>221</v>
      </c>
      <c r="C204" s="59" t="s">
        <v>172</v>
      </c>
      <c r="D204" s="473"/>
      <c r="E204" s="39" t="s">
        <v>173</v>
      </c>
      <c r="F204" s="466"/>
      <c r="G204" s="172">
        <v>2023</v>
      </c>
      <c r="H204" s="74" t="s">
        <v>295</v>
      </c>
      <c r="I204" s="188" t="s">
        <v>183</v>
      </c>
      <c r="J204" s="187">
        <v>16</v>
      </c>
      <c r="K204" s="186" t="s">
        <v>298</v>
      </c>
      <c r="L204" s="74" t="s">
        <v>185</v>
      </c>
      <c r="M204" s="21" t="s">
        <v>297</v>
      </c>
      <c r="N204" s="21">
        <v>25.35</v>
      </c>
      <c r="O204" s="21">
        <v>25.35</v>
      </c>
      <c r="P204" s="21">
        <v>25.35</v>
      </c>
      <c r="Q204" s="21">
        <v>25.35</v>
      </c>
      <c r="R204" s="21">
        <v>25.35</v>
      </c>
      <c r="S204" s="21">
        <v>25.35</v>
      </c>
      <c r="T204" s="21">
        <v>25.35</v>
      </c>
      <c r="U204" s="21">
        <v>25.35</v>
      </c>
      <c r="V204" s="21">
        <v>25.35</v>
      </c>
      <c r="W204" s="21">
        <v>25.35</v>
      </c>
      <c r="X204" s="21">
        <v>25.35</v>
      </c>
      <c r="Y204" s="21">
        <v>25.35</v>
      </c>
      <c r="Z204" s="21">
        <v>25.35</v>
      </c>
      <c r="AA204" s="21">
        <v>0</v>
      </c>
      <c r="AB204" s="6">
        <v>0</v>
      </c>
      <c r="AC204" s="6">
        <v>0</v>
      </c>
      <c r="AD204" s="6">
        <v>0</v>
      </c>
      <c r="AE204" s="1">
        <v>3.5</v>
      </c>
      <c r="AF204" s="1">
        <v>3.5</v>
      </c>
      <c r="AG204" s="1">
        <v>3.5</v>
      </c>
      <c r="AH204" s="1">
        <v>3.5</v>
      </c>
      <c r="AI204" s="1">
        <v>3.5</v>
      </c>
      <c r="AJ204" s="1">
        <v>3.5</v>
      </c>
      <c r="AK204" s="1">
        <v>3.5</v>
      </c>
      <c r="AL204" s="1">
        <v>3.5</v>
      </c>
      <c r="AM204" s="1">
        <v>3.5</v>
      </c>
      <c r="AN204" s="168"/>
      <c r="AO204" s="254">
        <f t="shared" si="36"/>
        <v>0</v>
      </c>
      <c r="AP204" s="255"/>
      <c r="AQ204" s="254">
        <f t="shared" si="37"/>
        <v>0</v>
      </c>
      <c r="AR204" s="261"/>
      <c r="AS204" s="254">
        <f t="shared" si="38"/>
        <v>0</v>
      </c>
      <c r="AT204" s="256"/>
      <c r="AU204" s="257">
        <f t="shared" si="39"/>
        <v>0</v>
      </c>
      <c r="AV204" s="270">
        <v>40</v>
      </c>
      <c r="AW204" s="257">
        <f t="shared" si="40"/>
        <v>140</v>
      </c>
      <c r="AX204" s="270">
        <v>1421</v>
      </c>
      <c r="AY204" s="257">
        <f t="shared" si="41"/>
        <v>4973.5</v>
      </c>
      <c r="AZ204" s="268">
        <v>8271</v>
      </c>
      <c r="BA204" s="257">
        <f t="shared" si="42"/>
        <v>28948.5</v>
      </c>
      <c r="BB204" s="268">
        <v>10316</v>
      </c>
      <c r="BC204" s="257">
        <f t="shared" si="43"/>
        <v>36106</v>
      </c>
      <c r="BD204" s="268">
        <v>6400</v>
      </c>
      <c r="BE204" s="257">
        <f t="shared" si="44"/>
        <v>22400</v>
      </c>
      <c r="BF204" s="256">
        <v>4040</v>
      </c>
      <c r="BG204" s="257">
        <f t="shared" si="45"/>
        <v>14140</v>
      </c>
      <c r="BH204" s="256">
        <v>10560</v>
      </c>
      <c r="BI204" s="257">
        <f t="shared" si="46"/>
        <v>36960</v>
      </c>
      <c r="BJ204" s="268">
        <v>7480</v>
      </c>
      <c r="BK204" s="257">
        <f t="shared" si="47"/>
        <v>26180</v>
      </c>
    </row>
    <row r="205" spans="1:63" ht="18" customHeight="1">
      <c r="A205" s="250" t="s">
        <v>105</v>
      </c>
      <c r="B205" s="59" t="s">
        <v>221</v>
      </c>
      <c r="C205" s="59" t="s">
        <v>172</v>
      </c>
      <c r="D205" s="473"/>
      <c r="E205" s="39" t="s">
        <v>173</v>
      </c>
      <c r="F205" s="466"/>
      <c r="G205" s="172">
        <v>2023</v>
      </c>
      <c r="H205" s="74" t="s">
        <v>295</v>
      </c>
      <c r="I205" s="188" t="s">
        <v>183</v>
      </c>
      <c r="J205" s="187">
        <v>16</v>
      </c>
      <c r="K205" s="186" t="s">
        <v>299</v>
      </c>
      <c r="L205" s="74" t="s">
        <v>185</v>
      </c>
      <c r="M205" s="21" t="s">
        <v>297</v>
      </c>
      <c r="N205" s="21">
        <v>25.35</v>
      </c>
      <c r="O205" s="21">
        <v>25.35</v>
      </c>
      <c r="P205" s="21">
        <v>25.35</v>
      </c>
      <c r="Q205" s="21">
        <v>25.35</v>
      </c>
      <c r="R205" s="21">
        <v>25.35</v>
      </c>
      <c r="S205" s="21">
        <v>25.35</v>
      </c>
      <c r="T205" s="21">
        <v>25.35</v>
      </c>
      <c r="U205" s="21">
        <v>25.35</v>
      </c>
      <c r="V205" s="21">
        <v>25.35</v>
      </c>
      <c r="W205" s="21">
        <v>25.35</v>
      </c>
      <c r="X205" s="21">
        <v>25.35</v>
      </c>
      <c r="Y205" s="21">
        <v>25.35</v>
      </c>
      <c r="Z205" s="21">
        <v>25.35</v>
      </c>
      <c r="AA205" s="21">
        <v>0</v>
      </c>
      <c r="AB205" s="6">
        <v>0</v>
      </c>
      <c r="AC205" s="6">
        <v>0</v>
      </c>
      <c r="AD205" s="6">
        <v>0</v>
      </c>
      <c r="AE205" s="1">
        <v>3.5</v>
      </c>
      <c r="AF205" s="1">
        <v>3.5</v>
      </c>
      <c r="AG205" s="1">
        <v>3.5</v>
      </c>
      <c r="AH205" s="1">
        <v>3.5</v>
      </c>
      <c r="AI205" s="1">
        <v>3.5</v>
      </c>
      <c r="AJ205" s="1">
        <v>3.5</v>
      </c>
      <c r="AK205" s="1">
        <v>3.5</v>
      </c>
      <c r="AL205" s="1">
        <v>3.5</v>
      </c>
      <c r="AM205" s="1">
        <v>3.5</v>
      </c>
      <c r="AN205" s="168"/>
      <c r="AO205" s="254">
        <f t="shared" si="36"/>
        <v>0</v>
      </c>
      <c r="AP205" s="255"/>
      <c r="AQ205" s="254">
        <f t="shared" si="37"/>
        <v>0</v>
      </c>
      <c r="AR205" s="255"/>
      <c r="AS205" s="254">
        <f t="shared" si="38"/>
        <v>0</v>
      </c>
      <c r="AT205" s="256"/>
      <c r="AU205" s="257">
        <f t="shared" si="39"/>
        <v>0</v>
      </c>
      <c r="AV205" s="270"/>
      <c r="AW205" s="257">
        <f t="shared" si="40"/>
        <v>0</v>
      </c>
      <c r="AX205" s="270"/>
      <c r="AY205" s="257">
        <f t="shared" si="41"/>
        <v>0</v>
      </c>
      <c r="AZ205" s="268"/>
      <c r="BA205" s="257">
        <f t="shared" si="42"/>
        <v>0</v>
      </c>
      <c r="BB205" s="268"/>
      <c r="BC205" s="257">
        <f t="shared" si="43"/>
        <v>0</v>
      </c>
      <c r="BD205" s="268"/>
      <c r="BE205" s="257">
        <f t="shared" si="44"/>
        <v>0</v>
      </c>
      <c r="BF205" s="59"/>
      <c r="BG205" s="257">
        <f t="shared" si="45"/>
        <v>0</v>
      </c>
      <c r="BH205" s="59"/>
      <c r="BI205" s="257">
        <f t="shared" si="46"/>
        <v>0</v>
      </c>
      <c r="BJ205" s="268"/>
      <c r="BK205" s="257">
        <f t="shared" si="47"/>
        <v>0</v>
      </c>
    </row>
    <row r="206" spans="1:63" ht="18" customHeight="1">
      <c r="A206" s="250" t="s">
        <v>105</v>
      </c>
      <c r="B206" s="59" t="s">
        <v>221</v>
      </c>
      <c r="C206" s="59" t="s">
        <v>172</v>
      </c>
      <c r="D206" s="473"/>
      <c r="E206" s="39" t="s">
        <v>173</v>
      </c>
      <c r="F206" s="466"/>
      <c r="G206" s="172">
        <v>2023</v>
      </c>
      <c r="H206" s="74" t="s">
        <v>295</v>
      </c>
      <c r="I206" s="188" t="s">
        <v>183</v>
      </c>
      <c r="J206" s="187">
        <v>16</v>
      </c>
      <c r="K206" s="186" t="s">
        <v>300</v>
      </c>
      <c r="L206" s="74" t="s">
        <v>185</v>
      </c>
      <c r="M206" s="21" t="s">
        <v>297</v>
      </c>
      <c r="N206" s="21">
        <v>17.2</v>
      </c>
      <c r="O206" s="21">
        <v>17.2</v>
      </c>
      <c r="P206" s="21">
        <v>17.2</v>
      </c>
      <c r="Q206" s="21">
        <v>17.2</v>
      </c>
      <c r="R206" s="21">
        <v>17.2</v>
      </c>
      <c r="S206" s="21">
        <v>17.2</v>
      </c>
      <c r="T206" s="21">
        <v>17.2</v>
      </c>
      <c r="U206" s="21">
        <v>17.2</v>
      </c>
      <c r="V206" s="21">
        <v>17.2</v>
      </c>
      <c r="W206" s="21">
        <v>17.2</v>
      </c>
      <c r="X206" s="21">
        <v>17.2</v>
      </c>
      <c r="Y206" s="21">
        <v>17.2</v>
      </c>
      <c r="Z206" s="21">
        <v>17.2</v>
      </c>
      <c r="AA206" s="21">
        <v>0</v>
      </c>
      <c r="AB206" s="6">
        <v>0</v>
      </c>
      <c r="AC206" s="6">
        <v>0</v>
      </c>
      <c r="AD206" s="6">
        <v>0</v>
      </c>
      <c r="AE206" s="1">
        <v>2.5</v>
      </c>
      <c r="AF206" s="1">
        <v>2.5</v>
      </c>
      <c r="AG206" s="1">
        <v>2.5</v>
      </c>
      <c r="AH206" s="1">
        <v>2.5</v>
      </c>
      <c r="AI206" s="1">
        <v>2.5</v>
      </c>
      <c r="AJ206" s="1">
        <v>2.5</v>
      </c>
      <c r="AK206" s="1">
        <v>2.5</v>
      </c>
      <c r="AL206" s="1">
        <v>2.5</v>
      </c>
      <c r="AM206" s="1">
        <v>2.5</v>
      </c>
      <c r="AN206" s="168"/>
      <c r="AO206" s="254">
        <f t="shared" si="36"/>
        <v>0</v>
      </c>
      <c r="AP206" s="255"/>
      <c r="AQ206" s="254">
        <f t="shared" si="37"/>
        <v>0</v>
      </c>
      <c r="AR206" s="261"/>
      <c r="AS206" s="254">
        <f t="shared" si="38"/>
        <v>0</v>
      </c>
      <c r="AT206" s="256"/>
      <c r="AU206" s="257">
        <f t="shared" si="39"/>
        <v>0</v>
      </c>
      <c r="AV206" s="270">
        <v>6520</v>
      </c>
      <c r="AW206" s="257">
        <f t="shared" si="40"/>
        <v>16300</v>
      </c>
      <c r="AX206" s="270">
        <v>31200</v>
      </c>
      <c r="AY206" s="257">
        <f t="shared" si="41"/>
        <v>78000</v>
      </c>
      <c r="AZ206" s="268">
        <v>39278</v>
      </c>
      <c r="BA206" s="257">
        <f t="shared" si="42"/>
        <v>98195</v>
      </c>
      <c r="BB206" s="268">
        <v>26843</v>
      </c>
      <c r="BC206" s="257">
        <f t="shared" si="43"/>
        <v>67107.5</v>
      </c>
      <c r="BD206" s="268">
        <v>22856</v>
      </c>
      <c r="BE206" s="257">
        <f t="shared" si="44"/>
        <v>57140</v>
      </c>
      <c r="BF206" s="256">
        <v>41135</v>
      </c>
      <c r="BG206" s="257">
        <f t="shared" si="45"/>
        <v>102837.5</v>
      </c>
      <c r="BH206" s="256">
        <v>520</v>
      </c>
      <c r="BI206" s="257">
        <f t="shared" si="46"/>
        <v>1300</v>
      </c>
      <c r="BJ206" s="268">
        <v>320</v>
      </c>
      <c r="BK206" s="257">
        <f t="shared" si="47"/>
        <v>800</v>
      </c>
    </row>
    <row r="207" spans="1:63" ht="18" customHeight="1">
      <c r="A207" s="250" t="s">
        <v>105</v>
      </c>
      <c r="B207" s="59" t="s">
        <v>221</v>
      </c>
      <c r="C207" s="59" t="s">
        <v>172</v>
      </c>
      <c r="D207" s="473"/>
      <c r="E207" s="39" t="s">
        <v>173</v>
      </c>
      <c r="F207" s="466"/>
      <c r="G207" s="172">
        <v>2023</v>
      </c>
      <c r="H207" s="74" t="s">
        <v>295</v>
      </c>
      <c r="I207" s="188" t="s">
        <v>183</v>
      </c>
      <c r="J207" s="187">
        <v>16</v>
      </c>
      <c r="K207" s="186" t="s">
        <v>301</v>
      </c>
      <c r="L207" s="74" t="s">
        <v>185</v>
      </c>
      <c r="M207" s="21" t="s">
        <v>297</v>
      </c>
      <c r="N207" s="21">
        <v>25.35</v>
      </c>
      <c r="O207" s="21">
        <v>25.35</v>
      </c>
      <c r="P207" s="21">
        <v>25.35</v>
      </c>
      <c r="Q207" s="21">
        <v>25.35</v>
      </c>
      <c r="R207" s="21">
        <v>25.35</v>
      </c>
      <c r="S207" s="21">
        <v>25.35</v>
      </c>
      <c r="T207" s="21">
        <v>25.35</v>
      </c>
      <c r="U207" s="21">
        <v>25.35</v>
      </c>
      <c r="V207" s="21">
        <v>25.35</v>
      </c>
      <c r="W207" s="21">
        <v>25.35</v>
      </c>
      <c r="X207" s="21">
        <v>25.35</v>
      </c>
      <c r="Y207" s="21">
        <v>25.35</v>
      </c>
      <c r="Z207" s="21">
        <v>25.35</v>
      </c>
      <c r="AA207" s="21">
        <v>0</v>
      </c>
      <c r="AB207" s="6">
        <v>0</v>
      </c>
      <c r="AC207" s="6">
        <v>0</v>
      </c>
      <c r="AD207" s="6">
        <v>0</v>
      </c>
      <c r="AE207" s="1">
        <v>3.5</v>
      </c>
      <c r="AF207" s="1">
        <v>3.5</v>
      </c>
      <c r="AG207" s="1">
        <v>3.5</v>
      </c>
      <c r="AH207" s="1">
        <v>3.5</v>
      </c>
      <c r="AI207" s="1">
        <v>3.5</v>
      </c>
      <c r="AJ207" s="1">
        <v>3.5</v>
      </c>
      <c r="AK207" s="1">
        <v>3.5</v>
      </c>
      <c r="AL207" s="1">
        <v>3.5</v>
      </c>
      <c r="AM207" s="1">
        <v>3.5</v>
      </c>
      <c r="AN207" s="168"/>
      <c r="AO207" s="254">
        <f t="shared" si="36"/>
        <v>0</v>
      </c>
      <c r="AP207" s="255"/>
      <c r="AQ207" s="254">
        <f t="shared" si="37"/>
        <v>0</v>
      </c>
      <c r="AR207" s="255"/>
      <c r="AS207" s="254">
        <f t="shared" si="38"/>
        <v>0</v>
      </c>
      <c r="AT207" s="256"/>
      <c r="AU207" s="257">
        <f t="shared" si="39"/>
        <v>0</v>
      </c>
      <c r="AV207" s="270"/>
      <c r="AW207" s="257">
        <f t="shared" si="40"/>
        <v>0</v>
      </c>
      <c r="AX207" s="270">
        <v>1400</v>
      </c>
      <c r="AY207" s="257">
        <f t="shared" si="41"/>
        <v>4900</v>
      </c>
      <c r="AZ207" s="268">
        <v>4080</v>
      </c>
      <c r="BA207" s="257">
        <f t="shared" si="42"/>
        <v>14280</v>
      </c>
      <c r="BB207" s="268">
        <v>1388</v>
      </c>
      <c r="BC207" s="257">
        <f t="shared" si="43"/>
        <v>4858</v>
      </c>
      <c r="BD207" s="268">
        <v>5473</v>
      </c>
      <c r="BE207" s="257">
        <f t="shared" si="44"/>
        <v>19155.5</v>
      </c>
      <c r="BF207" s="256">
        <v>3693</v>
      </c>
      <c r="BG207" s="257">
        <f t="shared" si="45"/>
        <v>12925.5</v>
      </c>
      <c r="BH207" s="256">
        <v>623</v>
      </c>
      <c r="BI207" s="257">
        <f t="shared" si="46"/>
        <v>2180.5</v>
      </c>
      <c r="BJ207" s="268">
        <v>1560</v>
      </c>
      <c r="BK207" s="257">
        <f t="shared" si="47"/>
        <v>5460</v>
      </c>
    </row>
    <row r="208" spans="1:63" ht="18" customHeight="1">
      <c r="A208" s="250" t="s">
        <v>105</v>
      </c>
      <c r="B208" s="59" t="s">
        <v>221</v>
      </c>
      <c r="C208" s="59" t="s">
        <v>172</v>
      </c>
      <c r="D208" s="473"/>
      <c r="E208" s="39" t="s">
        <v>173</v>
      </c>
      <c r="F208" s="466"/>
      <c r="G208" s="172">
        <v>2023</v>
      </c>
      <c r="H208" s="189" t="s">
        <v>302</v>
      </c>
      <c r="I208" s="188" t="s">
        <v>183</v>
      </c>
      <c r="J208" s="187">
        <v>16</v>
      </c>
      <c r="K208" s="186" t="s">
        <v>298</v>
      </c>
      <c r="L208" s="74" t="s">
        <v>185</v>
      </c>
      <c r="M208" s="21" t="s">
        <v>297</v>
      </c>
      <c r="N208" s="21">
        <v>25.35</v>
      </c>
      <c r="O208" s="21">
        <v>25.35</v>
      </c>
      <c r="P208" s="21">
        <v>25.35</v>
      </c>
      <c r="Q208" s="21">
        <v>25.35</v>
      </c>
      <c r="R208" s="21">
        <v>25.35</v>
      </c>
      <c r="S208" s="21">
        <v>25.35</v>
      </c>
      <c r="T208" s="21">
        <v>25.35</v>
      </c>
      <c r="U208" s="21">
        <v>25.35</v>
      </c>
      <c r="V208" s="21">
        <v>25.35</v>
      </c>
      <c r="W208" s="21">
        <v>25.35</v>
      </c>
      <c r="X208" s="21">
        <v>25.35</v>
      </c>
      <c r="Y208" s="21">
        <v>25.35</v>
      </c>
      <c r="Z208" s="21">
        <v>25.35</v>
      </c>
      <c r="AA208" s="21">
        <v>0</v>
      </c>
      <c r="AB208" s="6">
        <v>0</v>
      </c>
      <c r="AC208" s="6">
        <v>0</v>
      </c>
      <c r="AD208" s="6">
        <v>0</v>
      </c>
      <c r="AE208" s="1">
        <v>3.5</v>
      </c>
      <c r="AF208" s="1">
        <v>3.5</v>
      </c>
      <c r="AG208" s="1">
        <v>3.5</v>
      </c>
      <c r="AH208" s="1">
        <v>3.5</v>
      </c>
      <c r="AI208" s="1">
        <v>3.5</v>
      </c>
      <c r="AJ208" s="1">
        <v>3.5</v>
      </c>
      <c r="AK208" s="1">
        <v>3.5</v>
      </c>
      <c r="AL208" s="1">
        <v>3.5</v>
      </c>
      <c r="AM208" s="1">
        <v>3.5</v>
      </c>
      <c r="AN208" s="168"/>
      <c r="AO208" s="254">
        <f t="shared" si="36"/>
        <v>0</v>
      </c>
      <c r="AP208" s="255"/>
      <c r="AQ208" s="254">
        <f t="shared" si="37"/>
        <v>0</v>
      </c>
      <c r="AR208" s="261"/>
      <c r="AS208" s="254">
        <f t="shared" si="38"/>
        <v>0</v>
      </c>
      <c r="AT208" s="256"/>
      <c r="AU208" s="257">
        <f t="shared" si="39"/>
        <v>0</v>
      </c>
      <c r="AV208" s="270">
        <v>40</v>
      </c>
      <c r="AW208" s="257">
        <f t="shared" si="40"/>
        <v>140</v>
      </c>
      <c r="AX208" s="270">
        <v>80</v>
      </c>
      <c r="AY208" s="257">
        <f t="shared" si="41"/>
        <v>280</v>
      </c>
      <c r="AZ208" s="268">
        <v>1080</v>
      </c>
      <c r="BA208" s="257">
        <f t="shared" si="42"/>
        <v>3780</v>
      </c>
      <c r="BB208" s="268">
        <v>1040</v>
      </c>
      <c r="BC208" s="257">
        <f t="shared" si="43"/>
        <v>3640</v>
      </c>
      <c r="BD208" s="268">
        <v>560</v>
      </c>
      <c r="BE208" s="257">
        <f t="shared" si="44"/>
        <v>1960</v>
      </c>
      <c r="BF208" s="256">
        <v>560</v>
      </c>
      <c r="BG208" s="257">
        <f t="shared" si="45"/>
        <v>1960</v>
      </c>
      <c r="BH208" s="256">
        <v>29280</v>
      </c>
      <c r="BI208" s="257">
        <f t="shared" si="46"/>
        <v>102480</v>
      </c>
      <c r="BJ208" s="268">
        <v>17371</v>
      </c>
      <c r="BK208" s="257">
        <f t="shared" si="47"/>
        <v>60798.5</v>
      </c>
    </row>
    <row r="209" spans="1:63" ht="18" customHeight="1" thickBot="1">
      <c r="A209" s="250" t="s">
        <v>105</v>
      </c>
      <c r="B209" s="59" t="s">
        <v>221</v>
      </c>
      <c r="C209" s="59" t="s">
        <v>172</v>
      </c>
      <c r="D209" s="473"/>
      <c r="E209" s="39" t="s">
        <v>173</v>
      </c>
      <c r="F209" s="466"/>
      <c r="G209" s="172">
        <v>2023</v>
      </c>
      <c r="H209" s="189" t="s">
        <v>302</v>
      </c>
      <c r="I209" s="188" t="s">
        <v>183</v>
      </c>
      <c r="J209" s="187">
        <v>16</v>
      </c>
      <c r="K209" s="186" t="s">
        <v>299</v>
      </c>
      <c r="L209" s="74" t="s">
        <v>185</v>
      </c>
      <c r="M209" s="21" t="s">
        <v>297</v>
      </c>
      <c r="N209" s="21">
        <v>25.35</v>
      </c>
      <c r="O209" s="21">
        <v>25.35</v>
      </c>
      <c r="P209" s="21">
        <v>25.35</v>
      </c>
      <c r="Q209" s="21">
        <v>25.35</v>
      </c>
      <c r="R209" s="21">
        <v>25.35</v>
      </c>
      <c r="S209" s="21">
        <v>25.35</v>
      </c>
      <c r="T209" s="21">
        <v>25.35</v>
      </c>
      <c r="U209" s="21">
        <v>25.35</v>
      </c>
      <c r="V209" s="21">
        <v>25.35</v>
      </c>
      <c r="W209" s="21">
        <v>25.35</v>
      </c>
      <c r="X209" s="21">
        <v>25.35</v>
      </c>
      <c r="Y209" s="21">
        <v>25.35</v>
      </c>
      <c r="Z209" s="21">
        <v>25.35</v>
      </c>
      <c r="AA209" s="21">
        <v>0</v>
      </c>
      <c r="AB209" s="6">
        <v>0</v>
      </c>
      <c r="AC209" s="6">
        <v>0</v>
      </c>
      <c r="AD209" s="6">
        <v>0</v>
      </c>
      <c r="AE209" s="1">
        <v>3.5</v>
      </c>
      <c r="AF209" s="1">
        <v>3.5</v>
      </c>
      <c r="AG209" s="1">
        <v>3.5</v>
      </c>
      <c r="AH209" s="1">
        <v>3.5</v>
      </c>
      <c r="AI209" s="1">
        <v>3.5</v>
      </c>
      <c r="AJ209" s="1">
        <v>3.5</v>
      </c>
      <c r="AK209" s="1">
        <v>3.5</v>
      </c>
      <c r="AL209" s="1">
        <v>3.5</v>
      </c>
      <c r="AM209" s="1">
        <v>3.5</v>
      </c>
      <c r="AN209" s="168"/>
      <c r="AO209" s="254">
        <f t="shared" si="36"/>
        <v>0</v>
      </c>
      <c r="AP209" s="255"/>
      <c r="AQ209" s="254">
        <f t="shared" si="37"/>
        <v>0</v>
      </c>
      <c r="AR209" s="261"/>
      <c r="AS209" s="254">
        <f t="shared" si="38"/>
        <v>0</v>
      </c>
      <c r="AT209" s="256"/>
      <c r="AU209" s="257">
        <f t="shared" si="39"/>
        <v>0</v>
      </c>
      <c r="AV209" s="270">
        <v>323</v>
      </c>
      <c r="AW209" s="257">
        <f t="shared" si="40"/>
        <v>1130.5</v>
      </c>
      <c r="AX209" s="270">
        <v>307</v>
      </c>
      <c r="AY209" s="257">
        <f t="shared" si="41"/>
        <v>1074.5</v>
      </c>
      <c r="AZ209" s="268">
        <v>2268</v>
      </c>
      <c r="BA209" s="257">
        <f t="shared" si="42"/>
        <v>7938</v>
      </c>
      <c r="BB209" s="268">
        <v>1517</v>
      </c>
      <c r="BC209" s="257">
        <f t="shared" si="43"/>
        <v>5309.5</v>
      </c>
      <c r="BD209" s="268">
        <v>1797</v>
      </c>
      <c r="BE209" s="257">
        <f t="shared" si="44"/>
        <v>6289.5</v>
      </c>
      <c r="BF209" s="256">
        <v>3597</v>
      </c>
      <c r="BG209" s="257">
        <f t="shared" si="45"/>
        <v>12589.5</v>
      </c>
      <c r="BH209" s="256">
        <v>4873</v>
      </c>
      <c r="BI209" s="257">
        <f t="shared" si="46"/>
        <v>17055.5</v>
      </c>
      <c r="BJ209" s="268">
        <v>440</v>
      </c>
      <c r="BK209" s="257">
        <f t="shared" si="47"/>
        <v>1540</v>
      </c>
    </row>
    <row r="210" spans="1:63" ht="18" hidden="1" customHeight="1" thickBot="1">
      <c r="A210" s="250" t="s">
        <v>105</v>
      </c>
      <c r="C210" s="59"/>
      <c r="D210" s="473"/>
      <c r="E210" s="39"/>
      <c r="F210" s="467"/>
      <c r="G210" s="74"/>
      <c r="H210" s="87"/>
      <c r="I210" s="87"/>
      <c r="J210" s="111"/>
      <c r="K210" s="87"/>
      <c r="L210" s="87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6"/>
      <c r="AC210" s="6"/>
      <c r="AD210" s="6"/>
      <c r="AN210" s="168"/>
      <c r="AO210" s="254">
        <f t="shared" si="36"/>
        <v>0</v>
      </c>
      <c r="AP210" s="255"/>
      <c r="AQ210" s="254">
        <f t="shared" si="37"/>
        <v>0</v>
      </c>
      <c r="AR210" s="261"/>
      <c r="AS210" s="254">
        <f t="shared" si="38"/>
        <v>0</v>
      </c>
      <c r="AT210" s="256"/>
      <c r="AU210" s="257">
        <f t="shared" si="39"/>
        <v>0</v>
      </c>
      <c r="AV210" s="270"/>
      <c r="AW210" s="257">
        <f t="shared" si="40"/>
        <v>0</v>
      </c>
      <c r="AX210" s="270"/>
      <c r="AY210" s="257">
        <f t="shared" si="41"/>
        <v>0</v>
      </c>
      <c r="AZ210" s="268"/>
      <c r="BA210" s="257">
        <f t="shared" si="42"/>
        <v>0</v>
      </c>
      <c r="BB210" s="59"/>
      <c r="BC210" s="257">
        <f t="shared" si="43"/>
        <v>0</v>
      </c>
      <c r="BD210" s="59"/>
      <c r="BE210" s="257">
        <f t="shared" si="44"/>
        <v>0</v>
      </c>
      <c r="BF210" s="59"/>
      <c r="BG210" s="257">
        <f t="shared" si="45"/>
        <v>0</v>
      </c>
      <c r="BH210" s="59"/>
      <c r="BI210" s="257">
        <f t="shared" si="46"/>
        <v>0</v>
      </c>
      <c r="BJ210" s="268"/>
      <c r="BK210" s="257">
        <f t="shared" si="47"/>
        <v>0</v>
      </c>
    </row>
    <row r="211" spans="1:63" ht="15" customHeight="1" thickBot="1">
      <c r="A211" s="250" t="s">
        <v>105</v>
      </c>
      <c r="B211" s="59" t="s">
        <v>213</v>
      </c>
      <c r="C211" s="59" t="s">
        <v>172</v>
      </c>
      <c r="D211" s="473"/>
      <c r="E211" s="39" t="s">
        <v>214</v>
      </c>
      <c r="F211" s="453" t="s">
        <v>215</v>
      </c>
      <c r="G211" s="184">
        <v>2019</v>
      </c>
      <c r="H211" s="178" t="s">
        <v>303</v>
      </c>
      <c r="I211" s="183" t="s">
        <v>190</v>
      </c>
      <c r="J211" s="182" t="s">
        <v>217</v>
      </c>
      <c r="K211" s="178" t="s">
        <v>217</v>
      </c>
      <c r="L211" s="181" t="s">
        <v>177</v>
      </c>
      <c r="M211" s="180" t="s">
        <v>218</v>
      </c>
      <c r="N211" s="180">
        <v>9.36</v>
      </c>
      <c r="O211" s="180">
        <v>9.36</v>
      </c>
      <c r="P211" s="180">
        <v>9.36</v>
      </c>
      <c r="Q211" s="180">
        <v>9.36</v>
      </c>
      <c r="R211" s="180">
        <v>9.36</v>
      </c>
      <c r="S211" s="180">
        <v>9.36</v>
      </c>
      <c r="T211" s="180">
        <v>9.36</v>
      </c>
      <c r="U211" s="180">
        <v>9.36</v>
      </c>
      <c r="V211" s="180">
        <v>9.36</v>
      </c>
      <c r="W211" s="180">
        <v>9.36</v>
      </c>
      <c r="X211" s="180">
        <v>9.36</v>
      </c>
      <c r="Y211" s="180">
        <v>9.36</v>
      </c>
      <c r="Z211" s="180">
        <v>9.36</v>
      </c>
      <c r="AA211" s="180">
        <v>1.31</v>
      </c>
      <c r="AB211" s="162">
        <v>1.31</v>
      </c>
      <c r="AC211" s="162">
        <v>1.31</v>
      </c>
      <c r="AD211" s="162">
        <v>1.31</v>
      </c>
      <c r="AE211" s="162">
        <v>1.31</v>
      </c>
      <c r="AF211" s="162">
        <v>1.31</v>
      </c>
      <c r="AG211" s="173">
        <v>1.31</v>
      </c>
      <c r="AH211" s="173">
        <v>1.31</v>
      </c>
      <c r="AI211" s="173">
        <v>1.31</v>
      </c>
      <c r="AJ211" s="173">
        <v>1.31</v>
      </c>
      <c r="AK211" s="173">
        <v>1.31</v>
      </c>
      <c r="AL211" s="173">
        <v>1.31</v>
      </c>
      <c r="AM211" s="173">
        <v>1.31</v>
      </c>
      <c r="AN211" s="179"/>
      <c r="AO211" s="254">
        <f t="shared" si="36"/>
        <v>0</v>
      </c>
      <c r="AP211" s="255"/>
      <c r="AQ211" s="254">
        <f t="shared" si="37"/>
        <v>0</v>
      </c>
      <c r="AR211" s="255">
        <v>90</v>
      </c>
      <c r="AS211" s="254">
        <f t="shared" si="38"/>
        <v>117.9</v>
      </c>
      <c r="AT211" s="256"/>
      <c r="AU211" s="257">
        <f t="shared" si="39"/>
        <v>0</v>
      </c>
      <c r="AV211" s="270"/>
      <c r="AW211" s="257">
        <f t="shared" si="40"/>
        <v>0</v>
      </c>
      <c r="AX211" s="270"/>
      <c r="AY211" s="257">
        <f t="shared" si="41"/>
        <v>0</v>
      </c>
      <c r="AZ211" s="268"/>
      <c r="BA211" s="257">
        <f t="shared" si="42"/>
        <v>0</v>
      </c>
      <c r="BB211" s="59"/>
      <c r="BC211" s="257">
        <f t="shared" si="43"/>
        <v>0</v>
      </c>
      <c r="BD211" s="59"/>
      <c r="BE211" s="257">
        <f t="shared" si="44"/>
        <v>0</v>
      </c>
      <c r="BF211" s="59"/>
      <c r="BG211" s="257">
        <f t="shared" si="45"/>
        <v>0</v>
      </c>
      <c r="BH211" s="59"/>
      <c r="BI211" s="257">
        <f t="shared" si="46"/>
        <v>0</v>
      </c>
      <c r="BJ211" s="268"/>
      <c r="BK211" s="257">
        <f t="shared" si="47"/>
        <v>0</v>
      </c>
    </row>
    <row r="212" spans="1:63" ht="15" hidden="1" customHeight="1">
      <c r="A212" s="250" t="s">
        <v>105</v>
      </c>
      <c r="C212" s="59"/>
      <c r="D212" s="473"/>
      <c r="E212" s="39"/>
      <c r="F212" s="454"/>
      <c r="G212" s="74"/>
      <c r="H212" s="74"/>
      <c r="I212" s="74"/>
      <c r="J212" s="106"/>
      <c r="K212" s="74"/>
      <c r="L212" s="74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6"/>
      <c r="AC212" s="6"/>
      <c r="AD212" s="6"/>
      <c r="AN212" s="168"/>
      <c r="AO212" s="254">
        <f t="shared" si="36"/>
        <v>0</v>
      </c>
      <c r="AP212" s="255"/>
      <c r="AQ212" s="254">
        <f t="shared" si="37"/>
        <v>0</v>
      </c>
      <c r="AR212" s="255"/>
      <c r="AS212" s="254">
        <f t="shared" si="38"/>
        <v>0</v>
      </c>
      <c r="AT212" s="256"/>
      <c r="AU212" s="257">
        <f t="shared" si="39"/>
        <v>0</v>
      </c>
      <c r="AV212" s="270"/>
      <c r="AW212" s="257">
        <f t="shared" si="40"/>
        <v>0</v>
      </c>
      <c r="AX212" s="270"/>
      <c r="AY212" s="257">
        <f t="shared" si="41"/>
        <v>0</v>
      </c>
      <c r="AZ212" s="268"/>
      <c r="BA212" s="257">
        <f t="shared" si="42"/>
        <v>0</v>
      </c>
      <c r="BB212" s="59"/>
      <c r="BC212" s="257">
        <f t="shared" si="43"/>
        <v>0</v>
      </c>
      <c r="BD212" s="59"/>
      <c r="BE212" s="257">
        <f t="shared" si="44"/>
        <v>0</v>
      </c>
      <c r="BF212" s="59"/>
      <c r="BG212" s="257">
        <f t="shared" si="45"/>
        <v>0</v>
      </c>
      <c r="BH212" s="59"/>
      <c r="BI212" s="257">
        <f t="shared" si="46"/>
        <v>0</v>
      </c>
      <c r="BJ212" s="59"/>
      <c r="BK212" s="257">
        <f t="shared" si="47"/>
        <v>0</v>
      </c>
    </row>
    <row r="213" spans="1:63" ht="15" hidden="1" customHeight="1">
      <c r="A213" s="250" t="s">
        <v>105</v>
      </c>
      <c r="C213" s="59"/>
      <c r="D213" s="473"/>
      <c r="E213" s="39"/>
      <c r="F213" s="454"/>
      <c r="G213" s="74"/>
      <c r="H213" s="74"/>
      <c r="I213" s="74"/>
      <c r="J213" s="106"/>
      <c r="K213" s="74"/>
      <c r="L213" s="74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6"/>
      <c r="AC213" s="6"/>
      <c r="AD213" s="6"/>
      <c r="AN213" s="168"/>
      <c r="AO213" s="254">
        <f t="shared" si="36"/>
        <v>0</v>
      </c>
      <c r="AP213" s="255"/>
      <c r="AQ213" s="254">
        <f t="shared" si="37"/>
        <v>0</v>
      </c>
      <c r="AR213" s="255"/>
      <c r="AS213" s="254">
        <f t="shared" si="38"/>
        <v>0</v>
      </c>
      <c r="AT213" s="256"/>
      <c r="AU213" s="257">
        <f t="shared" si="39"/>
        <v>0</v>
      </c>
      <c r="AV213" s="270"/>
      <c r="AW213" s="257">
        <f t="shared" si="40"/>
        <v>0</v>
      </c>
      <c r="AX213" s="270"/>
      <c r="AY213" s="257">
        <f t="shared" si="41"/>
        <v>0</v>
      </c>
      <c r="AZ213" s="268"/>
      <c r="BA213" s="257">
        <f t="shared" si="42"/>
        <v>0</v>
      </c>
      <c r="BB213" s="59"/>
      <c r="BC213" s="257">
        <f t="shared" si="43"/>
        <v>0</v>
      </c>
      <c r="BD213" s="59"/>
      <c r="BE213" s="257">
        <f t="shared" si="44"/>
        <v>0</v>
      </c>
      <c r="BF213" s="59"/>
      <c r="BG213" s="257">
        <f t="shared" si="45"/>
        <v>0</v>
      </c>
      <c r="BH213" s="59"/>
      <c r="BI213" s="257">
        <f t="shared" si="46"/>
        <v>0</v>
      </c>
      <c r="BJ213" s="59"/>
      <c r="BK213" s="257">
        <f t="shared" si="47"/>
        <v>0</v>
      </c>
    </row>
    <row r="214" spans="1:63" ht="15" hidden="1" customHeight="1">
      <c r="A214" s="250" t="s">
        <v>105</v>
      </c>
      <c r="C214" s="59"/>
      <c r="D214" s="473"/>
      <c r="E214" s="39"/>
      <c r="F214" s="454"/>
      <c r="G214" s="74"/>
      <c r="H214" s="74"/>
      <c r="I214" s="74"/>
      <c r="J214" s="106"/>
      <c r="K214" s="74"/>
      <c r="L214" s="74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6"/>
      <c r="AC214" s="6"/>
      <c r="AD214" s="6"/>
      <c r="AN214" s="168"/>
      <c r="AO214" s="254">
        <f t="shared" si="36"/>
        <v>0</v>
      </c>
      <c r="AP214" s="255"/>
      <c r="AQ214" s="254">
        <f t="shared" si="37"/>
        <v>0</v>
      </c>
      <c r="AR214" s="255"/>
      <c r="AS214" s="254">
        <f t="shared" si="38"/>
        <v>0</v>
      </c>
      <c r="AT214" s="256"/>
      <c r="AU214" s="257">
        <f t="shared" si="39"/>
        <v>0</v>
      </c>
      <c r="AV214" s="270"/>
      <c r="AW214" s="257">
        <f t="shared" si="40"/>
        <v>0</v>
      </c>
      <c r="AX214" s="270"/>
      <c r="AY214" s="257">
        <f t="shared" si="41"/>
        <v>0</v>
      </c>
      <c r="AZ214" s="268"/>
      <c r="BA214" s="257">
        <f t="shared" si="42"/>
        <v>0</v>
      </c>
      <c r="BB214" s="59"/>
      <c r="BC214" s="257">
        <f t="shared" si="43"/>
        <v>0</v>
      </c>
      <c r="BD214" s="59"/>
      <c r="BE214" s="257">
        <f t="shared" si="44"/>
        <v>0</v>
      </c>
      <c r="BF214" s="59"/>
      <c r="BG214" s="257">
        <f t="shared" si="45"/>
        <v>0</v>
      </c>
      <c r="BH214" s="59"/>
      <c r="BI214" s="257">
        <f t="shared" si="46"/>
        <v>0</v>
      </c>
      <c r="BJ214" s="59"/>
      <c r="BK214" s="257">
        <f t="shared" si="47"/>
        <v>0</v>
      </c>
    </row>
    <row r="215" spans="1:63" ht="15.75" hidden="1" customHeight="1">
      <c r="A215" s="250" t="s">
        <v>105</v>
      </c>
      <c r="C215" s="59"/>
      <c r="D215" s="473"/>
      <c r="E215" s="39"/>
      <c r="F215" s="454"/>
      <c r="G215" s="74"/>
      <c r="H215" s="74"/>
      <c r="I215" s="74"/>
      <c r="J215" s="106"/>
      <c r="K215" s="74"/>
      <c r="L215" s="74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6"/>
      <c r="AC215" s="6"/>
      <c r="AD215" s="6"/>
      <c r="AN215" s="168"/>
      <c r="AO215" s="254">
        <f t="shared" si="36"/>
        <v>0</v>
      </c>
      <c r="AP215" s="255"/>
      <c r="AQ215" s="254">
        <f t="shared" si="37"/>
        <v>0</v>
      </c>
      <c r="AR215" s="255"/>
      <c r="AS215" s="254">
        <f t="shared" si="38"/>
        <v>0</v>
      </c>
      <c r="AT215" s="256"/>
      <c r="AU215" s="257">
        <f t="shared" si="39"/>
        <v>0</v>
      </c>
      <c r="AV215" s="270"/>
      <c r="AW215" s="257">
        <f t="shared" si="40"/>
        <v>0</v>
      </c>
      <c r="AX215" s="270"/>
      <c r="AY215" s="257">
        <f t="shared" si="41"/>
        <v>0</v>
      </c>
      <c r="AZ215" s="268"/>
      <c r="BA215" s="257">
        <f t="shared" si="42"/>
        <v>0</v>
      </c>
      <c r="BB215" s="59"/>
      <c r="BC215" s="257">
        <f t="shared" si="43"/>
        <v>0</v>
      </c>
      <c r="BD215" s="59"/>
      <c r="BE215" s="257">
        <f t="shared" si="44"/>
        <v>0</v>
      </c>
      <c r="BF215" s="59"/>
      <c r="BG215" s="257">
        <f t="shared" si="45"/>
        <v>0</v>
      </c>
      <c r="BH215" s="59"/>
      <c r="BI215" s="257">
        <f t="shared" si="46"/>
        <v>0</v>
      </c>
      <c r="BJ215" s="59"/>
      <c r="BK215" s="257">
        <f t="shared" si="47"/>
        <v>0</v>
      </c>
    </row>
    <row r="216" spans="1:63" ht="15" hidden="1" customHeight="1">
      <c r="A216" s="250" t="s">
        <v>105</v>
      </c>
      <c r="C216" s="59"/>
      <c r="D216" s="473"/>
      <c r="E216" s="39"/>
      <c r="F216" s="454"/>
      <c r="G216" s="74"/>
      <c r="H216" s="74"/>
      <c r="I216" s="74"/>
      <c r="J216" s="106"/>
      <c r="K216" s="74"/>
      <c r="L216" s="74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6"/>
      <c r="AC216" s="6"/>
      <c r="AD216" s="6"/>
      <c r="AN216" s="168"/>
      <c r="AO216" s="254">
        <f t="shared" si="36"/>
        <v>0</v>
      </c>
      <c r="AP216" s="255"/>
      <c r="AQ216" s="254">
        <f t="shared" si="37"/>
        <v>0</v>
      </c>
      <c r="AR216" s="255"/>
      <c r="AS216" s="254">
        <f t="shared" si="38"/>
        <v>0</v>
      </c>
      <c r="AT216" s="256"/>
      <c r="AU216" s="257">
        <f t="shared" si="39"/>
        <v>0</v>
      </c>
      <c r="AV216" s="270"/>
      <c r="AW216" s="257">
        <f t="shared" si="40"/>
        <v>0</v>
      </c>
      <c r="AX216" s="270"/>
      <c r="AY216" s="257">
        <f t="shared" si="41"/>
        <v>0</v>
      </c>
      <c r="AZ216" s="268"/>
      <c r="BA216" s="257">
        <f t="shared" si="42"/>
        <v>0</v>
      </c>
      <c r="BB216" s="59"/>
      <c r="BC216" s="257">
        <f t="shared" si="43"/>
        <v>0</v>
      </c>
      <c r="BD216" s="59"/>
      <c r="BE216" s="257">
        <f t="shared" si="44"/>
        <v>0</v>
      </c>
      <c r="BF216" s="59"/>
      <c r="BG216" s="257">
        <f t="shared" si="45"/>
        <v>0</v>
      </c>
      <c r="BH216" s="59"/>
      <c r="BI216" s="257">
        <f t="shared" si="46"/>
        <v>0</v>
      </c>
      <c r="BJ216" s="59"/>
      <c r="BK216" s="257">
        <f t="shared" si="47"/>
        <v>0</v>
      </c>
    </row>
    <row r="217" spans="1:63" ht="15" hidden="1" customHeight="1">
      <c r="A217" s="250" t="s">
        <v>105</v>
      </c>
      <c r="C217" s="59"/>
      <c r="D217" s="473"/>
      <c r="E217" s="39"/>
      <c r="F217" s="454"/>
      <c r="G217" s="74"/>
      <c r="H217" s="74"/>
      <c r="I217" s="74"/>
      <c r="J217" s="106"/>
      <c r="K217" s="74"/>
      <c r="L217" s="74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6"/>
      <c r="AC217" s="6"/>
      <c r="AD217" s="6"/>
      <c r="AN217" s="168"/>
      <c r="AO217" s="254">
        <f t="shared" si="36"/>
        <v>0</v>
      </c>
      <c r="AP217" s="255"/>
      <c r="AQ217" s="254">
        <f t="shared" si="37"/>
        <v>0</v>
      </c>
      <c r="AR217" s="255"/>
      <c r="AS217" s="254">
        <f t="shared" si="38"/>
        <v>0</v>
      </c>
      <c r="AT217" s="256"/>
      <c r="AU217" s="257">
        <f t="shared" si="39"/>
        <v>0</v>
      </c>
      <c r="AV217" s="270"/>
      <c r="AW217" s="257">
        <f t="shared" si="40"/>
        <v>0</v>
      </c>
      <c r="AX217" s="270"/>
      <c r="AY217" s="257">
        <f t="shared" si="41"/>
        <v>0</v>
      </c>
      <c r="AZ217" s="268"/>
      <c r="BA217" s="257">
        <f t="shared" si="42"/>
        <v>0</v>
      </c>
      <c r="BB217" s="59"/>
      <c r="BC217" s="257">
        <f t="shared" si="43"/>
        <v>0</v>
      </c>
      <c r="BD217" s="59"/>
      <c r="BE217" s="257">
        <f t="shared" si="44"/>
        <v>0</v>
      </c>
      <c r="BF217" s="59"/>
      <c r="BG217" s="257">
        <f t="shared" si="45"/>
        <v>0</v>
      </c>
      <c r="BH217" s="59"/>
      <c r="BI217" s="257">
        <f t="shared" si="46"/>
        <v>0</v>
      </c>
      <c r="BJ217" s="59"/>
      <c r="BK217" s="257">
        <f t="shared" si="47"/>
        <v>0</v>
      </c>
    </row>
    <row r="218" spans="1:63" ht="15" hidden="1" customHeight="1">
      <c r="A218" s="250" t="s">
        <v>105</v>
      </c>
      <c r="C218" s="59"/>
      <c r="D218" s="473"/>
      <c r="E218" s="39"/>
      <c r="F218" s="454"/>
      <c r="G218" s="74"/>
      <c r="H218" s="74"/>
      <c r="I218" s="74"/>
      <c r="J218" s="106"/>
      <c r="K218" s="74"/>
      <c r="L218" s="74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6"/>
      <c r="AC218" s="6"/>
      <c r="AD218" s="6"/>
      <c r="AN218" s="168"/>
      <c r="AO218" s="254">
        <f t="shared" si="36"/>
        <v>0</v>
      </c>
      <c r="AP218" s="255"/>
      <c r="AQ218" s="254">
        <f t="shared" si="37"/>
        <v>0</v>
      </c>
      <c r="AR218" s="267"/>
      <c r="AS218" s="254">
        <f t="shared" si="38"/>
        <v>0</v>
      </c>
      <c r="AT218" s="256"/>
      <c r="AU218" s="257">
        <f t="shared" si="39"/>
        <v>0</v>
      </c>
      <c r="AV218" s="270"/>
      <c r="AW218" s="257">
        <f t="shared" si="40"/>
        <v>0</v>
      </c>
      <c r="AX218" s="270"/>
      <c r="AY218" s="257">
        <f t="shared" si="41"/>
        <v>0</v>
      </c>
      <c r="AZ218" s="268"/>
      <c r="BA218" s="257">
        <f t="shared" si="42"/>
        <v>0</v>
      </c>
      <c r="BB218" s="59"/>
      <c r="BC218" s="257">
        <f t="shared" si="43"/>
        <v>0</v>
      </c>
      <c r="BD218" s="59"/>
      <c r="BE218" s="257">
        <f t="shared" si="44"/>
        <v>0</v>
      </c>
      <c r="BF218" s="59"/>
      <c r="BG218" s="257">
        <f t="shared" si="45"/>
        <v>0</v>
      </c>
      <c r="BH218" s="59"/>
      <c r="BI218" s="257">
        <f t="shared" si="46"/>
        <v>0</v>
      </c>
      <c r="BJ218" s="59"/>
      <c r="BK218" s="257">
        <f t="shared" si="47"/>
        <v>0</v>
      </c>
    </row>
    <row r="219" spans="1:63" ht="15" hidden="1" customHeight="1">
      <c r="A219" s="250" t="s">
        <v>105</v>
      </c>
      <c r="C219" s="59"/>
      <c r="D219" s="473"/>
      <c r="E219" s="39"/>
      <c r="F219" s="454"/>
      <c r="G219" s="74"/>
      <c r="H219" s="74"/>
      <c r="I219" s="74"/>
      <c r="J219" s="106"/>
      <c r="K219" s="74"/>
      <c r="L219" s="74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6"/>
      <c r="AC219" s="6"/>
      <c r="AD219" s="6"/>
      <c r="AN219" s="168"/>
      <c r="AO219" s="254">
        <f t="shared" si="36"/>
        <v>0</v>
      </c>
      <c r="AP219" s="255"/>
      <c r="AQ219" s="254">
        <f t="shared" si="37"/>
        <v>0</v>
      </c>
      <c r="AR219" s="255"/>
      <c r="AS219" s="254">
        <f t="shared" si="38"/>
        <v>0</v>
      </c>
      <c r="AT219" s="256"/>
      <c r="AU219" s="257">
        <f t="shared" si="39"/>
        <v>0</v>
      </c>
      <c r="AV219" s="270"/>
      <c r="AW219" s="257">
        <f t="shared" si="40"/>
        <v>0</v>
      </c>
      <c r="AX219" s="270"/>
      <c r="AY219" s="257">
        <f t="shared" si="41"/>
        <v>0</v>
      </c>
      <c r="AZ219" s="268"/>
      <c r="BA219" s="257">
        <f t="shared" si="42"/>
        <v>0</v>
      </c>
      <c r="BB219" s="59"/>
      <c r="BC219" s="257">
        <f t="shared" si="43"/>
        <v>0</v>
      </c>
      <c r="BD219" s="59"/>
      <c r="BE219" s="257">
        <f t="shared" si="44"/>
        <v>0</v>
      </c>
      <c r="BF219" s="59"/>
      <c r="BG219" s="257">
        <f t="shared" si="45"/>
        <v>0</v>
      </c>
      <c r="BH219" s="59"/>
      <c r="BI219" s="257">
        <f t="shared" si="46"/>
        <v>0</v>
      </c>
      <c r="BJ219" s="59"/>
      <c r="BK219" s="257">
        <f t="shared" si="47"/>
        <v>0</v>
      </c>
    </row>
    <row r="220" spans="1:63" ht="15.75" hidden="1" customHeight="1">
      <c r="A220" s="250" t="s">
        <v>105</v>
      </c>
      <c r="C220" s="59"/>
      <c r="D220" s="473"/>
      <c r="E220" s="39"/>
      <c r="F220" s="454"/>
      <c r="G220" s="74"/>
      <c r="H220" s="74"/>
      <c r="I220" s="74"/>
      <c r="J220" s="106"/>
      <c r="K220" s="74"/>
      <c r="L220" s="74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6"/>
      <c r="AC220" s="6"/>
      <c r="AD220" s="6"/>
      <c r="AN220" s="168"/>
      <c r="AO220" s="254">
        <f t="shared" si="36"/>
        <v>0</v>
      </c>
      <c r="AP220" s="255"/>
      <c r="AQ220" s="254">
        <f t="shared" si="37"/>
        <v>0</v>
      </c>
      <c r="AR220" s="255"/>
      <c r="AS220" s="254">
        <f t="shared" si="38"/>
        <v>0</v>
      </c>
      <c r="AT220" s="256"/>
      <c r="AU220" s="257">
        <f t="shared" si="39"/>
        <v>0</v>
      </c>
      <c r="AV220" s="270"/>
      <c r="AW220" s="257">
        <f t="shared" si="40"/>
        <v>0</v>
      </c>
      <c r="AX220" s="270"/>
      <c r="AY220" s="257">
        <f t="shared" si="41"/>
        <v>0</v>
      </c>
      <c r="AZ220" s="268"/>
      <c r="BA220" s="257">
        <f t="shared" si="42"/>
        <v>0</v>
      </c>
      <c r="BB220" s="59"/>
      <c r="BC220" s="257">
        <f t="shared" si="43"/>
        <v>0</v>
      </c>
      <c r="BD220" s="59"/>
      <c r="BE220" s="257">
        <f t="shared" si="44"/>
        <v>0</v>
      </c>
      <c r="BF220" s="59"/>
      <c r="BG220" s="257">
        <f t="shared" si="45"/>
        <v>0</v>
      </c>
      <c r="BH220" s="59"/>
      <c r="BI220" s="257">
        <f t="shared" si="46"/>
        <v>0</v>
      </c>
      <c r="BJ220" s="59"/>
      <c r="BK220" s="257">
        <f t="shared" si="47"/>
        <v>0</v>
      </c>
    </row>
    <row r="221" spans="1:63" ht="15" hidden="1" customHeight="1">
      <c r="A221" s="250" t="s">
        <v>105</v>
      </c>
      <c r="C221" s="59"/>
      <c r="D221" s="473"/>
      <c r="E221" s="39"/>
      <c r="F221" s="454"/>
      <c r="G221" s="74"/>
      <c r="H221" s="74"/>
      <c r="I221" s="74"/>
      <c r="J221" s="106"/>
      <c r="K221" s="74"/>
      <c r="L221" s="74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6"/>
      <c r="AC221" s="6"/>
      <c r="AD221" s="6"/>
      <c r="AN221" s="168"/>
      <c r="AO221" s="254">
        <f t="shared" si="36"/>
        <v>0</v>
      </c>
      <c r="AP221" s="255"/>
      <c r="AQ221" s="254">
        <f t="shared" si="37"/>
        <v>0</v>
      </c>
      <c r="AR221" s="255"/>
      <c r="AS221" s="254">
        <f t="shared" si="38"/>
        <v>0</v>
      </c>
      <c r="AT221" s="256"/>
      <c r="AU221" s="257">
        <f t="shared" si="39"/>
        <v>0</v>
      </c>
      <c r="AV221" s="270"/>
      <c r="AW221" s="257">
        <f t="shared" si="40"/>
        <v>0</v>
      </c>
      <c r="AX221" s="270"/>
      <c r="AY221" s="257">
        <f t="shared" si="41"/>
        <v>0</v>
      </c>
      <c r="AZ221" s="268"/>
      <c r="BA221" s="257">
        <f t="shared" si="42"/>
        <v>0</v>
      </c>
      <c r="BB221" s="59"/>
      <c r="BC221" s="257">
        <f t="shared" si="43"/>
        <v>0</v>
      </c>
      <c r="BD221" s="59"/>
      <c r="BE221" s="257">
        <f t="shared" si="44"/>
        <v>0</v>
      </c>
      <c r="BF221" s="59"/>
      <c r="BG221" s="257">
        <f t="shared" si="45"/>
        <v>0</v>
      </c>
      <c r="BH221" s="59"/>
      <c r="BI221" s="257">
        <f t="shared" si="46"/>
        <v>0</v>
      </c>
      <c r="BJ221" s="59"/>
      <c r="BK221" s="257">
        <f t="shared" si="47"/>
        <v>0</v>
      </c>
    </row>
    <row r="222" spans="1:63" ht="15" hidden="1" thickBot="1">
      <c r="A222" s="250" t="s">
        <v>105</v>
      </c>
      <c r="C222" s="59"/>
      <c r="D222" s="473"/>
      <c r="E222" s="39"/>
      <c r="F222" s="454"/>
      <c r="G222" s="74"/>
      <c r="H222" s="90"/>
      <c r="I222" s="90"/>
      <c r="J222" s="114"/>
      <c r="K222" s="90"/>
      <c r="L222" s="90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6"/>
      <c r="AC222" s="6"/>
      <c r="AD222" s="6"/>
      <c r="AN222" s="168"/>
      <c r="AO222" s="254">
        <f t="shared" si="36"/>
        <v>0</v>
      </c>
      <c r="AP222" s="255"/>
      <c r="AQ222" s="254">
        <f t="shared" si="37"/>
        <v>0</v>
      </c>
      <c r="AR222" s="255"/>
      <c r="AS222" s="254">
        <f t="shared" si="38"/>
        <v>0</v>
      </c>
      <c r="AT222" s="256"/>
      <c r="AU222" s="257">
        <f t="shared" si="39"/>
        <v>0</v>
      </c>
      <c r="AV222" s="270"/>
      <c r="AW222" s="257">
        <f t="shared" si="40"/>
        <v>0</v>
      </c>
      <c r="AX222" s="270"/>
      <c r="AY222" s="257">
        <f t="shared" si="41"/>
        <v>0</v>
      </c>
      <c r="AZ222" s="268"/>
      <c r="BA222" s="257">
        <f t="shared" si="42"/>
        <v>0</v>
      </c>
      <c r="BB222" s="59"/>
      <c r="BC222" s="257">
        <f t="shared" si="43"/>
        <v>0</v>
      </c>
      <c r="BD222" s="59"/>
      <c r="BE222" s="257">
        <f t="shared" si="44"/>
        <v>0</v>
      </c>
      <c r="BF222" s="59"/>
      <c r="BG222" s="257">
        <f t="shared" si="45"/>
        <v>0</v>
      </c>
      <c r="BH222" s="59"/>
      <c r="BI222" s="257">
        <f t="shared" si="46"/>
        <v>0</v>
      </c>
      <c r="BJ222" s="59"/>
      <c r="BK222" s="257">
        <f t="shared" si="47"/>
        <v>0</v>
      </c>
    </row>
    <row r="223" spans="1:63" ht="15.75" hidden="1" customHeight="1">
      <c r="A223" s="250" t="s">
        <v>105</v>
      </c>
      <c r="C223" s="59"/>
      <c r="D223" s="473"/>
      <c r="E223" s="39"/>
      <c r="F223" s="454"/>
      <c r="G223" s="74"/>
      <c r="H223" s="90"/>
      <c r="I223" s="90"/>
      <c r="J223" s="114"/>
      <c r="K223" s="90"/>
      <c r="L223" s="90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6"/>
      <c r="AC223" s="6"/>
      <c r="AD223" s="6"/>
      <c r="AN223" s="168"/>
      <c r="AO223" s="254">
        <f t="shared" si="36"/>
        <v>0</v>
      </c>
      <c r="AP223" s="255"/>
      <c r="AQ223" s="254">
        <f t="shared" si="37"/>
        <v>0</v>
      </c>
      <c r="AR223" s="255"/>
      <c r="AS223" s="254">
        <f t="shared" si="38"/>
        <v>0</v>
      </c>
      <c r="AT223" s="256"/>
      <c r="AU223" s="257">
        <f t="shared" si="39"/>
        <v>0</v>
      </c>
      <c r="AV223" s="270"/>
      <c r="AW223" s="257">
        <f t="shared" si="40"/>
        <v>0</v>
      </c>
      <c r="AX223" s="270"/>
      <c r="AY223" s="257">
        <f t="shared" si="41"/>
        <v>0</v>
      </c>
      <c r="AZ223" s="268"/>
      <c r="BA223" s="257">
        <f t="shared" si="42"/>
        <v>0</v>
      </c>
      <c r="BB223" s="59"/>
      <c r="BC223" s="257">
        <f t="shared" si="43"/>
        <v>0</v>
      </c>
      <c r="BD223" s="59"/>
      <c r="BE223" s="257">
        <f t="shared" si="44"/>
        <v>0</v>
      </c>
      <c r="BF223" s="59"/>
      <c r="BG223" s="257">
        <f t="shared" si="45"/>
        <v>0</v>
      </c>
      <c r="BH223" s="59"/>
      <c r="BI223" s="257">
        <f t="shared" si="46"/>
        <v>0</v>
      </c>
      <c r="BJ223" s="59"/>
      <c r="BK223" s="257">
        <f t="shared" si="47"/>
        <v>0</v>
      </c>
    </row>
    <row r="224" spans="1:63" ht="15.75" hidden="1" customHeight="1">
      <c r="A224" s="250" t="s">
        <v>105</v>
      </c>
      <c r="C224" s="59"/>
      <c r="D224" s="473"/>
      <c r="E224" s="39"/>
      <c r="F224" s="454"/>
      <c r="G224" s="74"/>
      <c r="H224" s="90"/>
      <c r="I224" s="90"/>
      <c r="J224" s="114"/>
      <c r="K224" s="90"/>
      <c r="L224" s="90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6"/>
      <c r="AC224" s="6"/>
      <c r="AD224" s="6"/>
      <c r="AN224" s="168"/>
      <c r="AO224" s="254">
        <f t="shared" si="36"/>
        <v>0</v>
      </c>
      <c r="AP224" s="255"/>
      <c r="AQ224" s="254">
        <f t="shared" si="37"/>
        <v>0</v>
      </c>
      <c r="AR224" s="255"/>
      <c r="AS224" s="254">
        <f t="shared" si="38"/>
        <v>0</v>
      </c>
      <c r="AT224" s="256"/>
      <c r="AU224" s="257">
        <f t="shared" si="39"/>
        <v>0</v>
      </c>
      <c r="AV224" s="270"/>
      <c r="AW224" s="257">
        <f t="shared" si="40"/>
        <v>0</v>
      </c>
      <c r="AX224" s="270"/>
      <c r="AY224" s="257">
        <f t="shared" si="41"/>
        <v>0</v>
      </c>
      <c r="AZ224" s="268"/>
      <c r="BA224" s="257">
        <f t="shared" si="42"/>
        <v>0</v>
      </c>
      <c r="BB224" s="59"/>
      <c r="BC224" s="257">
        <f t="shared" si="43"/>
        <v>0</v>
      </c>
      <c r="BD224" s="59"/>
      <c r="BE224" s="257">
        <f t="shared" si="44"/>
        <v>0</v>
      </c>
      <c r="BF224" s="59"/>
      <c r="BG224" s="257">
        <f t="shared" si="45"/>
        <v>0</v>
      </c>
      <c r="BH224" s="59"/>
      <c r="BI224" s="257">
        <f t="shared" si="46"/>
        <v>0</v>
      </c>
      <c r="BJ224" s="59"/>
      <c r="BK224" s="257">
        <f t="shared" si="47"/>
        <v>0</v>
      </c>
    </row>
    <row r="225" spans="1:63" ht="15.75" hidden="1" customHeight="1">
      <c r="A225" s="250" t="s">
        <v>105</v>
      </c>
      <c r="C225" s="59"/>
      <c r="D225" s="473"/>
      <c r="E225" s="39"/>
      <c r="F225" s="454"/>
      <c r="G225" s="74"/>
      <c r="H225" s="90"/>
      <c r="I225" s="90"/>
      <c r="J225" s="114"/>
      <c r="K225" s="90"/>
      <c r="L225" s="90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6"/>
      <c r="AC225" s="6"/>
      <c r="AD225" s="6"/>
      <c r="AN225" s="168"/>
      <c r="AO225" s="254">
        <f t="shared" si="36"/>
        <v>0</v>
      </c>
      <c r="AP225" s="255"/>
      <c r="AQ225" s="254">
        <f t="shared" si="37"/>
        <v>0</v>
      </c>
      <c r="AR225" s="255"/>
      <c r="AS225" s="254">
        <f t="shared" si="38"/>
        <v>0</v>
      </c>
      <c r="AT225" s="256"/>
      <c r="AU225" s="257">
        <f t="shared" si="39"/>
        <v>0</v>
      </c>
      <c r="AV225" s="270"/>
      <c r="AW225" s="257">
        <f t="shared" si="40"/>
        <v>0</v>
      </c>
      <c r="AX225" s="270"/>
      <c r="AY225" s="257">
        <f t="shared" si="41"/>
        <v>0</v>
      </c>
      <c r="AZ225" s="268"/>
      <c r="BA225" s="257">
        <f t="shared" si="42"/>
        <v>0</v>
      </c>
      <c r="BB225" s="59"/>
      <c r="BC225" s="257">
        <f t="shared" si="43"/>
        <v>0</v>
      </c>
      <c r="BD225" s="59"/>
      <c r="BE225" s="257">
        <f t="shared" si="44"/>
        <v>0</v>
      </c>
      <c r="BF225" s="59"/>
      <c r="BG225" s="257">
        <f t="shared" si="45"/>
        <v>0</v>
      </c>
      <c r="BH225" s="59"/>
      <c r="BI225" s="257">
        <f t="shared" si="46"/>
        <v>0</v>
      </c>
      <c r="BJ225" s="59"/>
      <c r="BK225" s="257">
        <f t="shared" si="47"/>
        <v>0</v>
      </c>
    </row>
    <row r="226" spans="1:63" ht="15.75" hidden="1" customHeight="1">
      <c r="A226" s="250" t="s">
        <v>105</v>
      </c>
      <c r="C226" s="59"/>
      <c r="D226" s="473"/>
      <c r="E226" s="39"/>
      <c r="F226" s="454"/>
      <c r="G226" s="74"/>
      <c r="H226" s="90"/>
      <c r="I226" s="90"/>
      <c r="J226" s="114"/>
      <c r="K226" s="90"/>
      <c r="L226" s="90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6"/>
      <c r="AC226" s="6"/>
      <c r="AD226" s="6"/>
      <c r="AN226" s="168"/>
      <c r="AO226" s="254">
        <f t="shared" si="36"/>
        <v>0</v>
      </c>
      <c r="AP226" s="255"/>
      <c r="AQ226" s="254">
        <f t="shared" si="37"/>
        <v>0</v>
      </c>
      <c r="AR226" s="255"/>
      <c r="AS226" s="254">
        <f t="shared" si="38"/>
        <v>0</v>
      </c>
      <c r="AT226" s="256"/>
      <c r="AU226" s="257">
        <f t="shared" si="39"/>
        <v>0</v>
      </c>
      <c r="AV226" s="270"/>
      <c r="AW226" s="257">
        <f t="shared" si="40"/>
        <v>0</v>
      </c>
      <c r="AX226" s="270"/>
      <c r="AY226" s="257">
        <f t="shared" si="41"/>
        <v>0</v>
      </c>
      <c r="AZ226" s="268"/>
      <c r="BA226" s="257">
        <f t="shared" si="42"/>
        <v>0</v>
      </c>
      <c r="BB226" s="59"/>
      <c r="BC226" s="257">
        <f t="shared" si="43"/>
        <v>0</v>
      </c>
      <c r="BD226" s="59"/>
      <c r="BE226" s="257">
        <f t="shared" si="44"/>
        <v>0</v>
      </c>
      <c r="BF226" s="59"/>
      <c r="BG226" s="257">
        <f t="shared" si="45"/>
        <v>0</v>
      </c>
      <c r="BH226" s="59"/>
      <c r="BI226" s="257">
        <f t="shared" si="46"/>
        <v>0</v>
      </c>
      <c r="BJ226" s="59"/>
      <c r="BK226" s="257">
        <f t="shared" si="47"/>
        <v>0</v>
      </c>
    </row>
    <row r="227" spans="1:63" ht="15.75" hidden="1" customHeight="1" thickBot="1">
      <c r="A227" s="250" t="s">
        <v>105</v>
      </c>
      <c r="C227" s="59"/>
      <c r="D227" s="474"/>
      <c r="E227" s="39"/>
      <c r="F227" s="455"/>
      <c r="G227" s="76"/>
      <c r="H227" s="91"/>
      <c r="I227" s="91"/>
      <c r="J227" s="115"/>
      <c r="K227" s="91"/>
      <c r="L227" s="91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165"/>
      <c r="AC227" s="165"/>
      <c r="AD227" s="165"/>
      <c r="AE227" s="78"/>
      <c r="AF227" s="78"/>
      <c r="AG227" s="78"/>
      <c r="AH227" s="78"/>
      <c r="AI227" s="78"/>
      <c r="AJ227" s="78"/>
      <c r="AK227" s="78"/>
      <c r="AL227" s="78"/>
      <c r="AM227" s="78"/>
      <c r="AN227" s="166"/>
      <c r="AO227" s="254">
        <f t="shared" si="36"/>
        <v>0</v>
      </c>
      <c r="AP227" s="255"/>
      <c r="AQ227" s="254">
        <f t="shared" si="37"/>
        <v>0</v>
      </c>
      <c r="AR227" s="255"/>
      <c r="AS227" s="254">
        <f t="shared" si="38"/>
        <v>0</v>
      </c>
      <c r="AT227" s="256"/>
      <c r="AU227" s="257">
        <f t="shared" si="39"/>
        <v>0</v>
      </c>
      <c r="AV227" s="270"/>
      <c r="AW227" s="257">
        <f t="shared" si="40"/>
        <v>0</v>
      </c>
      <c r="AX227" s="270"/>
      <c r="AY227" s="257">
        <f t="shared" si="41"/>
        <v>0</v>
      </c>
      <c r="AZ227" s="268"/>
      <c r="BA227" s="257">
        <f t="shared" si="42"/>
        <v>0</v>
      </c>
      <c r="BB227" s="59"/>
      <c r="BC227" s="257">
        <f t="shared" si="43"/>
        <v>0</v>
      </c>
      <c r="BD227" s="59"/>
      <c r="BE227" s="257">
        <f t="shared" si="44"/>
        <v>0</v>
      </c>
      <c r="BF227" s="59"/>
      <c r="BG227" s="257">
        <f t="shared" si="45"/>
        <v>0</v>
      </c>
      <c r="BH227" s="59"/>
      <c r="BI227" s="257">
        <f t="shared" si="46"/>
        <v>0</v>
      </c>
      <c r="BJ227" s="59"/>
      <c r="BK227" s="257">
        <f t="shared" si="47"/>
        <v>0</v>
      </c>
    </row>
    <row r="228" spans="1:63" ht="15.75" customHeight="1">
      <c r="A228" s="250" t="s">
        <v>105</v>
      </c>
      <c r="B228" s="59" t="s">
        <v>213</v>
      </c>
      <c r="C228" s="59" t="s">
        <v>172</v>
      </c>
      <c r="D228" s="411" t="s">
        <v>304</v>
      </c>
      <c r="E228" s="411" t="s">
        <v>304</v>
      </c>
      <c r="F228" s="453" t="s">
        <v>305</v>
      </c>
      <c r="G228" s="175">
        <v>2021</v>
      </c>
      <c r="H228" s="80" t="s">
        <v>306</v>
      </c>
      <c r="I228" s="170" t="s">
        <v>190</v>
      </c>
      <c r="J228" s="171" t="s">
        <v>217</v>
      </c>
      <c r="K228" s="80" t="s">
        <v>217</v>
      </c>
      <c r="L228" s="92" t="s">
        <v>177</v>
      </c>
      <c r="M228" s="25" t="s">
        <v>218</v>
      </c>
      <c r="N228" s="21">
        <v>42.7</v>
      </c>
      <c r="O228" s="21">
        <v>42.7</v>
      </c>
      <c r="P228" s="21">
        <v>42.7</v>
      </c>
      <c r="Q228" s="21">
        <v>42.7</v>
      </c>
      <c r="R228" s="21">
        <v>42.7</v>
      </c>
      <c r="S228" s="21">
        <v>42.7</v>
      </c>
      <c r="T228" s="21">
        <v>42.7</v>
      </c>
      <c r="U228" s="21">
        <v>42.7</v>
      </c>
      <c r="V228" s="21">
        <v>42.7</v>
      </c>
      <c r="W228" s="21">
        <v>42.7</v>
      </c>
      <c r="X228" s="21">
        <v>42.7</v>
      </c>
      <c r="Y228" s="21">
        <v>42.7</v>
      </c>
      <c r="Z228" s="21">
        <v>42.7</v>
      </c>
      <c r="AA228" s="25">
        <v>0</v>
      </c>
      <c r="AB228" s="173">
        <v>0</v>
      </c>
      <c r="AC228" s="173">
        <v>0</v>
      </c>
      <c r="AD228" s="173">
        <v>0</v>
      </c>
      <c r="AE228" s="173">
        <v>0</v>
      </c>
      <c r="AF228" s="173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174"/>
      <c r="AO228" s="254">
        <f t="shared" si="36"/>
        <v>0</v>
      </c>
      <c r="AP228" s="255">
        <v>740</v>
      </c>
      <c r="AQ228" s="254">
        <f t="shared" si="37"/>
        <v>0</v>
      </c>
      <c r="AR228" s="255">
        <v>1800</v>
      </c>
      <c r="AS228" s="254">
        <f t="shared" si="38"/>
        <v>0</v>
      </c>
      <c r="AT228" s="256">
        <v>2460</v>
      </c>
      <c r="AU228" s="257">
        <f t="shared" si="39"/>
        <v>0</v>
      </c>
      <c r="AV228" s="255"/>
      <c r="AW228" s="257">
        <f t="shared" si="40"/>
        <v>0</v>
      </c>
      <c r="AX228" s="255">
        <v>1200</v>
      </c>
      <c r="AY228" s="257">
        <f t="shared" si="41"/>
        <v>0</v>
      </c>
      <c r="AZ228" s="255">
        <v>1800</v>
      </c>
      <c r="BA228" s="257">
        <f t="shared" si="42"/>
        <v>0</v>
      </c>
      <c r="BB228" s="255">
        <v>1420</v>
      </c>
      <c r="BC228" s="257">
        <f t="shared" si="43"/>
        <v>0</v>
      </c>
      <c r="BD228" s="255">
        <v>1600</v>
      </c>
      <c r="BE228" s="257">
        <f t="shared" si="44"/>
        <v>0</v>
      </c>
      <c r="BF228" s="255">
        <v>2000</v>
      </c>
      <c r="BG228" s="257">
        <f t="shared" si="45"/>
        <v>0</v>
      </c>
      <c r="BH228" s="255"/>
      <c r="BI228" s="257">
        <f t="shared" si="46"/>
        <v>0</v>
      </c>
      <c r="BJ228" s="255">
        <v>2400</v>
      </c>
      <c r="BK228" s="257">
        <f t="shared" si="47"/>
        <v>0</v>
      </c>
    </row>
    <row r="229" spans="1:63" ht="15.75" customHeight="1" thickBot="1">
      <c r="A229" s="250" t="s">
        <v>105</v>
      </c>
      <c r="B229" s="59" t="s">
        <v>213</v>
      </c>
      <c r="C229" s="59" t="s">
        <v>172</v>
      </c>
      <c r="D229" s="412"/>
      <c r="E229" s="412"/>
      <c r="F229" s="454"/>
      <c r="G229" s="172">
        <v>2023</v>
      </c>
      <c r="H229" s="80" t="s">
        <v>307</v>
      </c>
      <c r="I229" s="170" t="s">
        <v>220</v>
      </c>
      <c r="J229" s="171" t="s">
        <v>308</v>
      </c>
      <c r="K229" s="272" t="s">
        <v>308</v>
      </c>
      <c r="L229" s="80" t="s">
        <v>185</v>
      </c>
      <c r="M229" s="21" t="s">
        <v>218</v>
      </c>
      <c r="N229" s="21">
        <v>32.74</v>
      </c>
      <c r="O229" s="21">
        <v>32.74</v>
      </c>
      <c r="P229" s="21">
        <v>32.74</v>
      </c>
      <c r="Q229" s="21">
        <v>32.74</v>
      </c>
      <c r="R229" s="21">
        <v>32.74</v>
      </c>
      <c r="S229" s="21">
        <v>32.74</v>
      </c>
      <c r="T229" s="21">
        <v>32.74</v>
      </c>
      <c r="U229" s="21">
        <v>32.74</v>
      </c>
      <c r="V229" s="21">
        <v>32.74</v>
      </c>
      <c r="W229" s="21">
        <v>32.74</v>
      </c>
      <c r="X229" s="21">
        <v>32.74</v>
      </c>
      <c r="Y229" s="21">
        <v>32.74</v>
      </c>
      <c r="Z229" s="21">
        <v>32.74</v>
      </c>
      <c r="AA229" s="21">
        <v>0</v>
      </c>
      <c r="AB229" s="6">
        <v>0</v>
      </c>
      <c r="AC229" s="6">
        <v>0</v>
      </c>
      <c r="AD229" s="6">
        <v>0</v>
      </c>
      <c r="AE229" s="6">
        <v>0</v>
      </c>
      <c r="AF229" s="165">
        <v>0</v>
      </c>
      <c r="AG229" s="6">
        <v>0.39</v>
      </c>
      <c r="AH229" s="6">
        <v>0.39</v>
      </c>
      <c r="AI229" s="6">
        <v>0.39</v>
      </c>
      <c r="AJ229" s="6">
        <v>0.39</v>
      </c>
      <c r="AK229" s="6">
        <v>0.39</v>
      </c>
      <c r="AL229" s="6">
        <v>0.39</v>
      </c>
      <c r="AM229" s="6">
        <v>0.39</v>
      </c>
      <c r="AN229" s="168"/>
      <c r="AO229" s="254">
        <f t="shared" si="36"/>
        <v>0</v>
      </c>
      <c r="AP229" s="255"/>
      <c r="AQ229" s="254">
        <f t="shared" si="37"/>
        <v>0</v>
      </c>
      <c r="AR229" s="255"/>
      <c r="AS229" s="254">
        <f t="shared" si="38"/>
        <v>0</v>
      </c>
      <c r="AT229" s="256"/>
      <c r="AU229" s="257">
        <f t="shared" si="39"/>
        <v>0</v>
      </c>
      <c r="AV229" s="255"/>
      <c r="AW229" s="257">
        <f t="shared" si="40"/>
        <v>0</v>
      </c>
      <c r="AX229" s="255">
        <v>8064</v>
      </c>
      <c r="AY229" s="257">
        <f t="shared" si="41"/>
        <v>3144.96</v>
      </c>
      <c r="AZ229" s="255">
        <v>8064</v>
      </c>
      <c r="BA229" s="257">
        <f t="shared" si="42"/>
        <v>3144.96</v>
      </c>
      <c r="BB229" s="255">
        <v>1152</v>
      </c>
      <c r="BC229" s="257">
        <f t="shared" si="43"/>
        <v>449.28000000000003</v>
      </c>
      <c r="BD229" s="255">
        <v>2304</v>
      </c>
      <c r="BE229" s="257">
        <f t="shared" si="44"/>
        <v>898.56000000000006</v>
      </c>
      <c r="BF229" s="255">
        <v>1152</v>
      </c>
      <c r="BG229" s="257">
        <f t="shared" si="45"/>
        <v>449.28000000000003</v>
      </c>
      <c r="BH229" s="255"/>
      <c r="BI229" s="257">
        <f t="shared" si="46"/>
        <v>0</v>
      </c>
      <c r="BJ229" s="255">
        <v>1152</v>
      </c>
      <c r="BK229" s="257">
        <f t="shared" si="47"/>
        <v>449.28000000000003</v>
      </c>
    </row>
    <row r="230" spans="1:63" ht="15.75" hidden="1" customHeight="1">
      <c r="A230" s="250" t="s">
        <v>105</v>
      </c>
      <c r="C230" s="59"/>
      <c r="D230" s="412"/>
      <c r="E230" s="412"/>
      <c r="F230" s="454"/>
      <c r="G230" s="93"/>
      <c r="H230" s="17"/>
      <c r="I230" s="17"/>
      <c r="J230" s="34"/>
      <c r="K230" s="17"/>
      <c r="L230" s="17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6"/>
      <c r="AC230" s="6"/>
      <c r="AD230" s="6"/>
      <c r="AN230" s="168"/>
      <c r="AO230" s="254">
        <f t="shared" si="36"/>
        <v>0</v>
      </c>
      <c r="AP230" s="255"/>
      <c r="AQ230" s="254">
        <f t="shared" si="37"/>
        <v>0</v>
      </c>
      <c r="AR230" s="255"/>
      <c r="AS230" s="254">
        <f t="shared" si="38"/>
        <v>0</v>
      </c>
      <c r="AT230" s="256"/>
      <c r="AU230" s="257">
        <f t="shared" si="39"/>
        <v>0</v>
      </c>
      <c r="AV230" s="270"/>
      <c r="AW230" s="257">
        <f t="shared" si="40"/>
        <v>0</v>
      </c>
      <c r="AX230" s="270"/>
      <c r="AY230" s="257">
        <f t="shared" si="41"/>
        <v>0</v>
      </c>
      <c r="AZ230" s="59"/>
      <c r="BA230" s="257">
        <f t="shared" si="42"/>
        <v>0</v>
      </c>
      <c r="BB230" s="59"/>
      <c r="BC230" s="257">
        <f t="shared" si="43"/>
        <v>0</v>
      </c>
      <c r="BD230" s="59"/>
      <c r="BE230" s="257">
        <f t="shared" si="44"/>
        <v>0</v>
      </c>
      <c r="BF230" s="59"/>
      <c r="BG230" s="257">
        <f t="shared" si="45"/>
        <v>0</v>
      </c>
      <c r="BH230" s="59"/>
      <c r="BI230" s="257">
        <f t="shared" si="46"/>
        <v>0</v>
      </c>
      <c r="BJ230" s="59"/>
      <c r="BK230" s="257">
        <f t="shared" si="47"/>
        <v>0</v>
      </c>
    </row>
    <row r="231" spans="1:63" ht="15.75" hidden="1" customHeight="1">
      <c r="A231" s="250" t="s">
        <v>105</v>
      </c>
      <c r="C231" s="59"/>
      <c r="D231" s="412"/>
      <c r="E231" s="412"/>
      <c r="F231" s="454"/>
      <c r="G231" s="93"/>
      <c r="H231" s="17"/>
      <c r="I231" s="17"/>
      <c r="J231" s="34"/>
      <c r="K231" s="17"/>
      <c r="L231" s="17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6"/>
      <c r="AC231" s="6"/>
      <c r="AD231" s="6"/>
      <c r="AN231" s="168"/>
      <c r="AO231" s="254">
        <f t="shared" si="36"/>
        <v>0</v>
      </c>
      <c r="AP231" s="255"/>
      <c r="AQ231" s="254">
        <f t="shared" si="37"/>
        <v>0</v>
      </c>
      <c r="AR231" s="255"/>
      <c r="AS231" s="254">
        <f t="shared" si="38"/>
        <v>0</v>
      </c>
      <c r="AT231" s="256"/>
      <c r="AU231" s="257">
        <f t="shared" si="39"/>
        <v>0</v>
      </c>
      <c r="AV231" s="270"/>
      <c r="AW231" s="257">
        <f t="shared" si="40"/>
        <v>0</v>
      </c>
      <c r="AX231" s="270"/>
      <c r="AY231" s="257">
        <f t="shared" si="41"/>
        <v>0</v>
      </c>
      <c r="AZ231" s="59"/>
      <c r="BA231" s="257">
        <f t="shared" si="42"/>
        <v>0</v>
      </c>
      <c r="BB231" s="59"/>
      <c r="BC231" s="257">
        <f t="shared" si="43"/>
        <v>0</v>
      </c>
      <c r="BD231" s="59"/>
      <c r="BE231" s="257">
        <f t="shared" si="44"/>
        <v>0</v>
      </c>
      <c r="BF231" s="59"/>
      <c r="BG231" s="257">
        <f t="shared" si="45"/>
        <v>0</v>
      </c>
      <c r="BH231" s="59"/>
      <c r="BI231" s="257">
        <f t="shared" si="46"/>
        <v>0</v>
      </c>
      <c r="BJ231" s="59"/>
      <c r="BK231" s="257">
        <f t="shared" si="47"/>
        <v>0</v>
      </c>
    </row>
    <row r="232" spans="1:63" ht="15.75" hidden="1" customHeight="1">
      <c r="A232" s="250" t="s">
        <v>105</v>
      </c>
      <c r="C232" s="59"/>
      <c r="D232" s="412"/>
      <c r="E232" s="412"/>
      <c r="F232" s="454"/>
      <c r="G232" s="14"/>
      <c r="H232" s="17"/>
      <c r="I232" s="17"/>
      <c r="J232" s="34"/>
      <c r="K232" s="17"/>
      <c r="L232" s="17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6"/>
      <c r="AC232" s="6"/>
      <c r="AD232" s="6"/>
      <c r="AN232" s="168"/>
      <c r="AO232" s="254">
        <f t="shared" si="36"/>
        <v>0</v>
      </c>
      <c r="AP232" s="255"/>
      <c r="AQ232" s="254">
        <f t="shared" si="37"/>
        <v>0</v>
      </c>
      <c r="AR232" s="255"/>
      <c r="AS232" s="254">
        <f t="shared" si="38"/>
        <v>0</v>
      </c>
      <c r="AT232" s="256"/>
      <c r="AU232" s="257">
        <f t="shared" si="39"/>
        <v>0</v>
      </c>
      <c r="AV232" s="270"/>
      <c r="AW232" s="257">
        <f t="shared" si="40"/>
        <v>0</v>
      </c>
      <c r="AX232" s="270"/>
      <c r="AY232" s="257">
        <f t="shared" si="41"/>
        <v>0</v>
      </c>
      <c r="AZ232" s="59"/>
      <c r="BA232" s="257">
        <f t="shared" si="42"/>
        <v>0</v>
      </c>
      <c r="BB232" s="59"/>
      <c r="BC232" s="257">
        <f t="shared" si="43"/>
        <v>0</v>
      </c>
      <c r="BD232" s="59"/>
      <c r="BE232" s="257">
        <f t="shared" si="44"/>
        <v>0</v>
      </c>
      <c r="BF232" s="59"/>
      <c r="BG232" s="257">
        <f t="shared" si="45"/>
        <v>0</v>
      </c>
      <c r="BH232" s="59"/>
      <c r="BI232" s="257">
        <f t="shared" si="46"/>
        <v>0</v>
      </c>
      <c r="BJ232" s="59"/>
      <c r="BK232" s="257">
        <f t="shared" si="47"/>
        <v>0</v>
      </c>
    </row>
    <row r="233" spans="1:63" ht="15.75" hidden="1" customHeight="1">
      <c r="A233" s="250" t="s">
        <v>105</v>
      </c>
      <c r="C233" s="59"/>
      <c r="D233" s="412"/>
      <c r="E233" s="412"/>
      <c r="F233" s="454"/>
      <c r="G233" s="14"/>
      <c r="H233" s="17"/>
      <c r="I233" s="17"/>
      <c r="J233" s="34"/>
      <c r="K233" s="17"/>
      <c r="L233" s="17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6"/>
      <c r="AC233" s="6"/>
      <c r="AD233" s="6"/>
      <c r="AN233" s="168"/>
      <c r="AO233" s="254">
        <f t="shared" si="36"/>
        <v>0</v>
      </c>
      <c r="AP233" s="255"/>
      <c r="AQ233" s="254">
        <f t="shared" si="37"/>
        <v>0</v>
      </c>
      <c r="AR233" s="255"/>
      <c r="AS233" s="254">
        <f t="shared" si="38"/>
        <v>0</v>
      </c>
      <c r="AT233" s="256"/>
      <c r="AU233" s="257">
        <f t="shared" si="39"/>
        <v>0</v>
      </c>
      <c r="AV233" s="270"/>
      <c r="AW233" s="257">
        <f t="shared" si="40"/>
        <v>0</v>
      </c>
      <c r="AX233" s="270"/>
      <c r="AY233" s="257">
        <f t="shared" si="41"/>
        <v>0</v>
      </c>
      <c r="AZ233" s="59"/>
      <c r="BA233" s="257">
        <f t="shared" si="42"/>
        <v>0</v>
      </c>
      <c r="BB233" s="59"/>
      <c r="BC233" s="257">
        <f t="shared" si="43"/>
        <v>0</v>
      </c>
      <c r="BD233" s="59"/>
      <c r="BE233" s="257">
        <f t="shared" si="44"/>
        <v>0</v>
      </c>
      <c r="BF233" s="59"/>
      <c r="BG233" s="257">
        <f t="shared" si="45"/>
        <v>0</v>
      </c>
      <c r="BH233" s="59"/>
      <c r="BI233" s="257">
        <f t="shared" si="46"/>
        <v>0</v>
      </c>
      <c r="BJ233" s="59"/>
      <c r="BK233" s="257">
        <f t="shared" si="47"/>
        <v>0</v>
      </c>
    </row>
    <row r="234" spans="1:63" ht="15.75" hidden="1" customHeight="1">
      <c r="A234" s="250" t="s">
        <v>105</v>
      </c>
      <c r="C234" s="59"/>
      <c r="D234" s="412"/>
      <c r="E234" s="412"/>
      <c r="F234" s="454"/>
      <c r="G234" s="14"/>
      <c r="H234" s="17"/>
      <c r="I234" s="17"/>
      <c r="J234" s="34"/>
      <c r="K234" s="17"/>
      <c r="L234" s="17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6"/>
      <c r="AC234" s="6"/>
      <c r="AD234" s="6"/>
      <c r="AN234" s="168"/>
      <c r="AO234" s="254">
        <f t="shared" si="36"/>
        <v>0</v>
      </c>
      <c r="AP234" s="255"/>
      <c r="AQ234" s="254">
        <f t="shared" si="37"/>
        <v>0</v>
      </c>
      <c r="AR234" s="255"/>
      <c r="AS234" s="254">
        <f t="shared" si="38"/>
        <v>0</v>
      </c>
      <c r="AT234" s="256"/>
      <c r="AU234" s="257">
        <f t="shared" si="39"/>
        <v>0</v>
      </c>
      <c r="AV234" s="270"/>
      <c r="AW234" s="257">
        <f t="shared" si="40"/>
        <v>0</v>
      </c>
      <c r="AX234" s="270"/>
      <c r="AY234" s="257">
        <f t="shared" si="41"/>
        <v>0</v>
      </c>
      <c r="AZ234" s="59"/>
      <c r="BA234" s="257">
        <f t="shared" si="42"/>
        <v>0</v>
      </c>
      <c r="BB234" s="59"/>
      <c r="BC234" s="257">
        <f t="shared" si="43"/>
        <v>0</v>
      </c>
      <c r="BD234" s="59"/>
      <c r="BE234" s="257">
        <f t="shared" si="44"/>
        <v>0</v>
      </c>
      <c r="BF234" s="59"/>
      <c r="BG234" s="257">
        <f t="shared" si="45"/>
        <v>0</v>
      </c>
      <c r="BH234" s="59"/>
      <c r="BI234" s="257">
        <f t="shared" si="46"/>
        <v>0</v>
      </c>
      <c r="BJ234" s="59"/>
      <c r="BK234" s="257">
        <f t="shared" si="47"/>
        <v>0</v>
      </c>
    </row>
    <row r="235" spans="1:63" ht="15.75" hidden="1" customHeight="1">
      <c r="A235" s="250" t="s">
        <v>105</v>
      </c>
      <c r="C235" s="59"/>
      <c r="D235" s="412"/>
      <c r="E235" s="412"/>
      <c r="F235" s="454"/>
      <c r="G235" s="14"/>
      <c r="H235" s="17"/>
      <c r="I235" s="17"/>
      <c r="J235" s="34"/>
      <c r="K235" s="17"/>
      <c r="L235" s="17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6"/>
      <c r="AC235" s="6"/>
      <c r="AD235" s="6"/>
      <c r="AN235" s="168"/>
      <c r="AO235" s="254">
        <f t="shared" si="36"/>
        <v>0</v>
      </c>
      <c r="AP235" s="255"/>
      <c r="AQ235" s="254">
        <f t="shared" si="37"/>
        <v>0</v>
      </c>
      <c r="AR235" s="255"/>
      <c r="AS235" s="254">
        <f t="shared" si="38"/>
        <v>0</v>
      </c>
      <c r="AT235" s="256"/>
      <c r="AU235" s="257">
        <f t="shared" si="39"/>
        <v>0</v>
      </c>
      <c r="AV235" s="270"/>
      <c r="AW235" s="257">
        <f t="shared" si="40"/>
        <v>0</v>
      </c>
      <c r="AX235" s="270"/>
      <c r="AY235" s="257">
        <f t="shared" si="41"/>
        <v>0</v>
      </c>
      <c r="AZ235" s="59"/>
      <c r="BA235" s="257">
        <f t="shared" si="42"/>
        <v>0</v>
      </c>
      <c r="BB235" s="59"/>
      <c r="BC235" s="257">
        <f t="shared" si="43"/>
        <v>0</v>
      </c>
      <c r="BD235" s="59"/>
      <c r="BE235" s="257">
        <f t="shared" si="44"/>
        <v>0</v>
      </c>
      <c r="BF235" s="59"/>
      <c r="BG235" s="257">
        <f t="shared" si="45"/>
        <v>0</v>
      </c>
      <c r="BH235" s="59"/>
      <c r="BI235" s="257">
        <f t="shared" si="46"/>
        <v>0</v>
      </c>
      <c r="BJ235" s="59"/>
      <c r="BK235" s="257">
        <f t="shared" si="47"/>
        <v>0</v>
      </c>
    </row>
    <row r="236" spans="1:63" ht="15.75" hidden="1" customHeight="1">
      <c r="A236" s="250" t="s">
        <v>105</v>
      </c>
      <c r="C236" s="59"/>
      <c r="D236" s="412"/>
      <c r="E236" s="412"/>
      <c r="F236" s="454"/>
      <c r="G236" s="14"/>
      <c r="H236" s="17"/>
      <c r="I236" s="17"/>
      <c r="J236" s="34"/>
      <c r="K236" s="17"/>
      <c r="L236" s="17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6"/>
      <c r="AC236" s="6"/>
      <c r="AD236" s="6"/>
      <c r="AN236" s="168"/>
      <c r="AO236" s="254">
        <f t="shared" si="36"/>
        <v>0</v>
      </c>
      <c r="AP236" s="255"/>
      <c r="AQ236" s="254">
        <f t="shared" si="37"/>
        <v>0</v>
      </c>
      <c r="AR236" s="255"/>
      <c r="AS236" s="254">
        <f t="shared" si="38"/>
        <v>0</v>
      </c>
      <c r="AT236" s="256"/>
      <c r="AU236" s="257">
        <f t="shared" si="39"/>
        <v>0</v>
      </c>
      <c r="AV236" s="270"/>
      <c r="AW236" s="257">
        <f t="shared" si="40"/>
        <v>0</v>
      </c>
      <c r="AX236" s="270"/>
      <c r="AY236" s="257">
        <f t="shared" si="41"/>
        <v>0</v>
      </c>
      <c r="AZ236" s="59"/>
      <c r="BA236" s="257">
        <f t="shared" si="42"/>
        <v>0</v>
      </c>
      <c r="BB236" s="59"/>
      <c r="BC236" s="257">
        <f t="shared" si="43"/>
        <v>0</v>
      </c>
      <c r="BD236" s="59"/>
      <c r="BE236" s="257">
        <f t="shared" si="44"/>
        <v>0</v>
      </c>
      <c r="BF236" s="59"/>
      <c r="BG236" s="257">
        <f t="shared" si="45"/>
        <v>0</v>
      </c>
      <c r="BH236" s="59"/>
      <c r="BI236" s="257">
        <f t="shared" si="46"/>
        <v>0</v>
      </c>
      <c r="BJ236" s="59"/>
      <c r="BK236" s="257">
        <f t="shared" si="47"/>
        <v>0</v>
      </c>
    </row>
    <row r="237" spans="1:63" ht="28.5" hidden="1" customHeight="1">
      <c r="A237" s="250" t="s">
        <v>105</v>
      </c>
      <c r="C237" s="59"/>
      <c r="D237" s="412"/>
      <c r="E237" s="412"/>
      <c r="F237" s="454"/>
      <c r="G237" s="14"/>
      <c r="H237" s="17"/>
      <c r="I237" s="17"/>
      <c r="J237" s="34"/>
      <c r="K237" s="17"/>
      <c r="L237" s="17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6"/>
      <c r="AC237" s="6"/>
      <c r="AD237" s="6"/>
      <c r="AN237" s="168"/>
      <c r="AO237" s="254">
        <f t="shared" si="36"/>
        <v>0</v>
      </c>
      <c r="AP237" s="255"/>
      <c r="AQ237" s="254">
        <f t="shared" si="37"/>
        <v>0</v>
      </c>
      <c r="AR237" s="255"/>
      <c r="AS237" s="254">
        <f t="shared" si="38"/>
        <v>0</v>
      </c>
      <c r="AT237" s="256"/>
      <c r="AU237" s="257">
        <f t="shared" si="39"/>
        <v>0</v>
      </c>
      <c r="AV237" s="270"/>
      <c r="AW237" s="257">
        <f t="shared" si="40"/>
        <v>0</v>
      </c>
      <c r="AX237" s="270"/>
      <c r="AY237" s="257">
        <f t="shared" si="41"/>
        <v>0</v>
      </c>
      <c r="AZ237" s="59"/>
      <c r="BA237" s="257">
        <f t="shared" si="42"/>
        <v>0</v>
      </c>
      <c r="BB237" s="59"/>
      <c r="BC237" s="257">
        <f t="shared" si="43"/>
        <v>0</v>
      </c>
      <c r="BD237" s="59"/>
      <c r="BE237" s="257">
        <f t="shared" si="44"/>
        <v>0</v>
      </c>
      <c r="BF237" s="59"/>
      <c r="BG237" s="257">
        <f t="shared" si="45"/>
        <v>0</v>
      </c>
      <c r="BH237" s="59"/>
      <c r="BI237" s="257">
        <f t="shared" si="46"/>
        <v>0</v>
      </c>
      <c r="BJ237" s="59"/>
      <c r="BK237" s="257">
        <f t="shared" si="47"/>
        <v>0</v>
      </c>
    </row>
    <row r="238" spans="1:63" s="14" customFormat="1" ht="14.85" hidden="1" customHeight="1">
      <c r="A238" s="250" t="s">
        <v>105</v>
      </c>
      <c r="B238" s="60"/>
      <c r="C238" s="60"/>
      <c r="D238" s="412"/>
      <c r="E238" s="412"/>
      <c r="F238" s="454"/>
      <c r="G238" s="93"/>
      <c r="H238" s="17"/>
      <c r="I238" s="17"/>
      <c r="J238" s="34"/>
      <c r="K238" s="17"/>
      <c r="L238" s="17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6"/>
      <c r="AC238" s="169"/>
      <c r="AD238" s="169"/>
      <c r="AN238" s="168"/>
      <c r="AO238" s="254">
        <f t="shared" si="36"/>
        <v>0</v>
      </c>
      <c r="AP238" s="258"/>
      <c r="AQ238" s="254">
        <f t="shared" si="37"/>
        <v>0</v>
      </c>
      <c r="AR238" s="258"/>
      <c r="AS238" s="254">
        <f t="shared" si="38"/>
        <v>0</v>
      </c>
      <c r="AT238" s="259"/>
      <c r="AU238" s="257">
        <f t="shared" si="39"/>
        <v>0</v>
      </c>
      <c r="AV238" s="258"/>
      <c r="AW238" s="257">
        <f t="shared" si="40"/>
        <v>0</v>
      </c>
      <c r="AX238" s="258"/>
      <c r="AY238" s="257">
        <f t="shared" si="41"/>
        <v>0</v>
      </c>
      <c r="AZ238" s="60"/>
      <c r="BA238" s="257">
        <f t="shared" si="42"/>
        <v>0</v>
      </c>
      <c r="BB238" s="60"/>
      <c r="BC238" s="257">
        <f t="shared" si="43"/>
        <v>0</v>
      </c>
      <c r="BD238" s="60"/>
      <c r="BE238" s="257">
        <f t="shared" si="44"/>
        <v>0</v>
      </c>
      <c r="BF238" s="60"/>
      <c r="BG238" s="257">
        <f t="shared" si="45"/>
        <v>0</v>
      </c>
      <c r="BH238" s="60"/>
      <c r="BI238" s="257">
        <f t="shared" si="46"/>
        <v>0</v>
      </c>
      <c r="BJ238" s="60"/>
      <c r="BK238" s="257">
        <f t="shared" si="47"/>
        <v>0</v>
      </c>
    </row>
    <row r="239" spans="1:63" s="14" customFormat="1" ht="15.75" hidden="1" customHeight="1">
      <c r="A239" s="250" t="s">
        <v>105</v>
      </c>
      <c r="B239" s="60"/>
      <c r="C239" s="60"/>
      <c r="D239" s="412"/>
      <c r="E239" s="412"/>
      <c r="F239" s="454"/>
      <c r="G239" s="93"/>
      <c r="H239" s="17"/>
      <c r="I239" s="17"/>
      <c r="J239" s="34"/>
      <c r="K239" s="17"/>
      <c r="L239" s="17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6"/>
      <c r="AC239" s="169"/>
      <c r="AD239" s="169"/>
      <c r="AN239" s="168"/>
      <c r="AO239" s="254">
        <f t="shared" si="36"/>
        <v>0</v>
      </c>
      <c r="AP239" s="258"/>
      <c r="AQ239" s="254">
        <f t="shared" si="37"/>
        <v>0</v>
      </c>
      <c r="AR239" s="258"/>
      <c r="AS239" s="254">
        <f t="shared" si="38"/>
        <v>0</v>
      </c>
      <c r="AT239" s="259"/>
      <c r="AU239" s="257">
        <f t="shared" si="39"/>
        <v>0</v>
      </c>
      <c r="AV239" s="258"/>
      <c r="AW239" s="257">
        <f t="shared" si="40"/>
        <v>0</v>
      </c>
      <c r="AX239" s="258"/>
      <c r="AY239" s="257">
        <f t="shared" si="41"/>
        <v>0</v>
      </c>
      <c r="AZ239" s="60"/>
      <c r="BA239" s="257">
        <f t="shared" si="42"/>
        <v>0</v>
      </c>
      <c r="BB239" s="60"/>
      <c r="BC239" s="257">
        <f t="shared" si="43"/>
        <v>0</v>
      </c>
      <c r="BD239" s="60"/>
      <c r="BE239" s="257">
        <f t="shared" si="44"/>
        <v>0</v>
      </c>
      <c r="BF239" s="60"/>
      <c r="BG239" s="257">
        <f t="shared" si="45"/>
        <v>0</v>
      </c>
      <c r="BH239" s="60"/>
      <c r="BI239" s="257">
        <f t="shared" si="46"/>
        <v>0</v>
      </c>
      <c r="BJ239" s="60"/>
      <c r="BK239" s="257">
        <f t="shared" si="47"/>
        <v>0</v>
      </c>
    </row>
    <row r="240" spans="1:63" ht="15" hidden="1" customHeight="1">
      <c r="A240" s="250" t="s">
        <v>105</v>
      </c>
      <c r="C240" s="59"/>
      <c r="D240" s="412"/>
      <c r="E240" s="412"/>
      <c r="F240" s="454"/>
      <c r="G240" s="93"/>
      <c r="H240" s="16"/>
      <c r="I240" s="16"/>
      <c r="J240" s="33"/>
      <c r="K240" s="16"/>
      <c r="L240" s="16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6"/>
      <c r="AC240" s="6"/>
      <c r="AD240" s="6"/>
      <c r="AN240" s="168"/>
      <c r="AO240" s="254">
        <f t="shared" si="36"/>
        <v>0</v>
      </c>
      <c r="AP240" s="255"/>
      <c r="AQ240" s="254">
        <f t="shared" si="37"/>
        <v>0</v>
      </c>
      <c r="AR240" s="255"/>
      <c r="AS240" s="254">
        <f t="shared" si="38"/>
        <v>0</v>
      </c>
      <c r="AT240" s="256"/>
      <c r="AU240" s="257">
        <f t="shared" si="39"/>
        <v>0</v>
      </c>
      <c r="AV240" s="270"/>
      <c r="AW240" s="257">
        <f t="shared" si="40"/>
        <v>0</v>
      </c>
      <c r="AX240" s="270"/>
      <c r="AY240" s="257">
        <f t="shared" si="41"/>
        <v>0</v>
      </c>
      <c r="AZ240" s="59"/>
      <c r="BA240" s="257">
        <f t="shared" si="42"/>
        <v>0</v>
      </c>
      <c r="BB240" s="59"/>
      <c r="BC240" s="257">
        <f t="shared" si="43"/>
        <v>0</v>
      </c>
      <c r="BD240" s="59"/>
      <c r="BE240" s="257">
        <f t="shared" si="44"/>
        <v>0</v>
      </c>
      <c r="BF240" s="59"/>
      <c r="BG240" s="257">
        <f t="shared" si="45"/>
        <v>0</v>
      </c>
      <c r="BH240" s="59"/>
      <c r="BI240" s="257">
        <f t="shared" si="46"/>
        <v>0</v>
      </c>
      <c r="BJ240" s="59"/>
      <c r="BK240" s="257">
        <f t="shared" si="47"/>
        <v>0</v>
      </c>
    </row>
    <row r="241" spans="1:63" ht="15.75" hidden="1" customHeight="1" thickBot="1">
      <c r="A241" s="250" t="s">
        <v>105</v>
      </c>
      <c r="C241" s="59"/>
      <c r="D241" s="412"/>
      <c r="E241" s="412"/>
      <c r="F241" s="454"/>
      <c r="G241" s="94"/>
      <c r="H241" s="18"/>
      <c r="I241" s="18"/>
      <c r="J241" s="35"/>
      <c r="K241" s="18"/>
      <c r="L241" s="18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165"/>
      <c r="AC241" s="165"/>
      <c r="AD241" s="165"/>
      <c r="AE241" s="78"/>
      <c r="AF241" s="78"/>
      <c r="AG241" s="78"/>
      <c r="AH241" s="78"/>
      <c r="AI241" s="78"/>
      <c r="AJ241" s="78"/>
      <c r="AK241" s="78"/>
      <c r="AL241" s="78"/>
      <c r="AM241" s="78"/>
      <c r="AN241" s="166"/>
      <c r="AO241" s="254">
        <f t="shared" si="36"/>
        <v>0</v>
      </c>
      <c r="AP241" s="255"/>
      <c r="AQ241" s="254">
        <f t="shared" si="37"/>
        <v>0</v>
      </c>
      <c r="AR241" s="255"/>
      <c r="AS241" s="254">
        <f t="shared" si="38"/>
        <v>0</v>
      </c>
      <c r="AT241" s="256"/>
      <c r="AU241" s="257">
        <f t="shared" si="39"/>
        <v>0</v>
      </c>
      <c r="AV241" s="270"/>
      <c r="AW241" s="257">
        <f t="shared" si="40"/>
        <v>0</v>
      </c>
      <c r="AX241" s="270"/>
      <c r="AY241" s="257">
        <f t="shared" si="41"/>
        <v>0</v>
      </c>
      <c r="AZ241" s="59"/>
      <c r="BA241" s="257">
        <f t="shared" si="42"/>
        <v>0</v>
      </c>
      <c r="BB241" s="59"/>
      <c r="BC241" s="257">
        <f t="shared" si="43"/>
        <v>0</v>
      </c>
      <c r="BD241" s="59"/>
      <c r="BE241" s="257">
        <f t="shared" si="44"/>
        <v>0</v>
      </c>
      <c r="BF241" s="59"/>
      <c r="BG241" s="257">
        <f t="shared" si="45"/>
        <v>0</v>
      </c>
      <c r="BH241" s="59"/>
      <c r="BI241" s="257">
        <f t="shared" si="46"/>
        <v>0</v>
      </c>
      <c r="BJ241" s="59"/>
      <c r="BK241" s="257">
        <f t="shared" si="47"/>
        <v>0</v>
      </c>
    </row>
    <row r="242" spans="1:63" ht="15" customHeight="1" thickBot="1">
      <c r="A242" s="250"/>
      <c r="C242" s="59"/>
      <c r="D242" s="119"/>
      <c r="E242" s="119"/>
      <c r="F242" s="10"/>
      <c r="G242" s="11"/>
      <c r="H242" s="12"/>
      <c r="I242" s="28"/>
      <c r="J242" s="36"/>
      <c r="K242" s="28"/>
      <c r="L242" s="28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163"/>
      <c r="AC242" s="163"/>
      <c r="AD242" s="163"/>
      <c r="AE242" s="142"/>
      <c r="AF242" s="161"/>
      <c r="AG242" s="142"/>
      <c r="AH242" s="142"/>
      <c r="AI242" s="142"/>
      <c r="AJ242" s="142"/>
      <c r="AK242" s="142"/>
      <c r="AL242" s="142"/>
      <c r="AM242" s="142"/>
      <c r="AN242" s="13"/>
      <c r="AO242" s="254"/>
      <c r="AP242" s="255"/>
      <c r="AQ242" s="254"/>
      <c r="AR242" s="255"/>
      <c r="AS242" s="254"/>
      <c r="AT242" s="59"/>
      <c r="AU242" s="257"/>
      <c r="AV242" s="270"/>
      <c r="AW242" s="257"/>
      <c r="AX242" s="270"/>
      <c r="AY242" s="257"/>
      <c r="AZ242" s="59"/>
      <c r="BA242" s="257"/>
      <c r="BB242" s="59"/>
      <c r="BC242" s="257"/>
      <c r="BD242" s="59"/>
      <c r="BE242" s="257"/>
      <c r="BF242" s="59"/>
      <c r="BG242" s="257"/>
      <c r="BH242" s="59"/>
      <c r="BI242" s="257"/>
      <c r="BJ242" s="59"/>
      <c r="BK242" s="257"/>
    </row>
  </sheetData>
  <mergeCells count="24">
    <mergeCell ref="E228:E241"/>
    <mergeCell ref="D228:D241"/>
    <mergeCell ref="D3:D76"/>
    <mergeCell ref="F65:F76"/>
    <mergeCell ref="F31:F34"/>
    <mergeCell ref="F185:F210"/>
    <mergeCell ref="F171:F182"/>
    <mergeCell ref="F183:F184"/>
    <mergeCell ref="F168:F170"/>
    <mergeCell ref="F228:F241"/>
    <mergeCell ref="F39:F40"/>
    <mergeCell ref="F37:F38"/>
    <mergeCell ref="F14:F19"/>
    <mergeCell ref="F20:F30"/>
    <mergeCell ref="F35:F36"/>
    <mergeCell ref="F41:F44"/>
    <mergeCell ref="F77:F116"/>
    <mergeCell ref="F3:F5"/>
    <mergeCell ref="F45:F64"/>
    <mergeCell ref="F6:F13"/>
    <mergeCell ref="D77:D227"/>
    <mergeCell ref="F211:F227"/>
    <mergeCell ref="F126:F167"/>
    <mergeCell ref="F117:F125"/>
  </mergeCells>
  <phoneticPr fontId="3" type="noConversion"/>
  <conditionalFormatting sqref="G3:G4">
    <cfRule type="duplicateValues" dxfId="288" priority="14"/>
  </conditionalFormatting>
  <conditionalFormatting sqref="G6:G8">
    <cfRule type="duplicateValues" dxfId="287" priority="13"/>
  </conditionalFormatting>
  <conditionalFormatting sqref="G14">
    <cfRule type="duplicateValues" dxfId="286" priority="11"/>
  </conditionalFormatting>
  <conditionalFormatting sqref="G17:G19">
    <cfRule type="duplicateValues" dxfId="285" priority="12"/>
  </conditionalFormatting>
  <conditionalFormatting sqref="G20">
    <cfRule type="duplicateValues" dxfId="284" priority="10"/>
  </conditionalFormatting>
  <conditionalFormatting sqref="G31">
    <cfRule type="duplicateValues" dxfId="283" priority="9"/>
  </conditionalFormatting>
  <conditionalFormatting sqref="G35">
    <cfRule type="duplicateValues" dxfId="282" priority="8"/>
  </conditionalFormatting>
  <conditionalFormatting sqref="G37">
    <cfRule type="duplicateValues" dxfId="281" priority="3"/>
  </conditionalFormatting>
  <conditionalFormatting sqref="G38">
    <cfRule type="duplicateValues" dxfId="280" priority="2"/>
  </conditionalFormatting>
  <conditionalFormatting sqref="G39">
    <cfRule type="duplicateValues" dxfId="279" priority="1"/>
  </conditionalFormatting>
  <conditionalFormatting sqref="G41">
    <cfRule type="duplicateValues" dxfId="278" priority="5"/>
  </conditionalFormatting>
  <conditionalFormatting sqref="G62">
    <cfRule type="duplicateValues" dxfId="277" priority="7"/>
  </conditionalFormatting>
  <conditionalFormatting sqref="G117">
    <cfRule type="duplicateValues" dxfId="276" priority="4"/>
  </conditionalFormatting>
  <conditionalFormatting sqref="G168">
    <cfRule type="duplicateValues" dxfId="275" priority="6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H28"/>
  <sheetViews>
    <sheetView zoomScale="80" zoomScaleNormal="80" workbookViewId="0">
      <selection activeCell="C4" sqref="C4"/>
    </sheetView>
  </sheetViews>
  <sheetFormatPr defaultRowHeight="17.100000000000001"/>
  <cols>
    <col min="2" max="2" width="16.5" customWidth="1"/>
    <col min="3" max="3" width="17.125" customWidth="1"/>
    <col min="4" max="4" width="14.375" customWidth="1"/>
    <col min="5" max="5" width="14.125" customWidth="1"/>
    <col min="6" max="6" width="18.375" customWidth="1"/>
  </cols>
  <sheetData>
    <row r="2" spans="2:8" ht="17.45" thickBot="1"/>
    <row r="3" spans="2:8" ht="17.45" thickBot="1">
      <c r="B3" s="149" t="s">
        <v>30</v>
      </c>
      <c r="C3" s="144" t="s">
        <v>309</v>
      </c>
      <c r="D3" s="144" t="s">
        <v>310</v>
      </c>
      <c r="E3" s="145" t="s">
        <v>311</v>
      </c>
      <c r="F3" s="144" t="s">
        <v>34</v>
      </c>
      <c r="H3" s="150"/>
    </row>
    <row r="4" spans="2:8" ht="17.45" thickBot="1">
      <c r="B4" s="143" t="s">
        <v>35</v>
      </c>
      <c r="C4" s="144">
        <f>SUM('FY24'!AP1)</f>
        <v>632724.29</v>
      </c>
      <c r="D4" s="144">
        <f>SUM('FY24'!AR1)</f>
        <v>1177586.97</v>
      </c>
      <c r="E4" s="145">
        <f>SUM('FY24'!AT1)</f>
        <v>780271.41999999993</v>
      </c>
      <c r="F4" s="144">
        <f>SUM(C4:E4)</f>
        <v>2590582.6799999997</v>
      </c>
    </row>
    <row r="5" spans="2:8" ht="17.45" thickBot="1">
      <c r="B5" s="143" t="s">
        <v>36</v>
      </c>
      <c r="C5" s="144">
        <v>0</v>
      </c>
      <c r="D5" s="144">
        <v>4611.43</v>
      </c>
      <c r="E5" s="145">
        <v>8106.08</v>
      </c>
      <c r="F5" s="144">
        <f t="shared" ref="F5:F6" si="0">SUM(C5:E5)</f>
        <v>12717.51</v>
      </c>
    </row>
    <row r="6" spans="2:8" ht="17.45" thickBot="1">
      <c r="B6" s="146" t="s">
        <v>37</v>
      </c>
      <c r="C6" s="147">
        <v>0</v>
      </c>
      <c r="D6" s="147">
        <v>0</v>
      </c>
      <c r="E6" s="148">
        <v>0</v>
      </c>
      <c r="F6" s="144">
        <f t="shared" si="0"/>
        <v>0</v>
      </c>
      <c r="H6" t="s">
        <v>38</v>
      </c>
    </row>
    <row r="7" spans="2:8" ht="17.45" thickBot="1">
      <c r="B7" s="143" t="s">
        <v>39</v>
      </c>
      <c r="C7" s="144">
        <f>SUM(C4:C6)</f>
        <v>632724.29</v>
      </c>
      <c r="D7" s="144">
        <f t="shared" ref="D7:F7" si="1">SUM(D4:D6)</f>
        <v>1182198.3999999999</v>
      </c>
      <c r="E7" s="144">
        <f t="shared" si="1"/>
        <v>788377.49999999988</v>
      </c>
      <c r="F7" s="144">
        <f t="shared" si="1"/>
        <v>2603300.1899999995</v>
      </c>
    </row>
    <row r="8" spans="2:8">
      <c r="H8" t="s">
        <v>40</v>
      </c>
    </row>
    <row r="9" spans="2:8" ht="17.45" thickBot="1"/>
    <row r="10" spans="2:8" ht="17.45" thickBot="1">
      <c r="B10" s="149" t="s">
        <v>30</v>
      </c>
      <c r="C10" s="144" t="s">
        <v>312</v>
      </c>
      <c r="D10" s="144" t="s">
        <v>313</v>
      </c>
      <c r="E10" s="145" t="s">
        <v>314</v>
      </c>
      <c r="F10" s="144" t="s">
        <v>44</v>
      </c>
      <c r="H10" t="s">
        <v>45</v>
      </c>
    </row>
    <row r="11" spans="2:8" ht="17.45" thickBot="1">
      <c r="B11" s="143" t="s">
        <v>35</v>
      </c>
      <c r="C11" s="144">
        <f>SUM('FY24'!AV1)</f>
        <v>721055.0399999998</v>
      </c>
      <c r="D11" s="144">
        <f>SUM('FY24'!AX1)</f>
        <v>1269953.19</v>
      </c>
      <c r="E11" s="145">
        <f>SUM('FY24'!AZ1)</f>
        <v>1100883.5599999998</v>
      </c>
      <c r="F11" s="144">
        <f>SUM(C11:E11)</f>
        <v>3091891.7899999996</v>
      </c>
    </row>
    <row r="12" spans="2:8" ht="17.45" thickBot="1">
      <c r="B12" s="143" t="s">
        <v>36</v>
      </c>
      <c r="C12" s="144">
        <v>0</v>
      </c>
      <c r="D12" s="144">
        <v>0</v>
      </c>
      <c r="E12" s="145">
        <v>0</v>
      </c>
      <c r="F12" s="144">
        <f t="shared" ref="F12:F13" si="2">SUM(C12:E12)</f>
        <v>0</v>
      </c>
      <c r="H12" t="s">
        <v>46</v>
      </c>
    </row>
    <row r="13" spans="2:8" ht="17.45" thickBot="1">
      <c r="B13" s="146" t="s">
        <v>37</v>
      </c>
      <c r="C13" s="147">
        <v>0</v>
      </c>
      <c r="D13" s="147">
        <v>0</v>
      </c>
      <c r="E13" s="148">
        <v>0</v>
      </c>
      <c r="F13" s="144">
        <f t="shared" si="2"/>
        <v>0</v>
      </c>
    </row>
    <row r="14" spans="2:8" ht="17.45" thickBot="1">
      <c r="B14" s="143" t="s">
        <v>39</v>
      </c>
      <c r="C14" s="144">
        <f>SUM(C11:C13)</f>
        <v>721055.0399999998</v>
      </c>
      <c r="D14" s="144">
        <f t="shared" ref="D14:F14" si="3">SUM(D11:D13)</f>
        <v>1269953.19</v>
      </c>
      <c r="E14" s="144">
        <f t="shared" si="3"/>
        <v>1100883.5599999998</v>
      </c>
      <c r="F14" s="144">
        <f t="shared" si="3"/>
        <v>3091891.7899999996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149" t="s">
        <v>30</v>
      </c>
      <c r="C17" s="144" t="s">
        <v>315</v>
      </c>
      <c r="D17" s="144" t="s">
        <v>316</v>
      </c>
      <c r="E17" s="145" t="s">
        <v>317</v>
      </c>
      <c r="F17" s="144" t="s">
        <v>52</v>
      </c>
      <c r="H17" t="s">
        <v>53</v>
      </c>
    </row>
    <row r="18" spans="2:8" ht="17.45" thickBot="1">
      <c r="B18" s="143" t="s">
        <v>35</v>
      </c>
      <c r="C18" s="144">
        <f>SUM('FY24'!BB1)</f>
        <v>1454500.9300000002</v>
      </c>
      <c r="D18" s="144">
        <f>SUM('FY24'!BD1)</f>
        <v>1487747.31</v>
      </c>
      <c r="E18" s="145">
        <f>SUM('FY24'!BF1)</f>
        <v>1179453.0599999998</v>
      </c>
      <c r="F18" s="144">
        <f>SUM(C18:E18)</f>
        <v>4121701.3</v>
      </c>
    </row>
    <row r="19" spans="2:8" ht="17.45" thickBot="1">
      <c r="B19" s="143" t="s">
        <v>36</v>
      </c>
      <c r="C19" s="144">
        <v>0</v>
      </c>
      <c r="D19" s="144">
        <v>0</v>
      </c>
      <c r="E19" s="145">
        <v>130797.29</v>
      </c>
      <c r="F19" s="144">
        <f t="shared" ref="F19:F20" si="4">SUM(C19:E19)</f>
        <v>130797.29</v>
      </c>
    </row>
    <row r="20" spans="2:8" ht="17.45" thickBot="1">
      <c r="B20" s="146" t="s">
        <v>37</v>
      </c>
      <c r="C20" s="147">
        <v>0</v>
      </c>
      <c r="D20" s="147">
        <v>0</v>
      </c>
      <c r="E20" s="148">
        <v>0</v>
      </c>
      <c r="F20" s="144">
        <f t="shared" si="4"/>
        <v>0</v>
      </c>
    </row>
    <row r="21" spans="2:8" ht="17.45" thickBot="1">
      <c r="B21" s="143" t="s">
        <v>39</v>
      </c>
      <c r="C21" s="144">
        <f>SUM(C18:C20)</f>
        <v>1454500.9300000002</v>
      </c>
      <c r="D21" s="144">
        <f t="shared" ref="D21:F21" si="5">SUM(D18:D20)</f>
        <v>1487747.31</v>
      </c>
      <c r="E21" s="144">
        <f t="shared" si="5"/>
        <v>1310250.3499999999</v>
      </c>
      <c r="F21" s="144">
        <f t="shared" si="5"/>
        <v>4252498.59</v>
      </c>
    </row>
    <row r="23" spans="2:8" ht="17.45" thickBot="1"/>
    <row r="24" spans="2:8" ht="17.45" thickBot="1">
      <c r="B24" s="149" t="s">
        <v>30</v>
      </c>
      <c r="C24" s="144" t="s">
        <v>318</v>
      </c>
      <c r="D24" s="144" t="s">
        <v>319</v>
      </c>
      <c r="E24" s="145" t="s">
        <v>320</v>
      </c>
      <c r="F24" s="144" t="s">
        <v>57</v>
      </c>
    </row>
    <row r="25" spans="2:8" ht="17.45" thickBot="1">
      <c r="B25" s="143" t="s">
        <v>35</v>
      </c>
      <c r="C25" s="144">
        <f>SUM('FY24'!BH1)</f>
        <v>1424994.8499999999</v>
      </c>
      <c r="D25" s="144">
        <f>SUM('FY24'!BJ1)</f>
        <v>1735007.2200000002</v>
      </c>
      <c r="E25" s="145">
        <f>SUM('FY24'!BL1)</f>
        <v>1374350.6300000001</v>
      </c>
      <c r="F25" s="144">
        <f>SUM(C25:E25)</f>
        <v>4534352.7</v>
      </c>
    </row>
    <row r="26" spans="2:8" ht="17.45" thickBot="1">
      <c r="B26" s="143" t="s">
        <v>36</v>
      </c>
      <c r="C26" s="144">
        <v>0</v>
      </c>
      <c r="D26" s="144">
        <v>0</v>
      </c>
      <c r="E26" s="145">
        <v>0</v>
      </c>
      <c r="F26" s="144">
        <f t="shared" ref="F26:F27" si="6">SUM(C26:E26)</f>
        <v>0</v>
      </c>
    </row>
    <row r="27" spans="2:8" ht="17.45" thickBot="1">
      <c r="B27" s="146" t="s">
        <v>37</v>
      </c>
      <c r="C27" s="147">
        <v>0</v>
      </c>
      <c r="D27" s="147">
        <v>0</v>
      </c>
      <c r="E27" s="148">
        <v>0</v>
      </c>
      <c r="F27" s="144">
        <f t="shared" si="6"/>
        <v>0</v>
      </c>
    </row>
    <row r="28" spans="2:8" ht="17.45" thickBot="1">
      <c r="B28" s="143" t="s">
        <v>39</v>
      </c>
      <c r="C28" s="144">
        <f>SUM(C25:C27)</f>
        <v>1424994.8499999999</v>
      </c>
      <c r="D28" s="144">
        <f t="shared" ref="D28:F28" si="7">SUM(D25:D27)</f>
        <v>1735007.2200000002</v>
      </c>
      <c r="E28" s="144">
        <f t="shared" si="7"/>
        <v>1374350.6300000001</v>
      </c>
      <c r="F28" s="144">
        <f t="shared" si="7"/>
        <v>4534352.7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3:G139"/>
  <sheetViews>
    <sheetView zoomScale="60" zoomScaleNormal="60" workbookViewId="0">
      <selection activeCell="M133" sqref="M133"/>
    </sheetView>
  </sheetViews>
  <sheetFormatPr defaultRowHeight="17.100000000000001"/>
  <cols>
    <col min="1" max="1" width="2.375" customWidth="1"/>
    <col min="2" max="2" width="26.5" customWidth="1"/>
    <col min="3" max="3" width="22.375" customWidth="1"/>
    <col min="4" max="4" width="20.375" customWidth="1"/>
    <col min="5" max="5" width="14.375" customWidth="1"/>
    <col min="6" max="7" width="18.375" customWidth="1"/>
  </cols>
  <sheetData>
    <row r="3" spans="2:7" ht="17.45" thickBot="1">
      <c r="B3" s="45" t="s">
        <v>58</v>
      </c>
      <c r="C3" s="46"/>
      <c r="D3" s="46"/>
      <c r="E3" s="46"/>
      <c r="F3" s="46"/>
      <c r="G3" s="46"/>
    </row>
    <row r="4" spans="2:7" ht="29.45" thickBot="1">
      <c r="B4" s="47"/>
      <c r="C4" s="48" t="s">
        <v>59</v>
      </c>
      <c r="D4" s="56">
        <v>45231</v>
      </c>
      <c r="E4" s="56">
        <v>45261</v>
      </c>
      <c r="F4" s="56">
        <v>45292</v>
      </c>
      <c r="G4" s="49" t="s">
        <v>321</v>
      </c>
    </row>
    <row r="5" spans="2:7" ht="17.45" thickBot="1">
      <c r="B5" s="437" t="s">
        <v>61</v>
      </c>
      <c r="C5" s="51" t="s">
        <v>62</v>
      </c>
      <c r="D5" s="51">
        <f>SUM('FY24'!AP$149:AP$193)*0.25</f>
        <v>73703.899999999994</v>
      </c>
      <c r="E5" s="51">
        <f>SUM('FY24'!AR149:AR193)*0.25</f>
        <v>72614.775000000009</v>
      </c>
      <c r="F5" s="51">
        <f>SUM('FY24'!AT149:AT193)*0.25</f>
        <v>64714.575000000004</v>
      </c>
      <c r="G5" s="51">
        <f>SUM(D5:F5)</f>
        <v>211033.25</v>
      </c>
    </row>
    <row r="6" spans="2:7" ht="17.45" thickBot="1">
      <c r="B6" s="438"/>
      <c r="C6" s="51" t="s">
        <v>322</v>
      </c>
      <c r="D6" s="51">
        <f>SUM('FY24'!AP$6:AP$13)</f>
        <v>0</v>
      </c>
      <c r="E6" s="51">
        <f>SUM('FY24'!AR6:AR13)</f>
        <v>0</v>
      </c>
      <c r="F6" s="51">
        <f>SUM('FY24'!AT6:AT13)</f>
        <v>0</v>
      </c>
      <c r="G6" s="51">
        <f t="shared" ref="G6:G24" si="0">SUM(D6:F6)</f>
        <v>0</v>
      </c>
    </row>
    <row r="7" spans="2:7" ht="17.45" thickBot="1">
      <c r="B7" s="438"/>
      <c r="C7" s="51" t="s">
        <v>65</v>
      </c>
      <c r="D7" s="51">
        <f>SUM('FY24'!AP$14:AP$24)</f>
        <v>0</v>
      </c>
      <c r="E7" s="51">
        <f>SUM('FY24'!AR14:AR24)</f>
        <v>0</v>
      </c>
      <c r="F7" s="51">
        <f>SUM('FY24'!AT14:AT24)</f>
        <v>0</v>
      </c>
      <c r="G7" s="51">
        <f t="shared" si="0"/>
        <v>0</v>
      </c>
    </row>
    <row r="8" spans="2:7" ht="17.45" thickBot="1">
      <c r="B8" s="438"/>
      <c r="C8" s="51" t="s">
        <v>66</v>
      </c>
      <c r="D8" s="51">
        <f>SUM('FY24'!AP$25:AP$28)</f>
        <v>0</v>
      </c>
      <c r="E8" s="51">
        <f>SUM('FY24'!AR25:AR28)</f>
        <v>0</v>
      </c>
      <c r="F8" s="51">
        <f>SUM('FY24'!AT25:AT28)</f>
        <v>0</v>
      </c>
      <c r="G8" s="51">
        <f t="shared" si="0"/>
        <v>0</v>
      </c>
    </row>
    <row r="9" spans="2:7" ht="17.45" thickBot="1">
      <c r="B9" s="438"/>
      <c r="C9" s="51" t="s">
        <v>67</v>
      </c>
      <c r="D9" s="51">
        <f>SUM('FY24'!AP$33:AP$34)</f>
        <v>0</v>
      </c>
      <c r="E9" s="51">
        <f>SUM('FY24'!AR33:AR34)</f>
        <v>0</v>
      </c>
      <c r="F9" s="51">
        <f>SUM('FY24'!AT33:AT34)</f>
        <v>0</v>
      </c>
      <c r="G9" s="51">
        <f t="shared" si="0"/>
        <v>0</v>
      </c>
    </row>
    <row r="10" spans="2:7" ht="17.45" thickBot="1">
      <c r="B10" s="438"/>
      <c r="C10" s="51" t="s">
        <v>68</v>
      </c>
      <c r="D10" s="51">
        <f>SUM('FY24'!AP$35:AP$38)</f>
        <v>0</v>
      </c>
      <c r="E10" s="51">
        <f>SUM('FY24'!AR35:AR38)</f>
        <v>0</v>
      </c>
      <c r="F10" s="51">
        <f>SUM('FY24'!AT35:AT38)</f>
        <v>0</v>
      </c>
      <c r="G10" s="51">
        <f t="shared" si="0"/>
        <v>0</v>
      </c>
    </row>
    <row r="11" spans="2:7" ht="17.45" thickBot="1">
      <c r="B11" s="438"/>
      <c r="C11" s="51" t="s">
        <v>69</v>
      </c>
      <c r="D11" s="51">
        <f>SUM('FY24'!AP$39:AP$52)*0.7</f>
        <v>8512</v>
      </c>
      <c r="E11" s="51">
        <f>SUM('FY24'!AR39:AR52)*0.7</f>
        <v>43094.1</v>
      </c>
      <c r="F11" s="51">
        <f>SUM('FY24'!AT39:AT52)*0.7</f>
        <v>22919.399999999998</v>
      </c>
      <c r="G11" s="51">
        <f t="shared" si="0"/>
        <v>74525.5</v>
      </c>
    </row>
    <row r="12" spans="2:7" ht="17.45" thickBot="1">
      <c r="B12" s="438"/>
      <c r="C12" s="51" t="s">
        <v>70</v>
      </c>
      <c r="D12" s="51">
        <f>SUM('FY24'!AP$29:AP$30)</f>
        <v>0</v>
      </c>
      <c r="E12" s="51">
        <f>SUM('FY24'!AR29:AR30)</f>
        <v>0</v>
      </c>
      <c r="F12" s="51">
        <f>SUM('FY24'!AT29:AT30)</f>
        <v>0</v>
      </c>
      <c r="G12" s="51">
        <f t="shared" si="0"/>
        <v>0</v>
      </c>
    </row>
    <row r="13" spans="2:7" ht="17.45" thickBot="1">
      <c r="B13" s="438"/>
      <c r="C13" s="51" t="s">
        <v>71</v>
      </c>
      <c r="D13" s="51">
        <f>SUM('FY24'!AP$31:AP$32)</f>
        <v>10450.219999999999</v>
      </c>
      <c r="E13" s="51">
        <f>SUM('FY24'!AR31:AR32)</f>
        <v>5550.4</v>
      </c>
      <c r="F13" s="51">
        <f>SUM('FY24'!AT31:AT32)</f>
        <v>19585.599999999999</v>
      </c>
      <c r="G13" s="51">
        <f t="shared" si="0"/>
        <v>35586.22</v>
      </c>
    </row>
    <row r="14" spans="2:7" ht="17.45" thickBot="1">
      <c r="B14" s="438"/>
      <c r="C14" s="50" t="s">
        <v>72</v>
      </c>
      <c r="D14" s="52"/>
      <c r="E14" s="52"/>
      <c r="F14" s="52"/>
      <c r="G14" s="51">
        <f t="shared" si="0"/>
        <v>0</v>
      </c>
    </row>
    <row r="15" spans="2:7" ht="17.45" thickBot="1">
      <c r="B15" s="439"/>
      <c r="C15" s="53" t="s">
        <v>73</v>
      </c>
      <c r="D15" s="51">
        <f>SUM('FY24'!AP$53:AP$61)</f>
        <v>34155.08</v>
      </c>
      <c r="E15" s="51">
        <f>SUM('FY24'!AR53:AR61)</f>
        <v>42030.759999999995</v>
      </c>
      <c r="F15" s="51">
        <f>SUM('FY24'!AT53:AT61)</f>
        <v>19579.380000000005</v>
      </c>
      <c r="G15" s="51">
        <f t="shared" si="0"/>
        <v>95765.22</v>
      </c>
    </row>
    <row r="16" spans="2:7" ht="17.45" thickBot="1">
      <c r="B16" s="440" t="s">
        <v>74</v>
      </c>
      <c r="C16" s="51" t="s">
        <v>75</v>
      </c>
      <c r="D16" s="51">
        <f>SUM('FY24'!AP$149:AP$193)*0.75+SUM('FY24'!AP62:AP76)</f>
        <v>337364.58999999997</v>
      </c>
      <c r="E16" s="51">
        <f>SUM('FY24'!AR149:AR193)*0.75+SUM('FY24'!AR62:AR76)</f>
        <v>587172.03500000003</v>
      </c>
      <c r="F16" s="51">
        <f>SUM('FY24'!AT149:AT193)*0.75+SUM('FY24'!AT62:AT76)</f>
        <v>306257.72499999998</v>
      </c>
      <c r="G16" s="51">
        <f t="shared" si="0"/>
        <v>1230794.3500000001</v>
      </c>
    </row>
    <row r="17" spans="2:7" ht="17.45" thickBot="1">
      <c r="B17" s="441"/>
      <c r="C17" s="51" t="s">
        <v>69</v>
      </c>
      <c r="D17" s="51">
        <f>SUM('FY24'!AP$39:AP$52)*0.3</f>
        <v>3648</v>
      </c>
      <c r="E17" s="51">
        <f>SUM('FY24'!AR39:AR52)*0.3</f>
        <v>18468.899999999998</v>
      </c>
      <c r="F17" s="51">
        <f>SUM('FY24'!AT39:AT52)*0.3</f>
        <v>9822.6</v>
      </c>
      <c r="G17" s="51">
        <f t="shared" si="0"/>
        <v>31939.5</v>
      </c>
    </row>
    <row r="18" spans="2:7" ht="17.45" thickBot="1">
      <c r="B18" s="441"/>
      <c r="C18" s="51" t="s">
        <v>76</v>
      </c>
      <c r="D18" s="51">
        <f>SUM('FY24'!AP$86:AP$105)</f>
        <v>61540</v>
      </c>
      <c r="E18" s="51">
        <f>SUM('FY24'!AR86:AR105)</f>
        <v>214380</v>
      </c>
      <c r="F18" s="51">
        <f>SUM('FY24'!AT86:AT105)</f>
        <v>120854</v>
      </c>
      <c r="G18" s="51">
        <f t="shared" si="0"/>
        <v>396774</v>
      </c>
    </row>
    <row r="19" spans="2:7" ht="17.45" thickBot="1">
      <c r="B19" s="441"/>
      <c r="C19" s="51" t="s">
        <v>77</v>
      </c>
      <c r="D19" s="51">
        <f>SUM('FY24'!AP$106:AP$108)</f>
        <v>0</v>
      </c>
      <c r="E19" s="51">
        <f>SUM('FY24'!AR106:AR108)</f>
        <v>0</v>
      </c>
      <c r="F19" s="51">
        <f>SUM('FY24'!AT106:AT108)</f>
        <v>13088.4</v>
      </c>
      <c r="G19" s="51">
        <f t="shared" si="0"/>
        <v>13088.4</v>
      </c>
    </row>
    <row r="20" spans="2:7" ht="17.45" thickBot="1">
      <c r="B20" s="441"/>
      <c r="C20" s="51" t="s">
        <v>78</v>
      </c>
      <c r="D20" s="51">
        <f>SUM('FY24'!AP$109:AP$116)</f>
        <v>49680</v>
      </c>
      <c r="E20" s="51">
        <f>SUM('FY24'!AR109:AR116)</f>
        <v>92880</v>
      </c>
      <c r="F20" s="51">
        <f>SUM('FY24'!AT109:AT116)</f>
        <v>59295</v>
      </c>
      <c r="G20" s="51">
        <f t="shared" si="0"/>
        <v>201855</v>
      </c>
    </row>
    <row r="21" spans="2:7" ht="17.45" thickBot="1">
      <c r="B21" s="441"/>
      <c r="C21" s="51" t="s">
        <v>79</v>
      </c>
      <c r="D21" s="51">
        <f>SUM('FY24'!AP$117:AP$118)</f>
        <v>9296</v>
      </c>
      <c r="E21" s="51">
        <f>SUM('FY24'!AR117:AR118)</f>
        <v>3332</v>
      </c>
      <c r="F21" s="51">
        <f>SUM('FY24'!AT117:AT118)</f>
        <v>4676</v>
      </c>
      <c r="G21" s="51">
        <f t="shared" si="0"/>
        <v>17304</v>
      </c>
    </row>
    <row r="22" spans="2:7" ht="17.45" thickBot="1">
      <c r="B22" s="441"/>
      <c r="C22" s="51" t="s">
        <v>80</v>
      </c>
      <c r="D22" s="51">
        <f>SUM('FY24'!AP$119:AP$130)</f>
        <v>44374.5</v>
      </c>
      <c r="E22" s="51">
        <f>SUM('FY24'!AR119:AR130)</f>
        <v>98064</v>
      </c>
      <c r="F22" s="51">
        <f>SUM('FY24'!AT119:AT130)</f>
        <v>139258</v>
      </c>
      <c r="G22" s="51">
        <f t="shared" si="0"/>
        <v>281696.5</v>
      </c>
    </row>
    <row r="23" spans="2:7" ht="17.45" thickBot="1">
      <c r="B23" s="441"/>
      <c r="C23" s="51" t="s">
        <v>72</v>
      </c>
      <c r="D23" s="51">
        <f>SUM('FY24'!AP138:AP148)</f>
        <v>0</v>
      </c>
      <c r="E23" s="51">
        <f>SUM('FY24'!AR138:AR148)</f>
        <v>0</v>
      </c>
      <c r="F23" s="51">
        <f>SUM('FY24'!AT138:AT148)</f>
        <v>220.74</v>
      </c>
      <c r="G23" s="51">
        <f t="shared" si="0"/>
        <v>220.74</v>
      </c>
    </row>
    <row r="24" spans="2:7" ht="17.45" thickBot="1">
      <c r="B24" s="442"/>
      <c r="C24" s="51" t="s">
        <v>73</v>
      </c>
      <c r="D24" s="51">
        <f>SUM('FY24'!AP$131:AP$137)</f>
        <v>0</v>
      </c>
      <c r="E24" s="51">
        <f>SUM('FY24'!AR131:AR137)</f>
        <v>0</v>
      </c>
      <c r="F24" s="51">
        <f>SUM('FY24'!AT131:AT137)</f>
        <v>0</v>
      </c>
      <c r="G24" s="51">
        <f t="shared" si="0"/>
        <v>0</v>
      </c>
    </row>
    <row r="25" spans="2:7" ht="17.45" thickBot="1">
      <c r="B25" s="46"/>
      <c r="C25" s="46"/>
      <c r="D25" s="46"/>
      <c r="E25" s="46"/>
      <c r="F25" s="46"/>
      <c r="G25" s="54">
        <f>SUM(G5:G24)</f>
        <v>2590582.6800000002</v>
      </c>
    </row>
    <row r="26" spans="2:7">
      <c r="B26" s="46"/>
      <c r="C26" s="46"/>
      <c r="D26" s="46"/>
      <c r="E26" s="46"/>
      <c r="F26" s="46"/>
      <c r="G26" s="46"/>
    </row>
    <row r="27" spans="2:7" ht="17.45" thickBot="1">
      <c r="B27" s="45" t="s">
        <v>58</v>
      </c>
      <c r="C27" s="46"/>
      <c r="D27" s="46"/>
      <c r="E27" s="46"/>
      <c r="F27" s="46"/>
      <c r="G27" s="46"/>
    </row>
    <row r="28" spans="2:7" ht="29.45" thickBot="1">
      <c r="B28" s="118"/>
      <c r="C28" s="48" t="s">
        <v>81</v>
      </c>
      <c r="D28" s="56">
        <v>45231</v>
      </c>
      <c r="E28" s="56">
        <v>45261</v>
      </c>
      <c r="F28" s="56">
        <v>45292</v>
      </c>
      <c r="G28" s="49" t="s">
        <v>321</v>
      </c>
    </row>
    <row r="29" spans="2:7" ht="17.45" thickBot="1">
      <c r="B29" s="436" t="s">
        <v>82</v>
      </c>
      <c r="C29" s="51" t="s">
        <v>83</v>
      </c>
      <c r="D29" s="51"/>
      <c r="E29" s="51"/>
      <c r="F29" s="51"/>
      <c r="G29" s="51"/>
    </row>
    <row r="30" spans="2:7" ht="17.45" thickBot="1">
      <c r="B30" s="436"/>
      <c r="C30" s="51" t="s">
        <v>84</v>
      </c>
      <c r="D30" s="51"/>
      <c r="E30" s="51"/>
      <c r="F30" s="51"/>
      <c r="G30" s="51"/>
    </row>
    <row r="31" spans="2:7" ht="17.45" thickBot="1">
      <c r="B31" s="436"/>
      <c r="C31" s="51" t="s">
        <v>85</v>
      </c>
      <c r="D31" s="51">
        <f>SUM(D5:D24)</f>
        <v>632724.29</v>
      </c>
      <c r="E31" s="51">
        <f>SUM(E5:E24)</f>
        <v>1177586.9700000002</v>
      </c>
      <c r="F31" s="51">
        <f>SUM(F5:F24)</f>
        <v>780271.42</v>
      </c>
      <c r="G31" s="51">
        <f t="shared" ref="G31" si="1">SUM(D31:F31)</f>
        <v>2590582.6800000002</v>
      </c>
    </row>
    <row r="32" spans="2:7" ht="17.45" thickBot="1">
      <c r="B32" s="436"/>
      <c r="C32" s="51" t="s">
        <v>86</v>
      </c>
      <c r="D32" s="51"/>
      <c r="E32" s="51"/>
      <c r="F32" s="51"/>
      <c r="G32" s="51"/>
    </row>
    <row r="33" spans="2:7" ht="17.45" thickBot="1">
      <c r="B33" s="436"/>
      <c r="C33" s="51" t="s">
        <v>87</v>
      </c>
      <c r="D33" s="51"/>
      <c r="E33" s="51"/>
      <c r="F33" s="51"/>
      <c r="G33" s="51"/>
    </row>
    <row r="34" spans="2:7" ht="17.45" thickBot="1">
      <c r="B34" s="436"/>
      <c r="C34" s="51" t="s">
        <v>88</v>
      </c>
      <c r="D34" s="51"/>
      <c r="E34" s="51"/>
      <c r="F34" s="51"/>
      <c r="G34" s="51"/>
    </row>
    <row r="35" spans="2:7" ht="17.45" thickBot="1">
      <c r="B35" s="46"/>
      <c r="C35" s="46"/>
      <c r="D35" s="46"/>
      <c r="E35" s="46"/>
      <c r="F35" s="54" t="s">
        <v>89</v>
      </c>
      <c r="G35" s="55">
        <f>SUM(G29:G34)</f>
        <v>2590582.6800000002</v>
      </c>
    </row>
    <row r="38" spans="2:7" ht="17.45" thickBot="1">
      <c r="B38" s="45" t="s">
        <v>90</v>
      </c>
      <c r="C38" s="46"/>
      <c r="D38" s="46"/>
      <c r="E38" s="46"/>
      <c r="F38" s="46"/>
      <c r="G38" s="46"/>
    </row>
    <row r="39" spans="2:7" ht="29.45" thickBot="1">
      <c r="B39" s="47"/>
      <c r="C39" s="48" t="s">
        <v>59</v>
      </c>
      <c r="D39" s="56">
        <v>45323</v>
      </c>
      <c r="E39" s="56">
        <v>45352</v>
      </c>
      <c r="F39" s="56">
        <v>45383</v>
      </c>
      <c r="G39" s="49" t="s">
        <v>323</v>
      </c>
    </row>
    <row r="40" spans="2:7" ht="17.45" thickBot="1">
      <c r="B40" s="437" t="s">
        <v>61</v>
      </c>
      <c r="C40" s="51" t="s">
        <v>62</v>
      </c>
      <c r="D40" s="51">
        <f>SUM('FY24'!AV$149:AV$193)*0.25</f>
        <v>62797.335000000006</v>
      </c>
      <c r="E40" s="51">
        <f>SUM('FY24'!AX$149:AX$193)*0.25</f>
        <v>69902.597500000003</v>
      </c>
      <c r="F40" s="51">
        <f>SUM('FY24'!AZ$149:AZ$193)*0.25</f>
        <v>70753.725000000006</v>
      </c>
      <c r="G40" s="51">
        <f t="shared" ref="G40:G59" si="2">SUM(D40:F40)</f>
        <v>203453.6575</v>
      </c>
    </row>
    <row r="41" spans="2:7" ht="17.45" thickBot="1">
      <c r="B41" s="438"/>
      <c r="C41" s="51" t="s">
        <v>322</v>
      </c>
      <c r="D41" s="51">
        <f>SUM('FY24'!AV$6:AV$13)</f>
        <v>0</v>
      </c>
      <c r="E41" s="51">
        <f>SUM('FY24'!AX$6:AX$13)</f>
        <v>0</v>
      </c>
      <c r="F41" s="51">
        <f>SUM('FY24'!AZ$6:AZ$13)</f>
        <v>91014.8</v>
      </c>
      <c r="G41" s="51">
        <f t="shared" si="2"/>
        <v>91014.8</v>
      </c>
    </row>
    <row r="42" spans="2:7" ht="17.45" thickBot="1">
      <c r="B42" s="438"/>
      <c r="C42" s="51" t="s">
        <v>65</v>
      </c>
      <c r="D42" s="51">
        <f>SUM('FY24'!AV$14:AV$24)</f>
        <v>0</v>
      </c>
      <c r="E42" s="51">
        <f>SUM('FY24'!AX$14:AX$24)</f>
        <v>0</v>
      </c>
      <c r="F42" s="51">
        <f>SUM('FY24'!AZ$14:AZ$24)</f>
        <v>0</v>
      </c>
      <c r="G42" s="51">
        <f t="shared" si="2"/>
        <v>0</v>
      </c>
    </row>
    <row r="43" spans="2:7" ht="17.45" thickBot="1">
      <c r="B43" s="438"/>
      <c r="C43" s="51" t="s">
        <v>66</v>
      </c>
      <c r="D43" s="51">
        <f>SUM('FY24'!AV$25:AV$28)</f>
        <v>0</v>
      </c>
      <c r="E43" s="51">
        <f>SUM('FY24'!AX$25:AX$28)</f>
        <v>0</v>
      </c>
      <c r="F43" s="51">
        <f>SUM('FY24'!AZ$25:AZ$28)</f>
        <v>0</v>
      </c>
      <c r="G43" s="51">
        <f t="shared" si="2"/>
        <v>0</v>
      </c>
    </row>
    <row r="44" spans="2:7" ht="17.45" thickBot="1">
      <c r="B44" s="438"/>
      <c r="C44" s="51" t="s">
        <v>67</v>
      </c>
      <c r="D44" s="51">
        <f>SUM('FY24'!AV$33:AV$34)</f>
        <v>0</v>
      </c>
      <c r="E44" s="51">
        <f>SUM('FY24'!AX$33:AX$34)</f>
        <v>0</v>
      </c>
      <c r="F44" s="51">
        <f>SUM('FY24'!AZ$33:AZ$34)</f>
        <v>0</v>
      </c>
      <c r="G44" s="51">
        <f t="shared" si="2"/>
        <v>0</v>
      </c>
    </row>
    <row r="45" spans="2:7" ht="17.45" thickBot="1">
      <c r="B45" s="438"/>
      <c r="C45" s="51" t="s">
        <v>68</v>
      </c>
      <c r="D45" s="51">
        <f>SUM('FY24'!AV$35:AV$38)</f>
        <v>0</v>
      </c>
      <c r="E45" s="51">
        <f>SUM('FY24'!AX$35:AX$38)</f>
        <v>0</v>
      </c>
      <c r="F45" s="51">
        <f>SUM('FY24'!AZ$35:AZ$38)</f>
        <v>0</v>
      </c>
      <c r="G45" s="51">
        <f t="shared" si="2"/>
        <v>0</v>
      </c>
    </row>
    <row r="46" spans="2:7" ht="17.45" thickBot="1">
      <c r="B46" s="438"/>
      <c r="C46" s="51" t="s">
        <v>69</v>
      </c>
      <c r="D46" s="51">
        <f>SUM('FY24'!AV$39:AV$52)*0.7</f>
        <v>33712.699999999997</v>
      </c>
      <c r="E46" s="51">
        <f>SUM('FY24'!AX$39:AX$52)*0.7</f>
        <v>112956.75999999998</v>
      </c>
      <c r="F46" s="51">
        <f>SUM('FY24'!AZ$39:AZ$52)*0.7</f>
        <v>101041.56999999999</v>
      </c>
      <c r="G46" s="51">
        <f t="shared" si="2"/>
        <v>247711.02999999997</v>
      </c>
    </row>
    <row r="47" spans="2:7" ht="17.45" thickBot="1">
      <c r="B47" s="438"/>
      <c r="C47" s="51" t="s">
        <v>70</v>
      </c>
      <c r="D47" s="51">
        <f>SUM('FY24'!AV$29:AV$30)</f>
        <v>0</v>
      </c>
      <c r="E47" s="51">
        <f>SUM('FY24'!AX$29:AX$30)</f>
        <v>0</v>
      </c>
      <c r="F47" s="51">
        <f>SUM('FY24'!AZ$29:AZ$30)</f>
        <v>0</v>
      </c>
      <c r="G47" s="51">
        <f t="shared" si="2"/>
        <v>0</v>
      </c>
    </row>
    <row r="48" spans="2:7" ht="17.45" thickBot="1">
      <c r="B48" s="438"/>
      <c r="C48" s="51" t="s">
        <v>71</v>
      </c>
      <c r="D48" s="51">
        <f>SUM('FY24'!AV$31:AV$32)</f>
        <v>19127.199999999997</v>
      </c>
      <c r="E48" s="51">
        <f>SUM('FY24'!AX$31:AX$32)</f>
        <v>49735.880000000005</v>
      </c>
      <c r="F48" s="51">
        <f>SUM('FY24'!AZ$31:AZ$32)</f>
        <v>42740</v>
      </c>
      <c r="G48" s="51">
        <f t="shared" si="2"/>
        <v>111603.08</v>
      </c>
    </row>
    <row r="49" spans="2:7" ht="17.45" thickBot="1">
      <c r="B49" s="438"/>
      <c r="C49" s="50" t="s">
        <v>72</v>
      </c>
      <c r="D49" s="52"/>
      <c r="E49" s="52"/>
      <c r="F49" s="52"/>
      <c r="G49" s="51">
        <f t="shared" si="2"/>
        <v>0</v>
      </c>
    </row>
    <row r="50" spans="2:7" ht="17.45" thickBot="1">
      <c r="B50" s="439"/>
      <c r="C50" s="53" t="s">
        <v>73</v>
      </c>
      <c r="D50" s="51">
        <f>SUM('FY24'!AV$53:AV$61)</f>
        <v>17017.120000000003</v>
      </c>
      <c r="E50" s="51">
        <f>SUM('FY24'!AX$53:AX$61)</f>
        <v>56578.460000000006</v>
      </c>
      <c r="F50" s="51">
        <f>SUM('FY24'!AZ$53:AZ$61)</f>
        <v>50500.56</v>
      </c>
      <c r="G50" s="51">
        <f t="shared" si="2"/>
        <v>124096.14000000001</v>
      </c>
    </row>
    <row r="51" spans="2:7" ht="17.45" thickBot="1">
      <c r="B51" s="440" t="s">
        <v>74</v>
      </c>
      <c r="C51" s="51" t="s">
        <v>75</v>
      </c>
      <c r="D51" s="51">
        <f>SUM('FY24'!AV$149:AV$193)*0.75+SUM('FY24'!AV62:AV76)</f>
        <v>261764.08500000002</v>
      </c>
      <c r="E51" s="51">
        <f>SUM('FY24'!AX$149:AX$193)*0.75+SUM('FY24'!AX62:AX76)</f>
        <v>404355.95250000001</v>
      </c>
      <c r="F51" s="51">
        <f>SUM('FY24'!AZ$149:AZ$193)*0.75+SUM('FY24'!AZ62:AZ76)</f>
        <v>275614.39500000002</v>
      </c>
      <c r="G51" s="51">
        <f t="shared" si="2"/>
        <v>941734.43250000011</v>
      </c>
    </row>
    <row r="52" spans="2:7" ht="17.45" thickBot="1">
      <c r="B52" s="441"/>
      <c r="C52" s="51" t="s">
        <v>69</v>
      </c>
      <c r="D52" s="51">
        <f>SUM('FY24'!AV$39:AV$52)*0.3</f>
        <v>14448.3</v>
      </c>
      <c r="E52" s="51">
        <f>SUM('FY24'!AX$39:AX$52)*0.3</f>
        <v>48410.039999999994</v>
      </c>
      <c r="F52" s="51">
        <f>SUM('FY24'!AZ$39:AZ$52)*0.3</f>
        <v>43303.53</v>
      </c>
      <c r="G52" s="51">
        <f t="shared" si="2"/>
        <v>106161.87</v>
      </c>
    </row>
    <row r="53" spans="2:7" ht="17.45" thickBot="1">
      <c r="B53" s="441"/>
      <c r="C53" s="51" t="s">
        <v>76</v>
      </c>
      <c r="D53" s="51">
        <f>SUM('FY24'!AV$86:AV$105)</f>
        <v>128930</v>
      </c>
      <c r="E53" s="51">
        <f>SUM('FY24'!AX$86:AX$105)</f>
        <v>263787</v>
      </c>
      <c r="F53" s="51">
        <f>SUM('FY24'!AZ$86:AZ$105)</f>
        <v>216281</v>
      </c>
      <c r="G53" s="51">
        <f t="shared" si="2"/>
        <v>608998</v>
      </c>
    </row>
    <row r="54" spans="2:7" ht="17.45" thickBot="1">
      <c r="B54" s="441"/>
      <c r="C54" s="51" t="s">
        <v>77</v>
      </c>
      <c r="D54" s="51">
        <f>SUM('FY24'!AV$106:AV$108)</f>
        <v>33500</v>
      </c>
      <c r="E54" s="51">
        <f>SUM('FY24'!AX$106:AX$108)</f>
        <v>42368</v>
      </c>
      <c r="F54" s="51">
        <f>SUM('FY24'!AZ$106:AZ$108)</f>
        <v>66671.7</v>
      </c>
      <c r="G54" s="51">
        <f t="shared" si="2"/>
        <v>142539.70000000001</v>
      </c>
    </row>
    <row r="55" spans="2:7" ht="17.45" thickBot="1">
      <c r="B55" s="441"/>
      <c r="C55" s="51" t="s">
        <v>78</v>
      </c>
      <c r="D55" s="51">
        <f>SUM('FY24'!AV$109:AV$116)</f>
        <v>72120</v>
      </c>
      <c r="E55" s="51">
        <f>SUM('FY24'!AX$109:AX$116)</f>
        <v>112569</v>
      </c>
      <c r="F55" s="51">
        <f>SUM('FY24'!AZ$109:AZ$116)</f>
        <v>52962</v>
      </c>
      <c r="G55" s="51">
        <f t="shared" si="2"/>
        <v>237651</v>
      </c>
    </row>
    <row r="56" spans="2:7" ht="17.45" thickBot="1">
      <c r="B56" s="441"/>
      <c r="C56" s="51" t="s">
        <v>79</v>
      </c>
      <c r="D56" s="51">
        <f>SUM('FY24'!AV$117:AV$118)</f>
        <v>3695.9999999999995</v>
      </c>
      <c r="E56" s="51">
        <f>SUM('FY24'!AX$117:AX$118)</f>
        <v>11508</v>
      </c>
      <c r="F56" s="51">
        <f>SUM('FY24'!AZ$117:AZ$118)</f>
        <v>1512</v>
      </c>
      <c r="G56" s="51">
        <f t="shared" si="2"/>
        <v>16716</v>
      </c>
    </row>
    <row r="57" spans="2:7" ht="17.45" thickBot="1">
      <c r="B57" s="441"/>
      <c r="C57" s="51" t="s">
        <v>80</v>
      </c>
      <c r="D57" s="51">
        <f>SUM('FY24'!AV$119:AV$130)</f>
        <v>73942.3</v>
      </c>
      <c r="E57" s="51">
        <f>SUM('FY24'!AX$119:AX$130)</f>
        <v>97781.5</v>
      </c>
      <c r="F57" s="51">
        <f>SUM('FY24'!AZ$119:AZ$130)</f>
        <v>88442.200000000012</v>
      </c>
      <c r="G57" s="51">
        <f t="shared" si="2"/>
        <v>260166</v>
      </c>
    </row>
    <row r="58" spans="2:7" ht="17.45" thickBot="1">
      <c r="B58" s="441"/>
      <c r="C58" s="51" t="s">
        <v>72</v>
      </c>
      <c r="D58" s="51">
        <f>SUM('FY24'!AV138:AV148)</f>
        <v>0</v>
      </c>
      <c r="E58" s="51">
        <f>SUM('FY24'!AX138:AX148)</f>
        <v>0</v>
      </c>
      <c r="F58" s="51">
        <f>SUM('FY24'!AZ138:AZ148)</f>
        <v>46.08</v>
      </c>
      <c r="G58" s="51">
        <f t="shared" si="2"/>
        <v>46.08</v>
      </c>
    </row>
    <row r="59" spans="2:7" ht="17.45" thickBot="1">
      <c r="B59" s="442"/>
      <c r="C59" s="51" t="s">
        <v>73</v>
      </c>
      <c r="D59" s="51">
        <f>SUM('FY24'!AV$131:AV$137)</f>
        <v>0</v>
      </c>
      <c r="E59" s="51">
        <f>SUM('FY24'!AX$131:AX$137)</f>
        <v>0</v>
      </c>
      <c r="F59" s="51">
        <f>SUM('FY24'!AZ$131:AZ$137)</f>
        <v>0</v>
      </c>
      <c r="G59" s="51">
        <f t="shared" si="2"/>
        <v>0</v>
      </c>
    </row>
    <row r="60" spans="2:7" ht="17.45" thickBot="1">
      <c r="B60" s="46"/>
      <c r="C60" s="46"/>
      <c r="D60" s="46"/>
      <c r="E60" s="46"/>
      <c r="F60" s="46"/>
      <c r="G60" s="54">
        <f>SUM(G40:G59)</f>
        <v>3091891.7900000005</v>
      </c>
    </row>
    <row r="61" spans="2:7">
      <c r="B61" s="46"/>
      <c r="C61" s="46"/>
      <c r="D61" s="46"/>
      <c r="E61" s="46"/>
      <c r="F61" s="46"/>
      <c r="G61" s="46"/>
    </row>
    <row r="62" spans="2:7" ht="17.45" thickBot="1">
      <c r="B62" s="45" t="s">
        <v>90</v>
      </c>
      <c r="C62" s="46"/>
      <c r="D62" s="46"/>
      <c r="E62" s="46"/>
      <c r="F62" s="46"/>
      <c r="G62" s="46"/>
    </row>
    <row r="63" spans="2:7" ht="29.45" thickBot="1">
      <c r="B63" s="47"/>
      <c r="C63" s="48" t="s">
        <v>81</v>
      </c>
      <c r="D63" s="56">
        <v>45323</v>
      </c>
      <c r="E63" s="56">
        <v>45352</v>
      </c>
      <c r="F63" s="56">
        <v>45383</v>
      </c>
      <c r="G63" s="49" t="s">
        <v>323</v>
      </c>
    </row>
    <row r="64" spans="2:7" ht="17.45" thickBot="1">
      <c r="B64" s="436" t="s">
        <v>82</v>
      </c>
      <c r="C64" s="51" t="s">
        <v>83</v>
      </c>
      <c r="D64" s="51"/>
      <c r="E64" s="51"/>
      <c r="F64" s="51"/>
      <c r="G64" s="51"/>
    </row>
    <row r="65" spans="2:7" ht="17.45" thickBot="1">
      <c r="B65" s="436" t="s">
        <v>82</v>
      </c>
      <c r="C65" s="51" t="s">
        <v>84</v>
      </c>
      <c r="D65" s="51"/>
      <c r="E65" s="51"/>
      <c r="F65" s="51"/>
      <c r="G65" s="51"/>
    </row>
    <row r="66" spans="2:7" ht="17.45" thickBot="1">
      <c r="B66" s="436"/>
      <c r="C66" s="51" t="s">
        <v>85</v>
      </c>
      <c r="D66" s="51">
        <f>SUM(D40:D59)</f>
        <v>721055.04</v>
      </c>
      <c r="E66" s="51">
        <f>SUM(E40:E59)</f>
        <v>1269953.19</v>
      </c>
      <c r="F66" s="51">
        <f>SUM(F40:F59)</f>
        <v>1100883.56</v>
      </c>
      <c r="G66" s="51">
        <f t="shared" ref="G66" si="3">SUM(D66:F66)</f>
        <v>3091891.79</v>
      </c>
    </row>
    <row r="67" spans="2:7" ht="17.45" thickBot="1">
      <c r="B67" s="436"/>
      <c r="C67" s="51" t="s">
        <v>86</v>
      </c>
      <c r="D67" s="51"/>
      <c r="E67" s="51"/>
      <c r="F67" s="51"/>
      <c r="G67" s="51"/>
    </row>
    <row r="68" spans="2:7" ht="17.45" thickBot="1">
      <c r="B68" s="436"/>
      <c r="C68" s="51" t="s">
        <v>87</v>
      </c>
      <c r="D68" s="51"/>
      <c r="E68" s="51"/>
      <c r="F68" s="51"/>
      <c r="G68" s="51"/>
    </row>
    <row r="69" spans="2:7" ht="17.45" thickBot="1">
      <c r="B69" s="436"/>
      <c r="C69" s="51" t="s">
        <v>88</v>
      </c>
      <c r="D69" s="51"/>
      <c r="E69" s="51"/>
      <c r="F69" s="51"/>
      <c r="G69" s="51"/>
    </row>
    <row r="70" spans="2:7" ht="17.45" thickBot="1">
      <c r="B70" s="46"/>
      <c r="C70" s="46"/>
      <c r="D70" s="46"/>
      <c r="E70" s="46"/>
      <c r="F70" s="54" t="s">
        <v>89</v>
      </c>
      <c r="G70" s="55">
        <f>SUM(G64:G69)</f>
        <v>3091891.79</v>
      </c>
    </row>
    <row r="73" spans="2:7" ht="17.45" thickBot="1">
      <c r="B73" s="45" t="s">
        <v>93</v>
      </c>
      <c r="C73" s="46"/>
      <c r="D73" s="46"/>
      <c r="E73" s="46"/>
      <c r="F73" s="46"/>
      <c r="G73" s="46"/>
    </row>
    <row r="74" spans="2:7" ht="29.45" thickBot="1">
      <c r="B74" s="47"/>
      <c r="C74" s="48" t="s">
        <v>59</v>
      </c>
      <c r="D74" s="56">
        <v>45413</v>
      </c>
      <c r="E74" s="56">
        <v>45444</v>
      </c>
      <c r="F74" s="56">
        <v>45474</v>
      </c>
      <c r="G74" s="49" t="s">
        <v>324</v>
      </c>
    </row>
    <row r="75" spans="2:7" ht="17.45" thickBot="1">
      <c r="B75" s="437" t="s">
        <v>61</v>
      </c>
      <c r="C75" s="51" t="s">
        <v>62</v>
      </c>
      <c r="D75" s="51">
        <f>SUM('FY24'!BB$149:BB$193)*0.25</f>
        <v>104622.17499999999</v>
      </c>
      <c r="E75" s="51">
        <f>SUM('FY24'!BD$149:BD$193)*0.25</f>
        <v>131900.15</v>
      </c>
      <c r="F75" s="51">
        <f>SUM('FY24'!BF$149:BF$193)*0.25</f>
        <v>101335.925</v>
      </c>
      <c r="G75" s="51">
        <f t="shared" ref="G75:G94" si="4">SUM(D75:F75)</f>
        <v>337858.25</v>
      </c>
    </row>
    <row r="76" spans="2:7" ht="17.45" thickBot="1">
      <c r="B76" s="438"/>
      <c r="C76" s="51" t="s">
        <v>322</v>
      </c>
      <c r="D76" s="51">
        <f>SUM('FY24'!BB$6:BB$13)</f>
        <v>157347.19999999998</v>
      </c>
      <c r="E76" s="51">
        <f>SUM('FY24'!BD$6:BD$13)</f>
        <v>260148.8</v>
      </c>
      <c r="F76" s="51">
        <f>SUM('FY24'!BF$6:BF$13)</f>
        <v>110144</v>
      </c>
      <c r="G76" s="51">
        <f t="shared" si="4"/>
        <v>527640</v>
      </c>
    </row>
    <row r="77" spans="2:7" ht="17.45" thickBot="1">
      <c r="B77" s="438"/>
      <c r="C77" s="51" t="s">
        <v>65</v>
      </c>
      <c r="D77" s="51">
        <f>SUM('FY24'!BB$14:BB$24)</f>
        <v>0</v>
      </c>
      <c r="E77" s="51">
        <f>SUM('FY24'!BD$14:BD$24)</f>
        <v>0</v>
      </c>
      <c r="F77" s="51">
        <f>SUM('FY24'!BF$14:BF$24)</f>
        <v>0</v>
      </c>
      <c r="G77" s="51">
        <f t="shared" si="4"/>
        <v>0</v>
      </c>
    </row>
    <row r="78" spans="2:7" ht="17.45" thickBot="1">
      <c r="B78" s="438"/>
      <c r="C78" s="51" t="s">
        <v>66</v>
      </c>
      <c r="D78" s="51">
        <f>SUM('FY24'!BB$25:BB$28)</f>
        <v>14407.2</v>
      </c>
      <c r="E78" s="51">
        <f>SUM('FY24'!BD$25:BD$28)</f>
        <v>30224.07</v>
      </c>
      <c r="F78" s="51">
        <f>SUM('FY24'!BF$25:BF$28)</f>
        <v>21101.579999999998</v>
      </c>
      <c r="G78" s="51">
        <f t="shared" si="4"/>
        <v>65732.850000000006</v>
      </c>
    </row>
    <row r="79" spans="2:7" ht="17.45" thickBot="1">
      <c r="B79" s="438"/>
      <c r="C79" s="51" t="s">
        <v>67</v>
      </c>
      <c r="D79" s="51">
        <f>SUM('FY24'!BB$33:BB$34)</f>
        <v>0</v>
      </c>
      <c r="E79" s="51">
        <f>SUM('FY24'!BD$33:BD$34)</f>
        <v>0</v>
      </c>
      <c r="F79" s="51">
        <f>SUM('FY24'!BF$33:BF$34)</f>
        <v>0</v>
      </c>
      <c r="G79" s="51">
        <f t="shared" si="4"/>
        <v>0</v>
      </c>
    </row>
    <row r="80" spans="2:7" ht="17.45" thickBot="1">
      <c r="B80" s="438"/>
      <c r="C80" s="51" t="s">
        <v>68</v>
      </c>
      <c r="D80" s="51">
        <f>SUM('FY24'!BB$35:BB$38)</f>
        <v>0</v>
      </c>
      <c r="E80" s="51">
        <f>SUM('FY24'!BD$35:BD$38)</f>
        <v>0</v>
      </c>
      <c r="F80" s="51">
        <f>SUM('FY24'!BF$35:BF$38)</f>
        <v>0</v>
      </c>
      <c r="G80" s="51">
        <f t="shared" si="4"/>
        <v>0</v>
      </c>
    </row>
    <row r="81" spans="2:7" ht="17.45" thickBot="1">
      <c r="B81" s="438"/>
      <c r="C81" s="51" t="s">
        <v>69</v>
      </c>
      <c r="D81" s="51">
        <f>SUM('FY24'!BB$39:BB$52)*0.7</f>
        <v>127357.99999999999</v>
      </c>
      <c r="E81" s="51">
        <f>SUM('FY24'!BD$39:BD$52)*0.7</f>
        <v>43486.8</v>
      </c>
      <c r="F81" s="51">
        <f>SUM('FY24'!BF$39:BF$52)*0.7</f>
        <v>45146.359999999986</v>
      </c>
      <c r="G81" s="51">
        <f t="shared" si="4"/>
        <v>215991.15999999997</v>
      </c>
    </row>
    <row r="82" spans="2:7" ht="17.45" thickBot="1">
      <c r="B82" s="438"/>
      <c r="C82" s="51" t="s">
        <v>70</v>
      </c>
      <c r="D82" s="51">
        <f>SUM('FY24'!BB$29:BB$30)</f>
        <v>0</v>
      </c>
      <c r="E82" s="51">
        <f>SUM('FY24'!BD$29:BD$30)</f>
        <v>0</v>
      </c>
      <c r="F82" s="51">
        <f>SUM('FY24'!BF$29:BF$30)</f>
        <v>0</v>
      </c>
      <c r="G82" s="51">
        <f t="shared" si="4"/>
        <v>0</v>
      </c>
    </row>
    <row r="83" spans="2:7" ht="17.45" thickBot="1">
      <c r="B83" s="438"/>
      <c r="C83" s="51" t="s">
        <v>71</v>
      </c>
      <c r="D83" s="51">
        <f>SUM('FY24'!BB$31:BB$32)</f>
        <v>53202.400000000001</v>
      </c>
      <c r="E83" s="51">
        <f>SUM('FY24'!BD$31:BD$32)</f>
        <v>20046.88</v>
      </c>
      <c r="F83" s="51">
        <f>SUM('FY24'!BF$31:BF$32)</f>
        <v>36675.199999999997</v>
      </c>
      <c r="G83" s="51">
        <f t="shared" si="4"/>
        <v>109924.48</v>
      </c>
    </row>
    <row r="84" spans="2:7" ht="17.45" thickBot="1">
      <c r="B84" s="438"/>
      <c r="C84" s="50" t="s">
        <v>72</v>
      </c>
      <c r="D84" s="52"/>
      <c r="E84" s="52"/>
      <c r="F84" s="52"/>
      <c r="G84" s="51">
        <f t="shared" si="4"/>
        <v>0</v>
      </c>
    </row>
    <row r="85" spans="2:7" ht="17.45" thickBot="1">
      <c r="B85" s="439"/>
      <c r="C85" s="53" t="s">
        <v>73</v>
      </c>
      <c r="D85" s="51">
        <f>SUM('FY24'!BB$53:BB$61)</f>
        <v>194997.74</v>
      </c>
      <c r="E85" s="51">
        <f>SUM('FY24'!BD$53:BD$61)</f>
        <v>177761.04</v>
      </c>
      <c r="F85" s="51">
        <f>SUM('FY24'!BF$53:BF$61)</f>
        <v>151030.32</v>
      </c>
      <c r="G85" s="51">
        <f t="shared" si="4"/>
        <v>523789.10000000003</v>
      </c>
    </row>
    <row r="86" spans="2:7" ht="17.45" thickBot="1">
      <c r="B86" s="440" t="s">
        <v>74</v>
      </c>
      <c r="C86" s="51" t="s">
        <v>75</v>
      </c>
      <c r="D86" s="51">
        <f>SUM('FY24'!BB$149:BB$193)*0.75+SUM('FY24'!BB62:BB76)</f>
        <v>391963.52499999997</v>
      </c>
      <c r="E86" s="51">
        <f>SUM('FY24'!BD$149:BD$193)*0.75+SUM('FY24'!BD62:BD76)</f>
        <v>436929.44999999995</v>
      </c>
      <c r="F86" s="51">
        <f>SUM('FY24'!BF$149:BF$193)*0.75+SUM('FY24'!BF62:BF76)</f>
        <v>356931.875</v>
      </c>
      <c r="G86" s="51">
        <f t="shared" si="4"/>
        <v>1185824.8499999999</v>
      </c>
    </row>
    <row r="87" spans="2:7" ht="17.45" thickBot="1">
      <c r="B87" s="441"/>
      <c r="C87" s="51" t="s">
        <v>69</v>
      </c>
      <c r="D87" s="51">
        <f>SUM('FY24'!BB$39:BB$52)*0.3</f>
        <v>54582</v>
      </c>
      <c r="E87" s="51">
        <f>SUM('FY24'!BD$39:BD$52)*0.3</f>
        <v>18637.2</v>
      </c>
      <c r="F87" s="51">
        <f>SUM('FY24'!BF$39:BF$52)*0.3</f>
        <v>19348.439999999995</v>
      </c>
      <c r="G87" s="51">
        <f t="shared" si="4"/>
        <v>92567.639999999985</v>
      </c>
    </row>
    <row r="88" spans="2:7" ht="17.45" thickBot="1">
      <c r="B88" s="441"/>
      <c r="C88" s="51" t="s">
        <v>76</v>
      </c>
      <c r="D88" s="51">
        <f>SUM('FY24'!BB$86:BB$105)</f>
        <v>171965.2</v>
      </c>
      <c r="E88" s="51">
        <f>SUM('FY24'!BD$86:BD$105)</f>
        <v>152104.00000000003</v>
      </c>
      <c r="F88" s="51">
        <f>SUM('FY24'!BF$86:BF$105)</f>
        <v>131987.70000000001</v>
      </c>
      <c r="G88" s="51">
        <f t="shared" si="4"/>
        <v>456056.90000000008</v>
      </c>
    </row>
    <row r="89" spans="2:7" ht="17.45" thickBot="1">
      <c r="B89" s="441"/>
      <c r="C89" s="51" t="s">
        <v>77</v>
      </c>
      <c r="D89" s="51">
        <f>SUM('FY24'!BB$106:BB$108)</f>
        <v>37288</v>
      </c>
      <c r="E89" s="51">
        <f>SUM('FY24'!BD$106:BD$108)</f>
        <v>41540</v>
      </c>
      <c r="F89" s="51">
        <f>SUM('FY24'!BF$106:BF$108)</f>
        <v>50212</v>
      </c>
      <c r="G89" s="51">
        <f t="shared" si="4"/>
        <v>129040</v>
      </c>
    </row>
    <row r="90" spans="2:7" ht="17.45" thickBot="1">
      <c r="B90" s="441"/>
      <c r="C90" s="51" t="s">
        <v>78</v>
      </c>
      <c r="D90" s="51">
        <f>SUM('FY24'!BB$109:BB$116)</f>
        <v>29632</v>
      </c>
      <c r="E90" s="51">
        <f>SUM('FY24'!BD$109:BD$116)</f>
        <v>26376</v>
      </c>
      <c r="F90" s="51">
        <f>SUM('FY24'!BF$109:BF$116)</f>
        <v>20166</v>
      </c>
      <c r="G90" s="51">
        <f t="shared" si="4"/>
        <v>76174</v>
      </c>
    </row>
    <row r="91" spans="2:7" ht="17.45" thickBot="1">
      <c r="B91" s="441"/>
      <c r="C91" s="51" t="s">
        <v>79</v>
      </c>
      <c r="D91" s="51">
        <f>SUM('FY24'!BB$117:BB$118)</f>
        <v>0</v>
      </c>
      <c r="E91" s="51">
        <f>SUM('FY24'!BD$117:BD$118)</f>
        <v>0</v>
      </c>
      <c r="F91" s="51">
        <f>SUM('FY24'!BF$117:BF$118)</f>
        <v>0</v>
      </c>
      <c r="G91" s="51">
        <f t="shared" si="4"/>
        <v>0</v>
      </c>
    </row>
    <row r="92" spans="2:7" ht="17.45" thickBot="1">
      <c r="B92" s="441"/>
      <c r="C92" s="51" t="s">
        <v>80</v>
      </c>
      <c r="D92" s="51">
        <f>SUM('FY24'!BB$119:BB$130)</f>
        <v>117062.65</v>
      </c>
      <c r="E92" s="51">
        <f>SUM('FY24'!BD$119:BD$130)</f>
        <v>148005.4</v>
      </c>
      <c r="F92" s="51">
        <f>SUM('FY24'!BF$119:BF$130)</f>
        <v>135166.29999999999</v>
      </c>
      <c r="G92" s="51">
        <f t="shared" si="4"/>
        <v>400234.35</v>
      </c>
    </row>
    <row r="93" spans="2:7" ht="17.45" thickBot="1">
      <c r="B93" s="441"/>
      <c r="C93" s="51" t="s">
        <v>72</v>
      </c>
      <c r="D93" s="51">
        <f>SUM('FY24'!BB138:BB148)</f>
        <v>72.84</v>
      </c>
      <c r="E93" s="51">
        <f>SUM('FY24'!BD138:BD148)</f>
        <v>587.5200000000001</v>
      </c>
      <c r="F93" s="51">
        <f>SUM('FY24'!BF138:BF148)</f>
        <v>207.36</v>
      </c>
      <c r="G93" s="51">
        <f t="shared" si="4"/>
        <v>867.72000000000014</v>
      </c>
    </row>
    <row r="94" spans="2:7" ht="17.45" thickBot="1">
      <c r="B94" s="442"/>
      <c r="C94" s="51" t="s">
        <v>73</v>
      </c>
      <c r="D94" s="51">
        <f>SUM('FY24'!BB$131:BB$137)</f>
        <v>0</v>
      </c>
      <c r="E94" s="51">
        <f>SUM('FY24'!BD$131:BD$137)</f>
        <v>0</v>
      </c>
      <c r="F94" s="51">
        <f>SUM('FY24'!BF$131:BF$137)</f>
        <v>0</v>
      </c>
      <c r="G94" s="51">
        <f t="shared" si="4"/>
        <v>0</v>
      </c>
    </row>
    <row r="95" spans="2:7" ht="17.45" thickBot="1">
      <c r="B95" s="46"/>
      <c r="C95" s="46"/>
      <c r="D95" s="46"/>
      <c r="E95" s="46"/>
      <c r="F95" s="46"/>
      <c r="G95" s="54">
        <f>SUM(G75:G94)</f>
        <v>4121701.3000000003</v>
      </c>
    </row>
    <row r="96" spans="2:7">
      <c r="B96" s="46"/>
      <c r="C96" s="46"/>
      <c r="D96" s="46"/>
      <c r="E96" s="46"/>
      <c r="F96" s="46"/>
      <c r="G96" s="46"/>
    </row>
    <row r="97" spans="2:7" ht="17.45" thickBot="1">
      <c r="B97" s="45" t="s">
        <v>93</v>
      </c>
      <c r="C97" s="46"/>
      <c r="D97" s="46"/>
      <c r="E97" s="46"/>
      <c r="F97" s="46"/>
      <c r="G97" s="46"/>
    </row>
    <row r="98" spans="2:7" ht="29.45" thickBot="1">
      <c r="B98" s="118"/>
      <c r="C98" s="48" t="s">
        <v>81</v>
      </c>
      <c r="D98" s="56">
        <v>45413</v>
      </c>
      <c r="E98" s="56">
        <v>45444</v>
      </c>
      <c r="F98" s="56">
        <v>45474</v>
      </c>
      <c r="G98" s="49" t="s">
        <v>324</v>
      </c>
    </row>
    <row r="99" spans="2:7" ht="17.45" thickBot="1">
      <c r="B99" s="436" t="s">
        <v>82</v>
      </c>
      <c r="C99" s="51" t="s">
        <v>83</v>
      </c>
      <c r="D99" s="51"/>
      <c r="E99" s="51"/>
      <c r="F99" s="51"/>
      <c r="G99" s="51"/>
    </row>
    <row r="100" spans="2:7" ht="17.45" thickBot="1">
      <c r="B100" s="436"/>
      <c r="C100" s="51" t="s">
        <v>84</v>
      </c>
      <c r="D100" s="51"/>
      <c r="E100" s="51"/>
      <c r="F100" s="51"/>
      <c r="G100" s="51"/>
    </row>
    <row r="101" spans="2:7" ht="17.45" thickBot="1">
      <c r="B101" s="436"/>
      <c r="C101" s="51" t="s">
        <v>85</v>
      </c>
      <c r="D101" s="51">
        <f>SUM(D75:D94)</f>
        <v>1454500.93</v>
      </c>
      <c r="E101" s="51">
        <f>SUM(E75:E94)</f>
        <v>1487747.3099999998</v>
      </c>
      <c r="F101" s="51">
        <f>SUM(F75:F94)</f>
        <v>1179453.06</v>
      </c>
      <c r="G101" s="51">
        <f t="shared" ref="G101" si="5">SUM(D101:F101)</f>
        <v>4121701.3</v>
      </c>
    </row>
    <row r="102" spans="2:7" ht="17.45" thickBot="1">
      <c r="B102" s="436"/>
      <c r="C102" s="51" t="s">
        <v>86</v>
      </c>
      <c r="D102" s="51"/>
      <c r="E102" s="51"/>
      <c r="F102" s="51"/>
      <c r="G102" s="51"/>
    </row>
    <row r="103" spans="2:7" ht="17.45" thickBot="1">
      <c r="B103" s="436"/>
      <c r="C103" s="51" t="s">
        <v>87</v>
      </c>
      <c r="D103" s="51"/>
      <c r="E103" s="51"/>
      <c r="F103" s="51"/>
      <c r="G103" s="51"/>
    </row>
    <row r="104" spans="2:7" ht="17.45" thickBot="1">
      <c r="B104" s="436"/>
      <c r="C104" s="51" t="s">
        <v>88</v>
      </c>
      <c r="D104" s="51"/>
      <c r="E104" s="51"/>
      <c r="F104" s="51"/>
      <c r="G104" s="51"/>
    </row>
    <row r="105" spans="2:7" ht="17.45" thickBot="1">
      <c r="B105" s="46"/>
      <c r="C105" s="46"/>
      <c r="D105" s="46"/>
      <c r="E105" s="46"/>
      <c r="F105" s="54" t="s">
        <v>89</v>
      </c>
      <c r="G105" s="55">
        <f>SUM(G99:G104)</f>
        <v>4121701.3</v>
      </c>
    </row>
    <row r="107" spans="2:7" ht="17.45" thickBot="1">
      <c r="B107" s="45" t="s">
        <v>95</v>
      </c>
      <c r="C107" s="46"/>
      <c r="D107" s="46"/>
      <c r="E107" s="46"/>
      <c r="F107" s="46"/>
      <c r="G107" s="46"/>
    </row>
    <row r="108" spans="2:7" ht="29.45" thickBot="1">
      <c r="B108" s="47"/>
      <c r="C108" s="48" t="s">
        <v>59</v>
      </c>
      <c r="D108" s="56">
        <v>45505</v>
      </c>
      <c r="E108" s="56">
        <v>45536</v>
      </c>
      <c r="F108" s="56">
        <v>45566</v>
      </c>
      <c r="G108" s="49" t="s">
        <v>325</v>
      </c>
    </row>
    <row r="109" spans="2:7" ht="17.45" thickBot="1">
      <c r="B109" s="437" t="s">
        <v>61</v>
      </c>
      <c r="C109" s="51" t="s">
        <v>62</v>
      </c>
      <c r="D109" s="51">
        <f>SUM('FY24'!BH$149:BH$193)*0.25</f>
        <v>159266.72499999998</v>
      </c>
      <c r="E109" s="51">
        <f>SUM('FY24'!BJ$149:BJ$193)*0.25</f>
        <v>182497.1</v>
      </c>
      <c r="F109" s="51">
        <f>SUM('FY24'!BL$149:BL$193)*0.25</f>
        <v>129218.99999999999</v>
      </c>
      <c r="G109" s="51">
        <f t="shared" ref="G109:G128" si="6">SUM(D109:F109)</f>
        <v>470982.82499999995</v>
      </c>
    </row>
    <row r="110" spans="2:7" ht="17.45" thickBot="1">
      <c r="B110" s="438"/>
      <c r="C110" s="51" t="s">
        <v>322</v>
      </c>
      <c r="D110" s="51">
        <f>SUM('FY24'!BH$6:BH$13)</f>
        <v>108391.2</v>
      </c>
      <c r="E110" s="51">
        <f>SUM('FY24'!BJ$6:BJ$13)</f>
        <v>208328.8</v>
      </c>
      <c r="F110" s="51">
        <f>SUM('FY24'!BL$6:BL$13)</f>
        <v>231520.89999999997</v>
      </c>
      <c r="G110" s="51">
        <f t="shared" si="6"/>
        <v>548240.89999999991</v>
      </c>
    </row>
    <row r="111" spans="2:7" ht="17.45" thickBot="1">
      <c r="B111" s="438"/>
      <c r="C111" s="51" t="s">
        <v>65</v>
      </c>
      <c r="D111" s="51">
        <f>SUM('FY24'!BH$14:BH$24)</f>
        <v>0</v>
      </c>
      <c r="E111" s="51">
        <f>SUM('FY24'!BJ$14:BJ$24)</f>
        <v>0</v>
      </c>
      <c r="F111" s="51">
        <f>SUM('FY24'!BL$14:BL$24)</f>
        <v>0</v>
      </c>
      <c r="G111" s="51">
        <f t="shared" si="6"/>
        <v>0</v>
      </c>
    </row>
    <row r="112" spans="2:7" ht="17.45" thickBot="1">
      <c r="B112" s="438"/>
      <c r="C112" s="51" t="s">
        <v>66</v>
      </c>
      <c r="D112" s="51">
        <f>SUM('FY24'!BH$25:BH$28)</f>
        <v>31546.799999999999</v>
      </c>
      <c r="E112" s="51">
        <f>SUM('FY24'!BJ$25:BJ$28)</f>
        <v>62671.32</v>
      </c>
      <c r="F112" s="51">
        <f>SUM('FY24'!BL$25:BL$28)</f>
        <v>72719.100000000006</v>
      </c>
      <c r="G112" s="51">
        <f t="shared" si="6"/>
        <v>166937.22</v>
      </c>
    </row>
    <row r="113" spans="2:7" ht="17.45" thickBot="1">
      <c r="B113" s="438"/>
      <c r="C113" s="51" t="s">
        <v>67</v>
      </c>
      <c r="D113" s="51">
        <f>SUM('FY24'!BH$33:BH$34)</f>
        <v>0</v>
      </c>
      <c r="E113" s="51">
        <f>SUM('FY24'!BJ$33:BJ$34)</f>
        <v>0</v>
      </c>
      <c r="F113" s="51">
        <f>SUM('FY24'!BL$33:BL$34)</f>
        <v>0</v>
      </c>
      <c r="G113" s="51">
        <f t="shared" si="6"/>
        <v>0</v>
      </c>
    </row>
    <row r="114" spans="2:7" ht="17.45" thickBot="1">
      <c r="B114" s="438"/>
      <c r="C114" s="51" t="s">
        <v>68</v>
      </c>
      <c r="D114" s="51">
        <f>SUM('FY24'!BH$35:BH$38)</f>
        <v>0</v>
      </c>
      <c r="E114" s="51">
        <f>SUM('FY24'!BJ$35:BJ$38)</f>
        <v>0</v>
      </c>
      <c r="F114" s="51">
        <f>SUM('FY24'!BL$35:BL$38)</f>
        <v>0</v>
      </c>
      <c r="G114" s="51">
        <f t="shared" si="6"/>
        <v>0</v>
      </c>
    </row>
    <row r="115" spans="2:7" ht="17.45" thickBot="1">
      <c r="B115" s="438"/>
      <c r="C115" s="51" t="s">
        <v>69</v>
      </c>
      <c r="D115" s="51">
        <f>SUM('FY24'!BH$39:BH$52)*0.7</f>
        <v>37395.33</v>
      </c>
      <c r="E115" s="51">
        <f>SUM('FY24'!BJ$39:BJ$52)*0.7</f>
        <v>31754.31</v>
      </c>
      <c r="F115" s="51">
        <f>SUM('FY24'!BL$39:BL$52)*0.7</f>
        <v>53494.559999999998</v>
      </c>
      <c r="G115" s="51">
        <f t="shared" si="6"/>
        <v>122644.2</v>
      </c>
    </row>
    <row r="116" spans="2:7" ht="17.45" thickBot="1">
      <c r="B116" s="438"/>
      <c r="C116" s="51" t="s">
        <v>70</v>
      </c>
      <c r="D116" s="51">
        <f>SUM('FY24'!BH$29:BH$30)</f>
        <v>0</v>
      </c>
      <c r="E116" s="51">
        <f>SUM('FY24'!BJ$29:BJ$30)</f>
        <v>0</v>
      </c>
      <c r="F116" s="51">
        <f>SUM('FY24'!BL$29:BL$30)</f>
        <v>0</v>
      </c>
      <c r="G116" s="51">
        <f t="shared" si="6"/>
        <v>0</v>
      </c>
    </row>
    <row r="117" spans="2:7" ht="17.45" thickBot="1">
      <c r="B117" s="438"/>
      <c r="C117" s="51" t="s">
        <v>71</v>
      </c>
      <c r="D117" s="51">
        <f>SUM('FY24'!BH$31:BH$32)</f>
        <v>23381.360000000001</v>
      </c>
      <c r="E117" s="51">
        <f>SUM('FY24'!BJ$31:BJ$32)</f>
        <v>49489.280000000006</v>
      </c>
      <c r="F117" s="51">
        <f>SUM('FY24'!BL$31:BL$32)</f>
        <v>14957.6</v>
      </c>
      <c r="G117" s="51">
        <f t="shared" si="6"/>
        <v>87828.24000000002</v>
      </c>
    </row>
    <row r="118" spans="2:7" ht="17.45" thickBot="1">
      <c r="B118" s="438"/>
      <c r="C118" s="50" t="s">
        <v>72</v>
      </c>
      <c r="D118" s="52"/>
      <c r="E118" s="52"/>
      <c r="F118" s="52"/>
      <c r="G118" s="51">
        <f t="shared" si="6"/>
        <v>0</v>
      </c>
    </row>
    <row r="119" spans="2:7" ht="17.45" thickBot="1">
      <c r="B119" s="439"/>
      <c r="C119" s="53" t="s">
        <v>73</v>
      </c>
      <c r="D119" s="51">
        <f>SUM('FY24'!BH$53:BH$61)</f>
        <v>138432.32000000001</v>
      </c>
      <c r="E119" s="51">
        <f>SUM('FY24'!BJ$53:BJ$61)</f>
        <v>195536.28</v>
      </c>
      <c r="F119" s="51">
        <f>SUM('FY24'!BL$53:BL$61)</f>
        <v>162689.07999999999</v>
      </c>
      <c r="G119" s="51">
        <f t="shared" si="6"/>
        <v>496657.67999999993</v>
      </c>
    </row>
    <row r="120" spans="2:7" ht="17.45" thickBot="1">
      <c r="B120" s="440" t="s">
        <v>74</v>
      </c>
      <c r="C120" s="51" t="s">
        <v>75</v>
      </c>
      <c r="D120" s="51">
        <f>SUM('FY24'!BH$149:BH$193)*0.75+SUM('FY24'!BH62:BH76)</f>
        <v>557074.17499999993</v>
      </c>
      <c r="E120" s="51">
        <f>SUM('FY24'!BJ$149:BJ$193)*0.75+SUM('FY24'!BJ62:BJ76)</f>
        <v>585378.80000000005</v>
      </c>
      <c r="F120" s="51">
        <f>SUM('FY24'!BL$149:BL$193)*0.75+SUM('FY24'!BL62:BL76)</f>
        <v>414068.99999999994</v>
      </c>
      <c r="G120" s="51">
        <f t="shared" si="6"/>
        <v>1556521.9750000001</v>
      </c>
    </row>
    <row r="121" spans="2:7" ht="17.45" thickBot="1">
      <c r="B121" s="441"/>
      <c r="C121" s="51" t="s">
        <v>69</v>
      </c>
      <c r="D121" s="51">
        <f>SUM('FY24'!BH$39:BH$52)*0.3</f>
        <v>16026.57</v>
      </c>
      <c r="E121" s="51">
        <f>SUM('FY24'!BJ$39:BJ$52)*0.3</f>
        <v>13608.99</v>
      </c>
      <c r="F121" s="51">
        <f>SUM('FY24'!BL$39:BL$52)*0.3</f>
        <v>22926.240000000002</v>
      </c>
      <c r="G121" s="51">
        <f t="shared" si="6"/>
        <v>52561.8</v>
      </c>
    </row>
    <row r="122" spans="2:7" ht="17.45" thickBot="1">
      <c r="B122" s="441"/>
      <c r="C122" s="51" t="s">
        <v>76</v>
      </c>
      <c r="D122" s="51">
        <f>SUM('FY24'!BH$86:BH$105)</f>
        <v>178774.7</v>
      </c>
      <c r="E122" s="51">
        <f>SUM('FY24'!BJ$86:BJ$105)</f>
        <v>135128.69999999998</v>
      </c>
      <c r="F122" s="51">
        <f>SUM('FY24'!BL$86:BL$105)</f>
        <v>97037.8</v>
      </c>
      <c r="G122" s="51">
        <f t="shared" si="6"/>
        <v>410941.2</v>
      </c>
    </row>
    <row r="123" spans="2:7" ht="17.45" thickBot="1">
      <c r="B123" s="441"/>
      <c r="C123" s="51" t="s">
        <v>77</v>
      </c>
      <c r="D123" s="51">
        <f>SUM('FY24'!BH$106:BH$108)</f>
        <v>34644</v>
      </c>
      <c r="E123" s="51">
        <f>SUM('FY24'!BJ$106:BJ$108)</f>
        <v>29272</v>
      </c>
      <c r="F123" s="51">
        <f>SUM('FY24'!BL$106:BL$108)</f>
        <v>29540</v>
      </c>
      <c r="G123" s="51">
        <f t="shared" si="6"/>
        <v>93456</v>
      </c>
    </row>
    <row r="124" spans="2:7" ht="17.45" thickBot="1">
      <c r="B124" s="441"/>
      <c r="C124" s="51" t="s">
        <v>78</v>
      </c>
      <c r="D124" s="51">
        <f>SUM('FY24'!BH$109:BH$116)</f>
        <v>20218</v>
      </c>
      <c r="E124" s="51">
        <f>SUM('FY24'!BJ$109:BJ$116)</f>
        <v>66316</v>
      </c>
      <c r="F124" s="51">
        <f>SUM('FY24'!BL$109:BL$116)</f>
        <v>23988</v>
      </c>
      <c r="G124" s="51">
        <f t="shared" si="6"/>
        <v>110522</v>
      </c>
    </row>
    <row r="125" spans="2:7" ht="17.45" thickBot="1">
      <c r="B125" s="441"/>
      <c r="C125" s="51" t="s">
        <v>79</v>
      </c>
      <c r="D125" s="51">
        <f>SUM('FY24'!BH$117:BH$118)</f>
        <v>0</v>
      </c>
      <c r="E125" s="51">
        <f>SUM('FY24'!BJ$117:BJ$118)</f>
        <v>0</v>
      </c>
      <c r="F125" s="51">
        <f>SUM('FY24'!BL$117:BL$118)</f>
        <v>0</v>
      </c>
      <c r="G125" s="51">
        <f t="shared" si="6"/>
        <v>0</v>
      </c>
    </row>
    <row r="126" spans="2:7" ht="17.45" thickBot="1">
      <c r="B126" s="441"/>
      <c r="C126" s="51" t="s">
        <v>80</v>
      </c>
      <c r="D126" s="51">
        <f>SUM('FY24'!BH$119:BH$130)</f>
        <v>119659.35</v>
      </c>
      <c r="E126" s="51">
        <f>SUM('FY24'!BJ$119:BJ$130)</f>
        <v>174119.4</v>
      </c>
      <c r="F126" s="51">
        <f>SUM('FY24'!BL$119:BL$130)</f>
        <v>121507.75</v>
      </c>
      <c r="G126" s="51">
        <f t="shared" si="6"/>
        <v>415286.5</v>
      </c>
    </row>
    <row r="127" spans="2:7" ht="17.45" thickBot="1">
      <c r="B127" s="441"/>
      <c r="C127" s="51" t="s">
        <v>72</v>
      </c>
      <c r="D127" s="51">
        <f>SUM('FY24'!BH138:BH148)</f>
        <v>184.32</v>
      </c>
      <c r="E127" s="51">
        <f>SUM('FY24'!BJ138:BJ148)</f>
        <v>906.24</v>
      </c>
      <c r="F127" s="51">
        <f>SUM('FY24'!BL138:BL148)</f>
        <v>681.6</v>
      </c>
      <c r="G127" s="51">
        <f t="shared" si="6"/>
        <v>1772.1599999999999</v>
      </c>
    </row>
    <row r="128" spans="2:7" ht="17.45" thickBot="1">
      <c r="B128" s="442"/>
      <c r="C128" s="51" t="s">
        <v>73</v>
      </c>
      <c r="D128" s="51">
        <f>SUM('FY24'!BH$131:BH$137)</f>
        <v>0</v>
      </c>
      <c r="E128" s="51">
        <f>SUM('FY24'!BJ$131:BJ$137)</f>
        <v>0</v>
      </c>
      <c r="F128" s="51">
        <f>SUM('FY24'!BL$131:BL$137)</f>
        <v>0</v>
      </c>
      <c r="G128" s="51">
        <f t="shared" si="6"/>
        <v>0</v>
      </c>
    </row>
    <row r="129" spans="2:7" ht="17.45" thickBot="1">
      <c r="B129" s="46"/>
      <c r="C129" s="46"/>
      <c r="D129" s="46"/>
      <c r="E129" s="46"/>
      <c r="F129" s="46"/>
      <c r="G129" s="54">
        <f>SUM(G109:G128)</f>
        <v>4534352.7</v>
      </c>
    </row>
    <row r="130" spans="2:7">
      <c r="B130" s="46"/>
      <c r="C130" s="46"/>
      <c r="D130" s="46"/>
      <c r="E130" s="46"/>
      <c r="F130" s="46"/>
      <c r="G130" s="46"/>
    </row>
    <row r="131" spans="2:7" ht="17.45" thickBot="1">
      <c r="B131" s="45" t="s">
        <v>95</v>
      </c>
      <c r="C131" s="46"/>
      <c r="D131" s="46"/>
      <c r="E131" s="46"/>
      <c r="F131" s="46"/>
      <c r="G131" s="46"/>
    </row>
    <row r="132" spans="2:7" ht="29.45" thickBot="1">
      <c r="B132" s="118"/>
      <c r="C132" s="48" t="s">
        <v>81</v>
      </c>
      <c r="D132" s="56">
        <v>45505</v>
      </c>
      <c r="E132" s="56">
        <v>45536</v>
      </c>
      <c r="F132" s="56">
        <v>45566</v>
      </c>
      <c r="G132" s="49" t="s">
        <v>325</v>
      </c>
    </row>
    <row r="133" spans="2:7" ht="17.45" thickBot="1">
      <c r="B133" s="436" t="s">
        <v>82</v>
      </c>
      <c r="C133" s="51" t="s">
        <v>83</v>
      </c>
      <c r="D133" s="51"/>
      <c r="E133" s="51"/>
      <c r="F133" s="51"/>
      <c r="G133" s="51"/>
    </row>
    <row r="134" spans="2:7" ht="17.45" thickBot="1">
      <c r="B134" s="436"/>
      <c r="C134" s="51" t="s">
        <v>84</v>
      </c>
      <c r="D134" s="51"/>
      <c r="E134" s="51"/>
      <c r="F134" s="51"/>
      <c r="G134" s="51"/>
    </row>
    <row r="135" spans="2:7" ht="17.45" thickBot="1">
      <c r="B135" s="436"/>
      <c r="C135" s="51" t="s">
        <v>85</v>
      </c>
      <c r="D135" s="51">
        <f>SUM(D109:D128)</f>
        <v>1424994.85</v>
      </c>
      <c r="E135" s="51">
        <f>SUM(E109:E128)</f>
        <v>1735007.22</v>
      </c>
      <c r="F135" s="51">
        <f>SUM(F109:F128)</f>
        <v>1374350.6300000001</v>
      </c>
      <c r="G135" s="51">
        <f t="shared" ref="G135" si="7">SUM(D135:F135)</f>
        <v>4534352.7</v>
      </c>
    </row>
    <row r="136" spans="2:7" ht="17.45" thickBot="1">
      <c r="B136" s="436"/>
      <c r="C136" s="51" t="s">
        <v>86</v>
      </c>
      <c r="D136" s="51"/>
      <c r="E136" s="51"/>
      <c r="F136" s="51"/>
      <c r="G136" s="51"/>
    </row>
    <row r="137" spans="2:7" ht="17.45" thickBot="1">
      <c r="B137" s="436"/>
      <c r="C137" s="51" t="s">
        <v>87</v>
      </c>
      <c r="D137" s="51"/>
      <c r="E137" s="51"/>
      <c r="F137" s="51"/>
      <c r="G137" s="51"/>
    </row>
    <row r="138" spans="2:7" ht="17.45" thickBot="1">
      <c r="B138" s="436"/>
      <c r="C138" s="51" t="s">
        <v>88</v>
      </c>
      <c r="D138" s="51"/>
      <c r="E138" s="51"/>
      <c r="F138" s="51"/>
      <c r="G138" s="51"/>
    </row>
    <row r="139" spans="2:7" ht="17.45" thickBot="1">
      <c r="B139" s="46"/>
      <c r="C139" s="46"/>
      <c r="D139" s="46"/>
      <c r="E139" s="46"/>
      <c r="F139" s="54" t="s">
        <v>89</v>
      </c>
      <c r="G139" s="55">
        <f>SUM(G133:G138)</f>
        <v>4534352.7</v>
      </c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O193"/>
  <sheetViews>
    <sheetView zoomScale="55" zoomScaleNormal="55" workbookViewId="0">
      <pane xSplit="15" ySplit="2" topLeftCell="BH3" activePane="bottomRight" state="frozen"/>
      <selection pane="bottomRight" activeCell="BI137" sqref="BI137"/>
      <selection pane="bottomLeft" activeCell="A3" sqref="A3"/>
      <selection pane="topRight" activeCell="N1" sqref="N1"/>
    </sheetView>
  </sheetViews>
  <sheetFormatPr defaultColWidth="9" defaultRowHeight="14.45"/>
  <cols>
    <col min="1" max="1" width="9" style="251"/>
    <col min="2" max="2" width="9" style="59"/>
    <col min="3" max="3" width="7.5" style="1" customWidth="1"/>
    <col min="4" max="4" width="12.125" style="1" customWidth="1"/>
    <col min="5" max="5" width="11.375" style="1" customWidth="1"/>
    <col min="6" max="6" width="13.375" style="1" customWidth="1"/>
    <col min="7" max="7" width="11.125" style="1" customWidth="1"/>
    <col min="8" max="8" width="27.875" style="1" customWidth="1"/>
    <col min="9" max="9" width="11.5" style="1" customWidth="1"/>
    <col min="10" max="10" width="8.375" style="32" bestFit="1" customWidth="1"/>
    <col min="11" max="11" width="22.125" style="1" customWidth="1"/>
    <col min="12" max="12" width="13" style="1" customWidth="1"/>
    <col min="13" max="27" width="10.5" style="27" customWidth="1"/>
    <col min="28" max="28" width="12" style="27" customWidth="1"/>
    <col min="29" max="31" width="11.375" style="3" customWidth="1"/>
    <col min="32" max="40" width="11.375" style="1" customWidth="1"/>
    <col min="41" max="41" width="16.375" style="5" customWidth="1"/>
    <col min="42" max="42" width="16.375" style="6" customWidth="1"/>
    <col min="43" max="43" width="16.375" style="5" customWidth="1"/>
    <col min="44" max="44" width="16.375" style="6" customWidth="1"/>
    <col min="45" max="45" width="16.375" style="5" customWidth="1"/>
    <col min="46" max="46" width="16.375" style="6" customWidth="1"/>
    <col min="47" max="64" width="16.375" style="1" customWidth="1"/>
    <col min="65" max="16384" width="9" style="1"/>
  </cols>
  <sheetData>
    <row r="1" spans="1:67" s="2" customFormat="1" ht="86.85" customHeight="1" thickBot="1">
      <c r="A1" s="249"/>
      <c r="B1" s="57"/>
      <c r="C1" s="57"/>
      <c r="D1" s="57" t="s">
        <v>97</v>
      </c>
      <c r="E1" s="41" t="s">
        <v>98</v>
      </c>
      <c r="F1" s="8"/>
      <c r="G1" s="31" t="s">
        <v>99</v>
      </c>
      <c r="H1" s="29" t="s">
        <v>100</v>
      </c>
      <c r="I1" s="40" t="s">
        <v>101</v>
      </c>
      <c r="J1" s="40" t="s">
        <v>102</v>
      </c>
      <c r="K1" s="40" t="s">
        <v>102</v>
      </c>
      <c r="L1" s="61" t="s">
        <v>103</v>
      </c>
      <c r="M1" s="40" t="s">
        <v>104</v>
      </c>
      <c r="N1" s="40"/>
      <c r="O1" s="19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4"/>
      <c r="AD1" s="4"/>
      <c r="AE1" s="4"/>
      <c r="AO1" s="4"/>
      <c r="AP1" s="4">
        <f>SUM(AP3:AP922)</f>
        <v>632724.29</v>
      </c>
      <c r="AQ1" s="4"/>
      <c r="AR1" s="4">
        <f>SUM(AR3:AR922)</f>
        <v>1177586.97</v>
      </c>
      <c r="AS1" s="4"/>
      <c r="AT1" s="4">
        <f>SUM(AT3:AT922)</f>
        <v>780271.41999999993</v>
      </c>
      <c r="AV1" s="2">
        <f>SUM(AV3:AV922)</f>
        <v>721055.0399999998</v>
      </c>
      <c r="AX1" s="2">
        <f>SUM(AX3:AX922)</f>
        <v>1269953.19</v>
      </c>
      <c r="AZ1" s="2">
        <f>SUM(AZ3:AZ922)</f>
        <v>1100883.5599999998</v>
      </c>
      <c r="BB1" s="2">
        <f>SUM(BB3:BB922)</f>
        <v>1454500.9300000002</v>
      </c>
      <c r="BD1" s="2">
        <f>SUM(BD3:BD922)</f>
        <v>1487747.31</v>
      </c>
      <c r="BF1" s="2">
        <f>SUM(BF3:BF922)</f>
        <v>1179453.0599999998</v>
      </c>
      <c r="BH1" s="2">
        <f>SUM(BH3:BH922)</f>
        <v>1424994.8499999999</v>
      </c>
      <c r="BJ1" s="2">
        <f>SUM(BJ3:BJ922)</f>
        <v>1735007.2200000002</v>
      </c>
      <c r="BL1" s="2">
        <f>SUM(BL3:BL922)</f>
        <v>1374350.6300000001</v>
      </c>
      <c r="BO1" s="40" t="s">
        <v>326</v>
      </c>
    </row>
    <row r="2" spans="1:67" s="7" customFormat="1" ht="104.85" customHeight="1" thickBot="1">
      <c r="A2" s="151" t="s">
        <v>327</v>
      </c>
      <c r="B2" s="62" t="s">
        <v>106</v>
      </c>
      <c r="C2" s="277" t="s">
        <v>107</v>
      </c>
      <c r="D2" s="58" t="s">
        <v>108</v>
      </c>
      <c r="E2" s="9" t="s">
        <v>59</v>
      </c>
      <c r="F2" s="280" t="s">
        <v>109</v>
      </c>
      <c r="G2" s="350" t="s">
        <v>110</v>
      </c>
      <c r="H2" s="283" t="s">
        <v>111</v>
      </c>
      <c r="I2" s="284" t="s">
        <v>112</v>
      </c>
      <c r="J2" s="285" t="s">
        <v>113</v>
      </c>
      <c r="K2" s="284" t="s">
        <v>114</v>
      </c>
      <c r="L2" s="284" t="s">
        <v>115</v>
      </c>
      <c r="M2" s="286" t="s">
        <v>116</v>
      </c>
      <c r="N2" s="360" t="s">
        <v>328</v>
      </c>
      <c r="O2" s="287" t="s">
        <v>117</v>
      </c>
      <c r="P2" s="288" t="s">
        <v>118</v>
      </c>
      <c r="Q2" s="288" t="s">
        <v>119</v>
      </c>
      <c r="R2" s="288" t="s">
        <v>120</v>
      </c>
      <c r="S2" s="288" t="s">
        <v>121</v>
      </c>
      <c r="T2" s="288" t="s">
        <v>122</v>
      </c>
      <c r="U2" s="288" t="s">
        <v>123</v>
      </c>
      <c r="V2" s="288" t="s">
        <v>124</v>
      </c>
      <c r="W2" s="288" t="s">
        <v>125</v>
      </c>
      <c r="X2" s="288" t="s">
        <v>126</v>
      </c>
      <c r="Y2" s="288" t="s">
        <v>127</v>
      </c>
      <c r="Z2" s="288" t="s">
        <v>128</v>
      </c>
      <c r="AA2" s="288" t="s">
        <v>129</v>
      </c>
      <c r="AB2" s="287" t="s">
        <v>130</v>
      </c>
      <c r="AC2" s="289" t="s">
        <v>131</v>
      </c>
      <c r="AD2" s="289" t="s">
        <v>132</v>
      </c>
      <c r="AE2" s="289" t="s">
        <v>133</v>
      </c>
      <c r="AF2" s="289" t="s">
        <v>134</v>
      </c>
      <c r="AG2" s="289" t="s">
        <v>135</v>
      </c>
      <c r="AH2" s="289" t="s">
        <v>136</v>
      </c>
      <c r="AI2" s="289" t="s">
        <v>137</v>
      </c>
      <c r="AJ2" s="289" t="s">
        <v>138</v>
      </c>
      <c r="AK2" s="289" t="s">
        <v>139</v>
      </c>
      <c r="AL2" s="289" t="s">
        <v>140</v>
      </c>
      <c r="AM2" s="289" t="s">
        <v>141</v>
      </c>
      <c r="AN2" s="289" t="s">
        <v>142</v>
      </c>
      <c r="AO2" s="290" t="s">
        <v>143</v>
      </c>
      <c r="AP2" s="291" t="s">
        <v>144</v>
      </c>
      <c r="AQ2" s="290" t="s">
        <v>145</v>
      </c>
      <c r="AR2" s="291" t="s">
        <v>146</v>
      </c>
      <c r="AS2" s="291" t="s">
        <v>147</v>
      </c>
      <c r="AT2" s="291" t="s">
        <v>148</v>
      </c>
      <c r="AU2" s="292" t="s">
        <v>149</v>
      </c>
      <c r="AV2" s="293" t="s">
        <v>150</v>
      </c>
      <c r="AW2" s="292" t="s">
        <v>151</v>
      </c>
      <c r="AX2" s="293" t="s">
        <v>152</v>
      </c>
      <c r="AY2" s="293" t="s">
        <v>153</v>
      </c>
      <c r="AZ2" s="293" t="s">
        <v>154</v>
      </c>
      <c r="BA2" s="294" t="s">
        <v>155</v>
      </c>
      <c r="BB2" s="295" t="s">
        <v>156</v>
      </c>
      <c r="BC2" s="294" t="s">
        <v>157</v>
      </c>
      <c r="BD2" s="295" t="s">
        <v>158</v>
      </c>
      <c r="BE2" s="295" t="s">
        <v>159</v>
      </c>
      <c r="BF2" s="295" t="s">
        <v>160</v>
      </c>
      <c r="BG2" s="296" t="s">
        <v>161</v>
      </c>
      <c r="BH2" s="297" t="s">
        <v>162</v>
      </c>
      <c r="BI2" s="296" t="s">
        <v>163</v>
      </c>
      <c r="BJ2" s="297" t="s">
        <v>164</v>
      </c>
      <c r="BK2" s="297" t="s">
        <v>165</v>
      </c>
      <c r="BL2" s="297" t="s">
        <v>166</v>
      </c>
      <c r="BM2" s="279" t="s">
        <v>167</v>
      </c>
      <c r="BN2" s="279" t="s">
        <v>168</v>
      </c>
      <c r="BO2" s="279" t="s">
        <v>329</v>
      </c>
    </row>
    <row r="3" spans="1:67" ht="17.25" hidden="1" customHeight="1">
      <c r="A3" s="250" t="s">
        <v>330</v>
      </c>
      <c r="C3" s="354"/>
      <c r="D3" s="423" t="s">
        <v>169</v>
      </c>
      <c r="E3" s="356"/>
      <c r="F3" s="426">
        <v>200</v>
      </c>
      <c r="G3" s="319"/>
      <c r="H3" s="298"/>
      <c r="I3" s="298"/>
      <c r="J3" s="299"/>
      <c r="K3" s="298"/>
      <c r="L3" s="298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1"/>
      <c r="AE3" s="301"/>
      <c r="AF3" s="59"/>
      <c r="AG3" s="59"/>
      <c r="AH3" s="59"/>
      <c r="AI3" s="59"/>
      <c r="AJ3" s="59"/>
      <c r="AK3" s="59"/>
      <c r="AL3" s="59"/>
      <c r="AM3" s="59"/>
      <c r="AN3" s="59"/>
      <c r="AO3" s="255"/>
      <c r="AP3" s="254">
        <f>AC3*AO3</f>
        <v>0</v>
      </c>
      <c r="AQ3" s="255"/>
      <c r="AR3" s="254">
        <f>AD3*AQ3</f>
        <v>0</v>
      </c>
      <c r="AS3" s="255"/>
      <c r="AT3" s="254">
        <f>AE3*AS3</f>
        <v>0</v>
      </c>
      <c r="AU3" s="256"/>
      <c r="AV3" s="257">
        <f>AF3*AU3</f>
        <v>0</v>
      </c>
      <c r="AW3" s="59"/>
      <c r="AX3" s="257">
        <f>AG3*AW3</f>
        <v>0</v>
      </c>
      <c r="AY3" s="59"/>
      <c r="AZ3" s="257">
        <f>AH3*AY3</f>
        <v>0</v>
      </c>
      <c r="BA3" s="59"/>
      <c r="BB3" s="257">
        <f>AI3*BA3</f>
        <v>0</v>
      </c>
      <c r="BC3" s="59"/>
      <c r="BD3" s="257">
        <f>AJ3*BC3</f>
        <v>0</v>
      </c>
      <c r="BE3" s="59"/>
      <c r="BF3" s="257">
        <f>AK3*BE3</f>
        <v>0</v>
      </c>
      <c r="BG3" s="59"/>
      <c r="BH3" s="257">
        <f>AL3*BG3</f>
        <v>0</v>
      </c>
      <c r="BI3" s="59"/>
      <c r="BJ3" s="257">
        <f>AM3*BI3</f>
        <v>0</v>
      </c>
      <c r="BK3" s="59"/>
      <c r="BL3" s="257">
        <f>AN3*BK3</f>
        <v>0</v>
      </c>
    </row>
    <row r="4" spans="1:67" ht="17.25" hidden="1" customHeight="1">
      <c r="A4" s="250" t="s">
        <v>330</v>
      </c>
      <c r="C4" s="354"/>
      <c r="D4" s="424"/>
      <c r="E4" s="357"/>
      <c r="F4" s="427"/>
      <c r="G4" s="59"/>
      <c r="H4" s="59"/>
      <c r="I4" s="59"/>
      <c r="J4" s="302"/>
      <c r="K4" s="59"/>
      <c r="L4" s="59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4"/>
      <c r="AE4" s="304"/>
      <c r="AF4" s="59"/>
      <c r="AG4" s="59"/>
      <c r="AH4" s="59"/>
      <c r="AI4" s="59"/>
      <c r="AJ4" s="59"/>
      <c r="AK4" s="59"/>
      <c r="AL4" s="59"/>
      <c r="AM4" s="59"/>
      <c r="AN4" s="59"/>
      <c r="AO4" s="255"/>
      <c r="AP4" s="254">
        <f t="shared" ref="AP4:AP55" si="0">AC4*AO4</f>
        <v>0</v>
      </c>
      <c r="AQ4" s="255"/>
      <c r="AR4" s="254">
        <f t="shared" ref="AR4:AR55" si="1">AD4*AQ4</f>
        <v>0</v>
      </c>
      <c r="AS4" s="261"/>
      <c r="AT4" s="254">
        <f t="shared" ref="AT4:AT55" si="2">AE4*AS4</f>
        <v>0</v>
      </c>
      <c r="AU4" s="256"/>
      <c r="AV4" s="257">
        <f t="shared" ref="AV4:AV55" si="3">AF4*AU4</f>
        <v>0</v>
      </c>
      <c r="AW4" s="59"/>
      <c r="AX4" s="257">
        <f t="shared" ref="AX4:AX55" si="4">AG4*AW4</f>
        <v>0</v>
      </c>
      <c r="AY4" s="59"/>
      <c r="AZ4" s="257">
        <f t="shared" ref="AZ4:AZ55" si="5">AH4*AY4</f>
        <v>0</v>
      </c>
      <c r="BA4" s="59"/>
      <c r="BB4" s="257">
        <f t="shared" ref="BB4:BB55" si="6">AI4*BA4</f>
        <v>0</v>
      </c>
      <c r="BC4" s="59"/>
      <c r="BD4" s="257">
        <f t="shared" ref="BD4:BD55" si="7">AJ4*BC4</f>
        <v>0</v>
      </c>
      <c r="BE4" s="59"/>
      <c r="BF4" s="257">
        <f t="shared" ref="BF4:BF55" si="8">AK4*BE4</f>
        <v>0</v>
      </c>
      <c r="BG4" s="59"/>
      <c r="BH4" s="257">
        <f t="shared" ref="BH4:BH55" si="9">AL4*BG4</f>
        <v>0</v>
      </c>
      <c r="BI4" s="59"/>
      <c r="BJ4" s="257">
        <f t="shared" ref="BJ4:BJ55" si="10">AM4*BI4</f>
        <v>0</v>
      </c>
      <c r="BK4" s="59"/>
      <c r="BL4" s="257">
        <f t="shared" ref="BL4:BL55" si="11">AN4*BK4</f>
        <v>0</v>
      </c>
    </row>
    <row r="5" spans="1:67" ht="15" hidden="1" customHeight="1">
      <c r="A5" s="250" t="s">
        <v>330</v>
      </c>
      <c r="C5" s="354"/>
      <c r="D5" s="424"/>
      <c r="E5" s="357"/>
      <c r="F5" s="427"/>
      <c r="G5" s="59"/>
      <c r="H5" s="59"/>
      <c r="I5" s="59"/>
      <c r="J5" s="302"/>
      <c r="K5" s="59"/>
      <c r="L5" s="59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1"/>
      <c r="AD5" s="301"/>
      <c r="AE5" s="301"/>
      <c r="AF5" s="59"/>
      <c r="AG5" s="59"/>
      <c r="AH5" s="59"/>
      <c r="AI5" s="59"/>
      <c r="AJ5" s="59"/>
      <c r="AK5" s="59"/>
      <c r="AL5" s="59"/>
      <c r="AM5" s="59"/>
      <c r="AN5" s="59"/>
      <c r="AO5" s="255"/>
      <c r="AP5" s="254">
        <f t="shared" si="0"/>
        <v>0</v>
      </c>
      <c r="AQ5" s="255"/>
      <c r="AR5" s="254">
        <f t="shared" si="1"/>
        <v>0</v>
      </c>
      <c r="AS5" s="255"/>
      <c r="AT5" s="254">
        <f t="shared" si="2"/>
        <v>0</v>
      </c>
      <c r="AU5" s="256"/>
      <c r="AV5" s="257">
        <f t="shared" si="3"/>
        <v>0</v>
      </c>
      <c r="AW5" s="59"/>
      <c r="AX5" s="257">
        <f t="shared" si="4"/>
        <v>0</v>
      </c>
      <c r="AY5" s="59"/>
      <c r="AZ5" s="257">
        <f t="shared" si="5"/>
        <v>0</v>
      </c>
      <c r="BA5" s="59"/>
      <c r="BB5" s="257">
        <f t="shared" si="6"/>
        <v>0</v>
      </c>
      <c r="BC5" s="59"/>
      <c r="BD5" s="257">
        <f t="shared" si="7"/>
        <v>0</v>
      </c>
      <c r="BE5" s="59"/>
      <c r="BF5" s="257">
        <f t="shared" si="8"/>
        <v>0</v>
      </c>
      <c r="BG5" s="59"/>
      <c r="BH5" s="257">
        <f t="shared" si="9"/>
        <v>0</v>
      </c>
      <c r="BI5" s="59"/>
      <c r="BJ5" s="257">
        <f t="shared" si="10"/>
        <v>0</v>
      </c>
      <c r="BK5" s="59"/>
      <c r="BL5" s="257">
        <f t="shared" si="11"/>
        <v>0</v>
      </c>
    </row>
    <row r="6" spans="1:67" ht="17.25" customHeight="1">
      <c r="A6" s="250" t="s">
        <v>330</v>
      </c>
      <c r="B6" s="59" t="s">
        <v>331</v>
      </c>
      <c r="C6" s="354" t="s">
        <v>172</v>
      </c>
      <c r="D6" s="424"/>
      <c r="E6" s="357" t="s">
        <v>332</v>
      </c>
      <c r="F6" s="428" t="s">
        <v>333</v>
      </c>
      <c r="G6" s="317">
        <v>2024</v>
      </c>
      <c r="H6" s="298" t="s">
        <v>334</v>
      </c>
      <c r="I6" s="315" t="s">
        <v>175</v>
      </c>
      <c r="J6" s="316">
        <v>16</v>
      </c>
      <c r="K6" s="298" t="s">
        <v>335</v>
      </c>
      <c r="L6" s="298" t="s">
        <v>336</v>
      </c>
      <c r="M6" s="300" t="s">
        <v>337</v>
      </c>
      <c r="N6" s="300">
        <v>3.25</v>
      </c>
      <c r="O6" s="300">
        <v>4.43</v>
      </c>
      <c r="P6" s="300">
        <v>4.5199999999999996</v>
      </c>
      <c r="Q6" s="300">
        <v>4.5199999999999996</v>
      </c>
      <c r="R6" s="300">
        <v>4.5199999999999996</v>
      </c>
      <c r="S6" s="300">
        <v>4.5199999999999996</v>
      </c>
      <c r="T6" s="300">
        <v>4.5199999999999996</v>
      </c>
      <c r="U6" s="300">
        <v>4.5199999999999996</v>
      </c>
      <c r="V6" s="300">
        <v>4.43</v>
      </c>
      <c r="W6" s="300">
        <v>4.43</v>
      </c>
      <c r="X6" s="300">
        <v>4.43</v>
      </c>
      <c r="Y6" s="300">
        <v>4.43</v>
      </c>
      <c r="Z6" s="300">
        <v>4.43</v>
      </c>
      <c r="AA6" s="300">
        <v>4.43</v>
      </c>
      <c r="AB6" s="301">
        <v>1.18</v>
      </c>
      <c r="AC6" s="301">
        <v>1.27</v>
      </c>
      <c r="AD6" s="301">
        <v>1.27</v>
      </c>
      <c r="AE6" s="301">
        <v>1.27</v>
      </c>
      <c r="AF6" s="301">
        <v>1.27</v>
      </c>
      <c r="AG6" s="301">
        <v>1.27</v>
      </c>
      <c r="AH6" s="301">
        <v>1.27</v>
      </c>
      <c r="AI6" s="301">
        <v>1.18</v>
      </c>
      <c r="AJ6" s="301">
        <v>1.18</v>
      </c>
      <c r="AK6" s="301">
        <v>1.18</v>
      </c>
      <c r="AL6" s="301">
        <v>1.18</v>
      </c>
      <c r="AM6" s="301">
        <v>1.18</v>
      </c>
      <c r="AN6" s="301">
        <v>1.18</v>
      </c>
      <c r="AO6" s="255"/>
      <c r="AP6" s="254">
        <f t="shared" si="0"/>
        <v>0</v>
      </c>
      <c r="AQ6" s="255"/>
      <c r="AR6" s="254">
        <f t="shared" si="1"/>
        <v>0</v>
      </c>
      <c r="AS6" s="255"/>
      <c r="AT6" s="254">
        <f t="shared" si="2"/>
        <v>0</v>
      </c>
      <c r="AU6" s="256"/>
      <c r="AV6" s="257">
        <f t="shared" si="3"/>
        <v>0</v>
      </c>
      <c r="AW6" s="59"/>
      <c r="AX6" s="257">
        <f t="shared" si="4"/>
        <v>0</v>
      </c>
      <c r="AY6" s="256">
        <v>680</v>
      </c>
      <c r="AZ6" s="257">
        <f t="shared" si="5"/>
        <v>863.6</v>
      </c>
      <c r="BA6" s="256">
        <v>7200</v>
      </c>
      <c r="BB6" s="257">
        <f t="shared" si="6"/>
        <v>8496</v>
      </c>
      <c r="BC6" s="268">
        <v>10800</v>
      </c>
      <c r="BD6" s="257">
        <f t="shared" si="7"/>
        <v>12744</v>
      </c>
      <c r="BE6" s="256">
        <v>4160</v>
      </c>
      <c r="BF6" s="257">
        <f t="shared" si="8"/>
        <v>4908.8</v>
      </c>
      <c r="BG6" s="256">
        <v>11640</v>
      </c>
      <c r="BH6" s="257">
        <f t="shared" si="9"/>
        <v>13735.199999999999</v>
      </c>
      <c r="BI6" s="256">
        <v>11240</v>
      </c>
      <c r="BJ6" s="257">
        <f t="shared" si="10"/>
        <v>13263.199999999999</v>
      </c>
      <c r="BK6" s="256">
        <v>13919</v>
      </c>
      <c r="BL6" s="257">
        <f t="shared" si="11"/>
        <v>16424.419999999998</v>
      </c>
    </row>
    <row r="7" spans="1:67" ht="17.25" customHeight="1">
      <c r="A7" s="250" t="s">
        <v>330</v>
      </c>
      <c r="B7" s="59" t="s">
        <v>331</v>
      </c>
      <c r="C7" s="354" t="s">
        <v>172</v>
      </c>
      <c r="D7" s="424"/>
      <c r="E7" s="357" t="s">
        <v>332</v>
      </c>
      <c r="F7" s="427"/>
      <c r="G7" s="317">
        <v>2024</v>
      </c>
      <c r="H7" s="59" t="s">
        <v>334</v>
      </c>
      <c r="I7" s="315" t="s">
        <v>249</v>
      </c>
      <c r="J7" s="316">
        <v>16</v>
      </c>
      <c r="K7" s="298" t="s">
        <v>335</v>
      </c>
      <c r="L7" s="298" t="s">
        <v>336</v>
      </c>
      <c r="M7" s="300" t="s">
        <v>337</v>
      </c>
      <c r="N7" s="303">
        <v>8.99</v>
      </c>
      <c r="O7" s="303">
        <v>13.63</v>
      </c>
      <c r="P7" s="303">
        <v>15.58</v>
      </c>
      <c r="Q7" s="303">
        <v>15.58</v>
      </c>
      <c r="R7" s="303">
        <v>15.58</v>
      </c>
      <c r="S7" s="303">
        <v>15.58</v>
      </c>
      <c r="T7" s="303">
        <v>15.58</v>
      </c>
      <c r="U7" s="303">
        <v>15.58</v>
      </c>
      <c r="V7" s="303">
        <v>13.63</v>
      </c>
      <c r="W7" s="303">
        <v>13.63</v>
      </c>
      <c r="X7" s="303">
        <v>13.63</v>
      </c>
      <c r="Y7" s="303">
        <v>13.63</v>
      </c>
      <c r="Z7" s="303">
        <v>13.63</v>
      </c>
      <c r="AA7" s="303">
        <v>13.63</v>
      </c>
      <c r="AB7" s="304">
        <v>4.6399999999999997</v>
      </c>
      <c r="AC7" s="304">
        <v>6.59</v>
      </c>
      <c r="AD7" s="304">
        <v>6.59</v>
      </c>
      <c r="AE7" s="304">
        <v>6.59</v>
      </c>
      <c r="AF7" s="304">
        <v>6.59</v>
      </c>
      <c r="AG7" s="304">
        <v>6.59</v>
      </c>
      <c r="AH7" s="304">
        <v>6.59</v>
      </c>
      <c r="AI7" s="304">
        <v>4.6399999999999997</v>
      </c>
      <c r="AJ7" s="304">
        <v>4.6399999999999997</v>
      </c>
      <c r="AK7" s="304">
        <v>4.6399999999999997</v>
      </c>
      <c r="AL7" s="304">
        <v>4.6399999999999997</v>
      </c>
      <c r="AM7" s="304">
        <v>4.6399999999999997</v>
      </c>
      <c r="AN7" s="304">
        <v>4.6399999999999997</v>
      </c>
      <c r="AO7" s="255"/>
      <c r="AP7" s="254">
        <f t="shared" si="0"/>
        <v>0</v>
      </c>
      <c r="AQ7" s="255"/>
      <c r="AR7" s="254">
        <f t="shared" si="1"/>
        <v>0</v>
      </c>
      <c r="AS7" s="261"/>
      <c r="AT7" s="254">
        <f t="shared" si="2"/>
        <v>0</v>
      </c>
      <c r="AU7" s="256"/>
      <c r="AV7" s="257">
        <f t="shared" si="3"/>
        <v>0</v>
      </c>
      <c r="AW7" s="59"/>
      <c r="AX7" s="257">
        <f t="shared" si="4"/>
        <v>0</v>
      </c>
      <c r="AY7" s="256">
        <v>13680</v>
      </c>
      <c r="AZ7" s="257">
        <f t="shared" si="5"/>
        <v>90151.2</v>
      </c>
      <c r="BA7" s="256">
        <v>32080</v>
      </c>
      <c r="BB7" s="257">
        <f t="shared" si="6"/>
        <v>148851.19999999998</v>
      </c>
      <c r="BC7" s="268">
        <v>53320</v>
      </c>
      <c r="BD7" s="257">
        <f t="shared" si="7"/>
        <v>247404.79999999999</v>
      </c>
      <c r="BE7" s="256">
        <v>22680</v>
      </c>
      <c r="BF7" s="257">
        <f t="shared" si="8"/>
        <v>105235.2</v>
      </c>
      <c r="BG7" s="256">
        <v>20400</v>
      </c>
      <c r="BH7" s="257">
        <f t="shared" si="9"/>
        <v>94656</v>
      </c>
      <c r="BI7" s="256">
        <v>42040</v>
      </c>
      <c r="BJ7" s="257">
        <f t="shared" si="10"/>
        <v>195065.59999999998</v>
      </c>
      <c r="BK7" s="256">
        <v>46357</v>
      </c>
      <c r="BL7" s="257">
        <f t="shared" si="11"/>
        <v>215096.47999999998</v>
      </c>
    </row>
    <row r="8" spans="1:67" ht="15" customHeight="1">
      <c r="A8" s="250" t="s">
        <v>330</v>
      </c>
      <c r="C8" s="354"/>
      <c r="D8" s="424"/>
      <c r="E8" s="357"/>
      <c r="F8" s="427"/>
      <c r="G8" s="59"/>
      <c r="H8" s="59"/>
      <c r="I8" s="59"/>
      <c r="J8" s="302"/>
      <c r="K8" s="59"/>
      <c r="L8" s="59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4"/>
      <c r="AD8" s="304"/>
      <c r="AE8" s="304"/>
      <c r="AF8" s="59"/>
      <c r="AG8" s="59"/>
      <c r="AH8" s="59"/>
      <c r="AI8" s="59"/>
      <c r="AJ8" s="59"/>
      <c r="AK8" s="59"/>
      <c r="AL8" s="59"/>
      <c r="AM8" s="59"/>
      <c r="AN8" s="59"/>
      <c r="AO8" s="255"/>
      <c r="AP8" s="254">
        <f t="shared" si="0"/>
        <v>0</v>
      </c>
      <c r="AQ8" s="255"/>
      <c r="AR8" s="254">
        <f t="shared" si="1"/>
        <v>0</v>
      </c>
      <c r="AS8" s="255"/>
      <c r="AT8" s="254">
        <f t="shared" si="2"/>
        <v>0</v>
      </c>
      <c r="AU8" s="256"/>
      <c r="AV8" s="257">
        <f t="shared" si="3"/>
        <v>0</v>
      </c>
      <c r="AW8" s="59"/>
      <c r="AX8" s="257">
        <f t="shared" si="4"/>
        <v>0</v>
      </c>
      <c r="AY8" s="59"/>
      <c r="AZ8" s="257">
        <f t="shared" si="5"/>
        <v>0</v>
      </c>
      <c r="BA8" s="256"/>
      <c r="BB8" s="257">
        <f t="shared" si="6"/>
        <v>0</v>
      </c>
      <c r="BC8" s="268"/>
      <c r="BD8" s="257">
        <f t="shared" si="7"/>
        <v>0</v>
      </c>
      <c r="BE8" s="59"/>
      <c r="BF8" s="257">
        <f t="shared" si="8"/>
        <v>0</v>
      </c>
      <c r="BG8" s="59"/>
      <c r="BH8" s="257">
        <f t="shared" si="9"/>
        <v>0</v>
      </c>
      <c r="BI8" s="256"/>
      <c r="BJ8" s="257">
        <f t="shared" si="10"/>
        <v>0</v>
      </c>
      <c r="BK8" s="59"/>
      <c r="BL8" s="257">
        <f t="shared" si="11"/>
        <v>0</v>
      </c>
    </row>
    <row r="9" spans="1:67" ht="15" customHeight="1">
      <c r="A9" s="250" t="s">
        <v>330</v>
      </c>
      <c r="C9" s="354"/>
      <c r="D9" s="424"/>
      <c r="E9" s="357"/>
      <c r="F9" s="427"/>
      <c r="G9" s="59"/>
      <c r="H9" s="59"/>
      <c r="I9" s="59"/>
      <c r="J9" s="302"/>
      <c r="K9" s="59"/>
      <c r="L9" s="59"/>
      <c r="M9" s="303"/>
      <c r="N9" s="303"/>
      <c r="O9" s="303"/>
      <c r="P9" s="303"/>
      <c r="Q9" s="303"/>
      <c r="R9" s="303"/>
      <c r="S9" s="303"/>
      <c r="T9" s="303"/>
      <c r="U9" s="303"/>
      <c r="V9" s="303"/>
      <c r="W9" s="303"/>
      <c r="X9" s="303"/>
      <c r="Y9" s="303"/>
      <c r="Z9" s="303"/>
      <c r="AA9" s="303"/>
      <c r="AB9" s="303"/>
      <c r="AC9" s="304"/>
      <c r="AD9" s="304"/>
      <c r="AE9" s="304"/>
      <c r="AF9" s="59"/>
      <c r="AG9" s="59"/>
      <c r="AH9" s="59"/>
      <c r="AI9" s="59"/>
      <c r="AJ9" s="59"/>
      <c r="AK9" s="59"/>
      <c r="AL9" s="59"/>
      <c r="AM9" s="59"/>
      <c r="AN9" s="59"/>
      <c r="AO9" s="255"/>
      <c r="AP9" s="254">
        <f t="shared" si="0"/>
        <v>0</v>
      </c>
      <c r="AQ9" s="255"/>
      <c r="AR9" s="254">
        <f t="shared" si="1"/>
        <v>0</v>
      </c>
      <c r="AS9" s="255"/>
      <c r="AT9" s="254">
        <f t="shared" si="2"/>
        <v>0</v>
      </c>
      <c r="AU9" s="256"/>
      <c r="AV9" s="257">
        <f t="shared" si="3"/>
        <v>0</v>
      </c>
      <c r="AW9" s="59"/>
      <c r="AX9" s="257">
        <f t="shared" si="4"/>
        <v>0</v>
      </c>
      <c r="AY9" s="59"/>
      <c r="AZ9" s="257">
        <f t="shared" si="5"/>
        <v>0</v>
      </c>
      <c r="BA9" s="256"/>
      <c r="BB9" s="257">
        <f t="shared" si="6"/>
        <v>0</v>
      </c>
      <c r="BC9" s="268"/>
      <c r="BD9" s="257">
        <f t="shared" si="7"/>
        <v>0</v>
      </c>
      <c r="BE9" s="59"/>
      <c r="BF9" s="257">
        <f t="shared" si="8"/>
        <v>0</v>
      </c>
      <c r="BG9" s="59"/>
      <c r="BH9" s="257">
        <f t="shared" si="9"/>
        <v>0</v>
      </c>
      <c r="BI9" s="256"/>
      <c r="BJ9" s="257">
        <f t="shared" si="10"/>
        <v>0</v>
      </c>
      <c r="BK9" s="59"/>
      <c r="BL9" s="257">
        <f t="shared" si="11"/>
        <v>0</v>
      </c>
    </row>
    <row r="10" spans="1:67" ht="15" customHeight="1">
      <c r="A10" s="250" t="s">
        <v>330</v>
      </c>
      <c r="C10" s="354"/>
      <c r="D10" s="424"/>
      <c r="E10" s="357"/>
      <c r="F10" s="427"/>
      <c r="G10" s="59"/>
      <c r="H10" s="59"/>
      <c r="I10" s="59"/>
      <c r="J10" s="302"/>
      <c r="K10" s="59"/>
      <c r="L10" s="59"/>
      <c r="M10" s="303"/>
      <c r="N10" s="303"/>
      <c r="O10" s="303"/>
      <c r="P10" s="303"/>
      <c r="Q10" s="303"/>
      <c r="R10" s="303"/>
      <c r="S10" s="303"/>
      <c r="T10" s="303"/>
      <c r="U10" s="303"/>
      <c r="V10" s="303"/>
      <c r="W10" s="303"/>
      <c r="X10" s="303"/>
      <c r="Y10" s="303"/>
      <c r="Z10" s="303"/>
      <c r="AA10" s="303"/>
      <c r="AB10" s="303"/>
      <c r="AC10" s="304"/>
      <c r="AD10" s="304"/>
      <c r="AE10" s="304"/>
      <c r="AF10" s="59"/>
      <c r="AG10" s="59"/>
      <c r="AH10" s="59"/>
      <c r="AI10" s="59"/>
      <c r="AJ10" s="59"/>
      <c r="AK10" s="59"/>
      <c r="AL10" s="59"/>
      <c r="AM10" s="59"/>
      <c r="AN10" s="59"/>
      <c r="AO10" s="255"/>
      <c r="AP10" s="254">
        <f t="shared" si="0"/>
        <v>0</v>
      </c>
      <c r="AQ10" s="255"/>
      <c r="AR10" s="254">
        <f t="shared" si="1"/>
        <v>0</v>
      </c>
      <c r="AS10" s="255"/>
      <c r="AT10" s="254">
        <f t="shared" si="2"/>
        <v>0</v>
      </c>
      <c r="AU10" s="256"/>
      <c r="AV10" s="257">
        <f t="shared" si="3"/>
        <v>0</v>
      </c>
      <c r="AW10" s="59"/>
      <c r="AX10" s="257">
        <f t="shared" si="4"/>
        <v>0</v>
      </c>
      <c r="AY10" s="59"/>
      <c r="AZ10" s="257">
        <f t="shared" si="5"/>
        <v>0</v>
      </c>
      <c r="BA10" s="256"/>
      <c r="BB10" s="257">
        <f t="shared" si="6"/>
        <v>0</v>
      </c>
      <c r="BC10" s="268"/>
      <c r="BD10" s="257">
        <f t="shared" si="7"/>
        <v>0</v>
      </c>
      <c r="BE10" s="59"/>
      <c r="BF10" s="257">
        <f t="shared" si="8"/>
        <v>0</v>
      </c>
      <c r="BG10" s="59"/>
      <c r="BH10" s="257">
        <f t="shared" si="9"/>
        <v>0</v>
      </c>
      <c r="BI10" s="256"/>
      <c r="BJ10" s="257">
        <f t="shared" si="10"/>
        <v>0</v>
      </c>
      <c r="BK10" s="59"/>
      <c r="BL10" s="257">
        <f t="shared" si="11"/>
        <v>0</v>
      </c>
    </row>
    <row r="11" spans="1:67" ht="15" customHeight="1">
      <c r="A11" s="250" t="s">
        <v>330</v>
      </c>
      <c r="C11" s="354"/>
      <c r="D11" s="424"/>
      <c r="E11" s="357"/>
      <c r="F11" s="427"/>
      <c r="G11" s="59"/>
      <c r="H11" s="59"/>
      <c r="I11" s="59"/>
      <c r="J11" s="302"/>
      <c r="K11" s="59"/>
      <c r="L11" s="59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1"/>
      <c r="AD11" s="301"/>
      <c r="AE11" s="301"/>
      <c r="AF11" s="59"/>
      <c r="AG11" s="59"/>
      <c r="AH11" s="59"/>
      <c r="AI11" s="59"/>
      <c r="AJ11" s="59"/>
      <c r="AK11" s="59"/>
      <c r="AL11" s="59"/>
      <c r="AM11" s="59"/>
      <c r="AN11" s="59"/>
      <c r="AO11" s="255"/>
      <c r="AP11" s="254">
        <f t="shared" si="0"/>
        <v>0</v>
      </c>
      <c r="AQ11" s="255"/>
      <c r="AR11" s="254">
        <f t="shared" si="1"/>
        <v>0</v>
      </c>
      <c r="AS11" s="255"/>
      <c r="AT11" s="254">
        <f t="shared" si="2"/>
        <v>0</v>
      </c>
      <c r="AU11" s="256"/>
      <c r="AV11" s="257">
        <f t="shared" si="3"/>
        <v>0</v>
      </c>
      <c r="AW11" s="59"/>
      <c r="AX11" s="257">
        <f t="shared" si="4"/>
        <v>0</v>
      </c>
      <c r="AY11" s="59"/>
      <c r="AZ11" s="257">
        <f t="shared" si="5"/>
        <v>0</v>
      </c>
      <c r="BA11" s="256"/>
      <c r="BB11" s="257">
        <f t="shared" si="6"/>
        <v>0</v>
      </c>
      <c r="BC11" s="268"/>
      <c r="BD11" s="257">
        <f t="shared" si="7"/>
        <v>0</v>
      </c>
      <c r="BE11" s="59"/>
      <c r="BF11" s="257">
        <f t="shared" si="8"/>
        <v>0</v>
      </c>
      <c r="BG11" s="59"/>
      <c r="BH11" s="257">
        <f t="shared" si="9"/>
        <v>0</v>
      </c>
      <c r="BI11" s="256"/>
      <c r="BJ11" s="257">
        <f t="shared" si="10"/>
        <v>0</v>
      </c>
      <c r="BK11" s="59"/>
      <c r="BL11" s="257">
        <f t="shared" si="11"/>
        <v>0</v>
      </c>
    </row>
    <row r="12" spans="1:67" ht="15" customHeight="1">
      <c r="A12" s="250" t="s">
        <v>330</v>
      </c>
      <c r="C12" s="354"/>
      <c r="D12" s="424"/>
      <c r="E12" s="357"/>
      <c r="F12" s="427"/>
      <c r="G12" s="59"/>
      <c r="H12" s="59"/>
      <c r="I12" s="59"/>
      <c r="J12" s="302"/>
      <c r="K12" s="59"/>
      <c r="L12" s="59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1"/>
      <c r="AD12" s="301"/>
      <c r="AE12" s="301"/>
      <c r="AF12" s="59"/>
      <c r="AG12" s="59"/>
      <c r="AH12" s="59"/>
      <c r="AI12" s="59"/>
      <c r="AJ12" s="59"/>
      <c r="AK12" s="59"/>
      <c r="AL12" s="59"/>
      <c r="AM12" s="59"/>
      <c r="AN12" s="59"/>
      <c r="AO12" s="255"/>
      <c r="AP12" s="254">
        <f t="shared" si="0"/>
        <v>0</v>
      </c>
      <c r="AQ12" s="255"/>
      <c r="AR12" s="254">
        <f t="shared" si="1"/>
        <v>0</v>
      </c>
      <c r="AS12" s="255"/>
      <c r="AT12" s="254">
        <f t="shared" si="2"/>
        <v>0</v>
      </c>
      <c r="AU12" s="256"/>
      <c r="AV12" s="257">
        <f t="shared" si="3"/>
        <v>0</v>
      </c>
      <c r="AW12" s="59"/>
      <c r="AX12" s="257">
        <f t="shared" si="4"/>
        <v>0</v>
      </c>
      <c r="AY12" s="59"/>
      <c r="AZ12" s="257">
        <f t="shared" si="5"/>
        <v>0</v>
      </c>
      <c r="BA12" s="256"/>
      <c r="BB12" s="257">
        <f t="shared" si="6"/>
        <v>0</v>
      </c>
      <c r="BC12" s="268"/>
      <c r="BD12" s="257">
        <f t="shared" si="7"/>
        <v>0</v>
      </c>
      <c r="BE12" s="59"/>
      <c r="BF12" s="257">
        <f t="shared" si="8"/>
        <v>0</v>
      </c>
      <c r="BG12" s="59"/>
      <c r="BH12" s="257">
        <f t="shared" si="9"/>
        <v>0</v>
      </c>
      <c r="BI12" s="256"/>
      <c r="BJ12" s="257">
        <f t="shared" si="10"/>
        <v>0</v>
      </c>
      <c r="BK12" s="59"/>
      <c r="BL12" s="257">
        <f t="shared" si="11"/>
        <v>0</v>
      </c>
    </row>
    <row r="13" spans="1:67" ht="15" customHeight="1">
      <c r="A13" s="250" t="s">
        <v>330</v>
      </c>
      <c r="C13" s="354"/>
      <c r="D13" s="424"/>
      <c r="E13" s="357"/>
      <c r="F13" s="427"/>
      <c r="G13" s="59"/>
      <c r="H13" s="59"/>
      <c r="I13" s="59"/>
      <c r="J13" s="302"/>
      <c r="K13" s="59"/>
      <c r="L13" s="59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1"/>
      <c r="AD13" s="301"/>
      <c r="AE13" s="301"/>
      <c r="AF13" s="59"/>
      <c r="AG13" s="59"/>
      <c r="AH13" s="59"/>
      <c r="AI13" s="59"/>
      <c r="AJ13" s="59"/>
      <c r="AK13" s="59"/>
      <c r="AL13" s="59"/>
      <c r="AM13" s="59"/>
      <c r="AN13" s="59"/>
      <c r="AO13" s="255"/>
      <c r="AP13" s="254">
        <f t="shared" si="0"/>
        <v>0</v>
      </c>
      <c r="AQ13" s="255"/>
      <c r="AR13" s="254">
        <f t="shared" si="1"/>
        <v>0</v>
      </c>
      <c r="AS13" s="255"/>
      <c r="AT13" s="254">
        <f t="shared" si="2"/>
        <v>0</v>
      </c>
      <c r="AU13" s="256"/>
      <c r="AV13" s="257">
        <f t="shared" si="3"/>
        <v>0</v>
      </c>
      <c r="AW13" s="59"/>
      <c r="AX13" s="257">
        <f t="shared" si="4"/>
        <v>0</v>
      </c>
      <c r="AY13" s="59"/>
      <c r="AZ13" s="257">
        <f t="shared" si="5"/>
        <v>0</v>
      </c>
      <c r="BA13" s="256"/>
      <c r="BB13" s="257">
        <f t="shared" si="6"/>
        <v>0</v>
      </c>
      <c r="BC13" s="268"/>
      <c r="BD13" s="257">
        <f t="shared" si="7"/>
        <v>0</v>
      </c>
      <c r="BE13" s="59"/>
      <c r="BF13" s="257">
        <f t="shared" si="8"/>
        <v>0</v>
      </c>
      <c r="BG13" s="59"/>
      <c r="BH13" s="257">
        <f t="shared" si="9"/>
        <v>0</v>
      </c>
      <c r="BI13" s="256"/>
      <c r="BJ13" s="257">
        <f t="shared" si="10"/>
        <v>0</v>
      </c>
      <c r="BK13" s="59"/>
      <c r="BL13" s="257">
        <f t="shared" si="11"/>
        <v>0</v>
      </c>
    </row>
    <row r="14" spans="1:67" ht="17.25" hidden="1" customHeight="1">
      <c r="A14" s="250" t="s">
        <v>330</v>
      </c>
      <c r="C14" s="354"/>
      <c r="D14" s="424"/>
      <c r="E14" s="357"/>
      <c r="F14" s="427">
        <v>800</v>
      </c>
      <c r="G14" s="319"/>
      <c r="H14" s="298"/>
      <c r="I14" s="298"/>
      <c r="J14" s="299"/>
      <c r="K14" s="298"/>
      <c r="L14" s="298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  <c r="AA14" s="300"/>
      <c r="AB14" s="300"/>
      <c r="AC14" s="301"/>
      <c r="AD14" s="301"/>
      <c r="AE14" s="301"/>
      <c r="AF14" s="59"/>
      <c r="AG14" s="59"/>
      <c r="AH14" s="59"/>
      <c r="AI14" s="59"/>
      <c r="AJ14" s="59"/>
      <c r="AK14" s="59"/>
      <c r="AL14" s="59"/>
      <c r="AM14" s="59"/>
      <c r="AN14" s="59"/>
      <c r="AO14" s="255"/>
      <c r="AP14" s="254">
        <f t="shared" si="0"/>
        <v>0</v>
      </c>
      <c r="AQ14" s="255"/>
      <c r="AR14" s="254">
        <f t="shared" si="1"/>
        <v>0</v>
      </c>
      <c r="AS14" s="255"/>
      <c r="AT14" s="254">
        <f t="shared" si="2"/>
        <v>0</v>
      </c>
      <c r="AU14" s="256"/>
      <c r="AV14" s="257">
        <f t="shared" si="3"/>
        <v>0</v>
      </c>
      <c r="AW14" s="59"/>
      <c r="AX14" s="257">
        <f t="shared" si="4"/>
        <v>0</v>
      </c>
      <c r="AY14" s="59"/>
      <c r="AZ14" s="257">
        <f t="shared" si="5"/>
        <v>0</v>
      </c>
      <c r="BA14" s="256"/>
      <c r="BB14" s="257">
        <f t="shared" si="6"/>
        <v>0</v>
      </c>
      <c r="BC14" s="268"/>
      <c r="BD14" s="257">
        <f t="shared" si="7"/>
        <v>0</v>
      </c>
      <c r="BE14" s="59"/>
      <c r="BF14" s="257">
        <f t="shared" si="8"/>
        <v>0</v>
      </c>
      <c r="BG14" s="59"/>
      <c r="BH14" s="257">
        <f t="shared" si="9"/>
        <v>0</v>
      </c>
      <c r="BI14" s="256"/>
      <c r="BJ14" s="257">
        <f t="shared" si="10"/>
        <v>0</v>
      </c>
      <c r="BK14" s="59"/>
      <c r="BL14" s="257">
        <f t="shared" si="11"/>
        <v>0</v>
      </c>
    </row>
    <row r="15" spans="1:67" ht="15" hidden="1" customHeight="1">
      <c r="A15" s="250" t="s">
        <v>330</v>
      </c>
      <c r="C15" s="354"/>
      <c r="D15" s="424"/>
      <c r="E15" s="357"/>
      <c r="F15" s="427"/>
      <c r="G15" s="59"/>
      <c r="H15" s="305"/>
      <c r="I15" s="306"/>
      <c r="J15" s="306"/>
      <c r="K15" s="306"/>
      <c r="L15" s="306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3"/>
      <c r="AC15" s="304"/>
      <c r="AD15" s="304"/>
      <c r="AE15" s="304"/>
      <c r="AF15" s="59"/>
      <c r="AG15" s="59"/>
      <c r="AH15" s="59"/>
      <c r="AI15" s="59"/>
      <c r="AJ15" s="59"/>
      <c r="AK15" s="59"/>
      <c r="AL15" s="59"/>
      <c r="AM15" s="59"/>
      <c r="AN15" s="59"/>
      <c r="AO15" s="255"/>
      <c r="AP15" s="254">
        <f t="shared" si="0"/>
        <v>0</v>
      </c>
      <c r="AQ15" s="255"/>
      <c r="AR15" s="254">
        <f t="shared" si="1"/>
        <v>0</v>
      </c>
      <c r="AS15" s="255"/>
      <c r="AT15" s="254">
        <f t="shared" si="2"/>
        <v>0</v>
      </c>
      <c r="AU15" s="256"/>
      <c r="AV15" s="257">
        <f t="shared" si="3"/>
        <v>0</v>
      </c>
      <c r="AW15" s="59"/>
      <c r="AX15" s="257">
        <f t="shared" si="4"/>
        <v>0</v>
      </c>
      <c r="AY15" s="59"/>
      <c r="AZ15" s="257">
        <f t="shared" si="5"/>
        <v>0</v>
      </c>
      <c r="BA15" s="256"/>
      <c r="BB15" s="257">
        <f t="shared" si="6"/>
        <v>0</v>
      </c>
      <c r="BC15" s="268"/>
      <c r="BD15" s="257">
        <f t="shared" si="7"/>
        <v>0</v>
      </c>
      <c r="BE15" s="59"/>
      <c r="BF15" s="257">
        <f t="shared" si="8"/>
        <v>0</v>
      </c>
      <c r="BG15" s="59"/>
      <c r="BH15" s="257">
        <f t="shared" si="9"/>
        <v>0</v>
      </c>
      <c r="BI15" s="256"/>
      <c r="BJ15" s="257">
        <f t="shared" si="10"/>
        <v>0</v>
      </c>
      <c r="BK15" s="59"/>
      <c r="BL15" s="257">
        <f t="shared" si="11"/>
        <v>0</v>
      </c>
    </row>
    <row r="16" spans="1:67" ht="15" hidden="1" customHeight="1">
      <c r="A16" s="250" t="s">
        <v>330</v>
      </c>
      <c r="C16" s="354"/>
      <c r="D16" s="424"/>
      <c r="E16" s="357"/>
      <c r="F16" s="427"/>
      <c r="G16" s="59"/>
      <c r="H16" s="305"/>
      <c r="I16" s="307"/>
      <c r="J16" s="306"/>
      <c r="K16" s="307"/>
      <c r="L16" s="307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4"/>
      <c r="AD16" s="304"/>
      <c r="AE16" s="304"/>
      <c r="AF16" s="59"/>
      <c r="AG16" s="59"/>
      <c r="AH16" s="59"/>
      <c r="AI16" s="59"/>
      <c r="AJ16" s="59"/>
      <c r="AK16" s="59"/>
      <c r="AL16" s="59"/>
      <c r="AM16" s="59"/>
      <c r="AN16" s="59"/>
      <c r="AO16" s="255"/>
      <c r="AP16" s="254">
        <f t="shared" si="0"/>
        <v>0</v>
      </c>
      <c r="AQ16" s="255"/>
      <c r="AR16" s="254">
        <f t="shared" si="1"/>
        <v>0</v>
      </c>
      <c r="AS16" s="255"/>
      <c r="AT16" s="254">
        <f t="shared" si="2"/>
        <v>0</v>
      </c>
      <c r="AU16" s="256"/>
      <c r="AV16" s="257">
        <f t="shared" si="3"/>
        <v>0</v>
      </c>
      <c r="AW16" s="59"/>
      <c r="AX16" s="257">
        <f t="shared" si="4"/>
        <v>0</v>
      </c>
      <c r="AY16" s="59"/>
      <c r="AZ16" s="257">
        <f t="shared" si="5"/>
        <v>0</v>
      </c>
      <c r="BA16" s="256"/>
      <c r="BB16" s="257">
        <f t="shared" si="6"/>
        <v>0</v>
      </c>
      <c r="BC16" s="268"/>
      <c r="BD16" s="257">
        <f t="shared" si="7"/>
        <v>0</v>
      </c>
      <c r="BE16" s="59"/>
      <c r="BF16" s="257">
        <f t="shared" si="8"/>
        <v>0</v>
      </c>
      <c r="BG16" s="59"/>
      <c r="BH16" s="257">
        <f t="shared" si="9"/>
        <v>0</v>
      </c>
      <c r="BI16" s="256"/>
      <c r="BJ16" s="257">
        <f t="shared" si="10"/>
        <v>0</v>
      </c>
      <c r="BK16" s="59"/>
      <c r="BL16" s="257">
        <f t="shared" si="11"/>
        <v>0</v>
      </c>
    </row>
    <row r="17" spans="1:64" ht="15" hidden="1" customHeight="1">
      <c r="A17" s="250" t="s">
        <v>330</v>
      </c>
      <c r="C17" s="354"/>
      <c r="D17" s="424"/>
      <c r="E17" s="357"/>
      <c r="F17" s="427"/>
      <c r="G17" s="59"/>
      <c r="H17" s="308"/>
      <c r="I17" s="309"/>
      <c r="J17" s="310"/>
      <c r="K17" s="309"/>
      <c r="L17" s="309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3"/>
      <c r="AC17" s="304"/>
      <c r="AD17" s="304"/>
      <c r="AE17" s="304"/>
      <c r="AF17" s="59"/>
      <c r="AG17" s="59"/>
      <c r="AH17" s="59"/>
      <c r="AI17" s="59"/>
      <c r="AJ17" s="59"/>
      <c r="AK17" s="59"/>
      <c r="AL17" s="59"/>
      <c r="AM17" s="59"/>
      <c r="AN17" s="59"/>
      <c r="AO17" s="255"/>
      <c r="AP17" s="254">
        <f t="shared" si="0"/>
        <v>0</v>
      </c>
      <c r="AQ17" s="255"/>
      <c r="AR17" s="254">
        <f t="shared" si="1"/>
        <v>0</v>
      </c>
      <c r="AS17" s="255"/>
      <c r="AT17" s="254">
        <f t="shared" si="2"/>
        <v>0</v>
      </c>
      <c r="AU17" s="256"/>
      <c r="AV17" s="257">
        <f t="shared" si="3"/>
        <v>0</v>
      </c>
      <c r="AW17" s="59"/>
      <c r="AX17" s="257">
        <f t="shared" si="4"/>
        <v>0</v>
      </c>
      <c r="AY17" s="59"/>
      <c r="AZ17" s="257">
        <f t="shared" si="5"/>
        <v>0</v>
      </c>
      <c r="BA17" s="256"/>
      <c r="BB17" s="257">
        <f t="shared" si="6"/>
        <v>0</v>
      </c>
      <c r="BC17" s="268"/>
      <c r="BD17" s="257">
        <f t="shared" si="7"/>
        <v>0</v>
      </c>
      <c r="BE17" s="59"/>
      <c r="BF17" s="257">
        <f t="shared" si="8"/>
        <v>0</v>
      </c>
      <c r="BG17" s="59"/>
      <c r="BH17" s="257">
        <f t="shared" si="9"/>
        <v>0</v>
      </c>
      <c r="BI17" s="256"/>
      <c r="BJ17" s="257">
        <f t="shared" si="10"/>
        <v>0</v>
      </c>
      <c r="BK17" s="59"/>
      <c r="BL17" s="257">
        <f t="shared" si="11"/>
        <v>0</v>
      </c>
    </row>
    <row r="18" spans="1:64" ht="15" hidden="1" customHeight="1">
      <c r="A18" s="250" t="s">
        <v>330</v>
      </c>
      <c r="C18" s="354"/>
      <c r="D18" s="424"/>
      <c r="E18" s="357"/>
      <c r="F18" s="427"/>
      <c r="G18" s="59"/>
      <c r="H18" s="59"/>
      <c r="I18" s="59"/>
      <c r="J18" s="311"/>
      <c r="K18" s="59"/>
      <c r="L18" s="59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3"/>
      <c r="AC18" s="304"/>
      <c r="AD18" s="304"/>
      <c r="AE18" s="304"/>
      <c r="AF18" s="59"/>
      <c r="AG18" s="59"/>
      <c r="AH18" s="59"/>
      <c r="AI18" s="59"/>
      <c r="AJ18" s="59"/>
      <c r="AK18" s="59"/>
      <c r="AL18" s="59"/>
      <c r="AM18" s="59"/>
      <c r="AN18" s="59"/>
      <c r="AO18" s="255"/>
      <c r="AP18" s="254">
        <f t="shared" si="0"/>
        <v>0</v>
      </c>
      <c r="AQ18" s="255"/>
      <c r="AR18" s="254">
        <f t="shared" si="1"/>
        <v>0</v>
      </c>
      <c r="AS18" s="255"/>
      <c r="AT18" s="254">
        <f t="shared" si="2"/>
        <v>0</v>
      </c>
      <c r="AU18" s="256"/>
      <c r="AV18" s="257">
        <f t="shared" si="3"/>
        <v>0</v>
      </c>
      <c r="AW18" s="59"/>
      <c r="AX18" s="257">
        <f t="shared" si="4"/>
        <v>0</v>
      </c>
      <c r="AY18" s="59"/>
      <c r="AZ18" s="257">
        <f t="shared" si="5"/>
        <v>0</v>
      </c>
      <c r="BA18" s="256"/>
      <c r="BB18" s="257">
        <f t="shared" si="6"/>
        <v>0</v>
      </c>
      <c r="BC18" s="268"/>
      <c r="BD18" s="257">
        <f t="shared" si="7"/>
        <v>0</v>
      </c>
      <c r="BE18" s="59"/>
      <c r="BF18" s="257">
        <f t="shared" si="8"/>
        <v>0</v>
      </c>
      <c r="BG18" s="59"/>
      <c r="BH18" s="257">
        <f t="shared" si="9"/>
        <v>0</v>
      </c>
      <c r="BI18" s="256"/>
      <c r="BJ18" s="257">
        <f t="shared" si="10"/>
        <v>0</v>
      </c>
      <c r="BK18" s="59"/>
      <c r="BL18" s="257">
        <f t="shared" si="11"/>
        <v>0</v>
      </c>
    </row>
    <row r="19" spans="1:64" ht="15" hidden="1" customHeight="1">
      <c r="A19" s="250" t="s">
        <v>330</v>
      </c>
      <c r="C19" s="354"/>
      <c r="D19" s="424"/>
      <c r="E19" s="357"/>
      <c r="F19" s="427"/>
      <c r="G19" s="59"/>
      <c r="H19" s="59"/>
      <c r="I19" s="59"/>
      <c r="J19" s="311"/>
      <c r="K19" s="59"/>
      <c r="L19" s="59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4"/>
      <c r="AD19" s="304"/>
      <c r="AE19" s="304"/>
      <c r="AF19" s="59"/>
      <c r="AG19" s="59"/>
      <c r="AH19" s="59"/>
      <c r="AI19" s="59"/>
      <c r="AJ19" s="59"/>
      <c r="AK19" s="59"/>
      <c r="AL19" s="59"/>
      <c r="AM19" s="59"/>
      <c r="AN19" s="59"/>
      <c r="AO19" s="255"/>
      <c r="AP19" s="254">
        <f t="shared" si="0"/>
        <v>0</v>
      </c>
      <c r="AQ19" s="255"/>
      <c r="AR19" s="254">
        <f t="shared" si="1"/>
        <v>0</v>
      </c>
      <c r="AS19" s="255"/>
      <c r="AT19" s="254">
        <f t="shared" si="2"/>
        <v>0</v>
      </c>
      <c r="AU19" s="256"/>
      <c r="AV19" s="257">
        <f t="shared" si="3"/>
        <v>0</v>
      </c>
      <c r="AW19" s="59"/>
      <c r="AX19" s="257">
        <f t="shared" si="4"/>
        <v>0</v>
      </c>
      <c r="AY19" s="59"/>
      <c r="AZ19" s="257">
        <f t="shared" si="5"/>
        <v>0</v>
      </c>
      <c r="BA19" s="256"/>
      <c r="BB19" s="257">
        <f t="shared" si="6"/>
        <v>0</v>
      </c>
      <c r="BC19" s="268"/>
      <c r="BD19" s="257">
        <f t="shared" si="7"/>
        <v>0</v>
      </c>
      <c r="BE19" s="59"/>
      <c r="BF19" s="257">
        <f t="shared" si="8"/>
        <v>0</v>
      </c>
      <c r="BG19" s="59"/>
      <c r="BH19" s="257">
        <f t="shared" si="9"/>
        <v>0</v>
      </c>
      <c r="BI19" s="256"/>
      <c r="BJ19" s="257">
        <f t="shared" si="10"/>
        <v>0</v>
      </c>
      <c r="BK19" s="59"/>
      <c r="BL19" s="257">
        <f t="shared" si="11"/>
        <v>0</v>
      </c>
    </row>
    <row r="20" spans="1:64" ht="15" hidden="1" customHeight="1">
      <c r="A20" s="250" t="s">
        <v>330</v>
      </c>
      <c r="C20" s="354"/>
      <c r="D20" s="424"/>
      <c r="E20" s="357"/>
      <c r="F20" s="427"/>
      <c r="G20" s="59"/>
      <c r="H20" s="59"/>
      <c r="I20" s="59"/>
      <c r="J20" s="302"/>
      <c r="K20" s="59"/>
      <c r="L20" s="59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4"/>
      <c r="AD20" s="304"/>
      <c r="AE20" s="304"/>
      <c r="AF20" s="59"/>
      <c r="AG20" s="59"/>
      <c r="AH20" s="59"/>
      <c r="AI20" s="59"/>
      <c r="AJ20" s="59"/>
      <c r="AK20" s="59"/>
      <c r="AL20" s="59"/>
      <c r="AM20" s="59"/>
      <c r="AN20" s="59"/>
      <c r="AO20" s="255"/>
      <c r="AP20" s="254">
        <f t="shared" si="0"/>
        <v>0</v>
      </c>
      <c r="AQ20" s="255"/>
      <c r="AR20" s="254">
        <f t="shared" si="1"/>
        <v>0</v>
      </c>
      <c r="AS20" s="255"/>
      <c r="AT20" s="254">
        <f t="shared" si="2"/>
        <v>0</v>
      </c>
      <c r="AU20" s="256"/>
      <c r="AV20" s="257">
        <f t="shared" si="3"/>
        <v>0</v>
      </c>
      <c r="AW20" s="59"/>
      <c r="AX20" s="257">
        <f t="shared" si="4"/>
        <v>0</v>
      </c>
      <c r="AY20" s="59"/>
      <c r="AZ20" s="257">
        <f t="shared" si="5"/>
        <v>0</v>
      </c>
      <c r="BA20" s="256"/>
      <c r="BB20" s="257">
        <f t="shared" si="6"/>
        <v>0</v>
      </c>
      <c r="BC20" s="268"/>
      <c r="BD20" s="257">
        <f t="shared" si="7"/>
        <v>0</v>
      </c>
      <c r="BE20" s="59"/>
      <c r="BF20" s="257">
        <f t="shared" si="8"/>
        <v>0</v>
      </c>
      <c r="BG20" s="59"/>
      <c r="BH20" s="257">
        <f t="shared" si="9"/>
        <v>0</v>
      </c>
      <c r="BI20" s="256"/>
      <c r="BJ20" s="257">
        <f t="shared" si="10"/>
        <v>0</v>
      </c>
      <c r="BK20" s="59"/>
      <c r="BL20" s="257">
        <f t="shared" si="11"/>
        <v>0</v>
      </c>
    </row>
    <row r="21" spans="1:64" ht="15" hidden="1" customHeight="1">
      <c r="A21" s="250" t="s">
        <v>330</v>
      </c>
      <c r="C21" s="354"/>
      <c r="D21" s="424"/>
      <c r="E21" s="357"/>
      <c r="F21" s="427"/>
      <c r="G21" s="59"/>
      <c r="H21" s="59"/>
      <c r="I21" s="59"/>
      <c r="J21" s="302"/>
      <c r="K21" s="59"/>
      <c r="L21" s="59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4"/>
      <c r="AD21" s="304"/>
      <c r="AE21" s="304"/>
      <c r="AF21" s="59"/>
      <c r="AG21" s="59"/>
      <c r="AH21" s="59"/>
      <c r="AI21" s="59"/>
      <c r="AJ21" s="59"/>
      <c r="AK21" s="59"/>
      <c r="AL21" s="59"/>
      <c r="AM21" s="59"/>
      <c r="AN21" s="59"/>
      <c r="AO21" s="255"/>
      <c r="AP21" s="254">
        <f t="shared" si="0"/>
        <v>0</v>
      </c>
      <c r="AQ21" s="255"/>
      <c r="AR21" s="254">
        <f t="shared" si="1"/>
        <v>0</v>
      </c>
      <c r="AS21" s="255"/>
      <c r="AT21" s="254">
        <f t="shared" si="2"/>
        <v>0</v>
      </c>
      <c r="AU21" s="256"/>
      <c r="AV21" s="257">
        <f t="shared" si="3"/>
        <v>0</v>
      </c>
      <c r="AW21" s="59"/>
      <c r="AX21" s="257">
        <f t="shared" si="4"/>
        <v>0</v>
      </c>
      <c r="AY21" s="59"/>
      <c r="AZ21" s="257">
        <f t="shared" si="5"/>
        <v>0</v>
      </c>
      <c r="BA21" s="256"/>
      <c r="BB21" s="257">
        <f t="shared" si="6"/>
        <v>0</v>
      </c>
      <c r="BC21" s="268"/>
      <c r="BD21" s="257">
        <f t="shared" si="7"/>
        <v>0</v>
      </c>
      <c r="BE21" s="59"/>
      <c r="BF21" s="257">
        <f t="shared" si="8"/>
        <v>0</v>
      </c>
      <c r="BG21" s="59"/>
      <c r="BH21" s="257">
        <f t="shared" si="9"/>
        <v>0</v>
      </c>
      <c r="BI21" s="256"/>
      <c r="BJ21" s="257">
        <f t="shared" si="10"/>
        <v>0</v>
      </c>
      <c r="BK21" s="59"/>
      <c r="BL21" s="257">
        <f t="shared" si="11"/>
        <v>0</v>
      </c>
    </row>
    <row r="22" spans="1:64" ht="15" hidden="1" customHeight="1">
      <c r="A22" s="250" t="s">
        <v>330</v>
      </c>
      <c r="C22" s="354"/>
      <c r="D22" s="424"/>
      <c r="E22" s="357"/>
      <c r="F22" s="427"/>
      <c r="G22" s="59"/>
      <c r="H22" s="312"/>
      <c r="I22" s="312"/>
      <c r="J22" s="313"/>
      <c r="K22" s="312"/>
      <c r="L22" s="312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4"/>
      <c r="AD22" s="304"/>
      <c r="AE22" s="304"/>
      <c r="AF22" s="59"/>
      <c r="AG22" s="59"/>
      <c r="AH22" s="59"/>
      <c r="AI22" s="59"/>
      <c r="AJ22" s="59"/>
      <c r="AK22" s="59"/>
      <c r="AL22" s="59"/>
      <c r="AM22" s="59"/>
      <c r="AN22" s="59"/>
      <c r="AO22" s="255"/>
      <c r="AP22" s="254">
        <f t="shared" si="0"/>
        <v>0</v>
      </c>
      <c r="AQ22" s="255"/>
      <c r="AR22" s="254">
        <f t="shared" si="1"/>
        <v>0</v>
      </c>
      <c r="AS22" s="255"/>
      <c r="AT22" s="254">
        <f t="shared" si="2"/>
        <v>0</v>
      </c>
      <c r="AU22" s="256"/>
      <c r="AV22" s="257">
        <f t="shared" si="3"/>
        <v>0</v>
      </c>
      <c r="AW22" s="59"/>
      <c r="AX22" s="257">
        <f t="shared" si="4"/>
        <v>0</v>
      </c>
      <c r="AY22" s="59"/>
      <c r="AZ22" s="257">
        <f t="shared" si="5"/>
        <v>0</v>
      </c>
      <c r="BA22" s="256"/>
      <c r="BB22" s="257">
        <f t="shared" si="6"/>
        <v>0</v>
      </c>
      <c r="BC22" s="268"/>
      <c r="BD22" s="257">
        <f t="shared" si="7"/>
        <v>0</v>
      </c>
      <c r="BE22" s="59"/>
      <c r="BF22" s="257">
        <f t="shared" si="8"/>
        <v>0</v>
      </c>
      <c r="BG22" s="59"/>
      <c r="BH22" s="257">
        <f t="shared" si="9"/>
        <v>0</v>
      </c>
      <c r="BI22" s="256"/>
      <c r="BJ22" s="257">
        <f t="shared" si="10"/>
        <v>0</v>
      </c>
      <c r="BK22" s="59"/>
      <c r="BL22" s="257">
        <f t="shared" si="11"/>
        <v>0</v>
      </c>
    </row>
    <row r="23" spans="1:64" ht="15" hidden="1" customHeight="1">
      <c r="A23" s="250" t="s">
        <v>330</v>
      </c>
      <c r="C23" s="354"/>
      <c r="D23" s="424"/>
      <c r="E23" s="357"/>
      <c r="F23" s="427"/>
      <c r="G23" s="59"/>
      <c r="H23" s="59"/>
      <c r="I23" s="59"/>
      <c r="J23" s="311"/>
      <c r="K23" s="59"/>
      <c r="L23" s="59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1"/>
      <c r="AD23" s="301"/>
      <c r="AE23" s="301"/>
      <c r="AF23" s="59"/>
      <c r="AG23" s="59"/>
      <c r="AH23" s="59"/>
      <c r="AI23" s="59"/>
      <c r="AJ23" s="59"/>
      <c r="AK23" s="59"/>
      <c r="AL23" s="59"/>
      <c r="AM23" s="59"/>
      <c r="AN23" s="59"/>
      <c r="AO23" s="255"/>
      <c r="AP23" s="254">
        <f t="shared" si="0"/>
        <v>0</v>
      </c>
      <c r="AQ23" s="255"/>
      <c r="AR23" s="254">
        <f t="shared" si="1"/>
        <v>0</v>
      </c>
      <c r="AS23" s="255"/>
      <c r="AT23" s="254">
        <f t="shared" si="2"/>
        <v>0</v>
      </c>
      <c r="AU23" s="256"/>
      <c r="AV23" s="257">
        <f t="shared" si="3"/>
        <v>0</v>
      </c>
      <c r="AW23" s="59"/>
      <c r="AX23" s="257">
        <f t="shared" si="4"/>
        <v>0</v>
      </c>
      <c r="AY23" s="59"/>
      <c r="AZ23" s="257">
        <f t="shared" si="5"/>
        <v>0</v>
      </c>
      <c r="BA23" s="256"/>
      <c r="BB23" s="257">
        <f t="shared" si="6"/>
        <v>0</v>
      </c>
      <c r="BC23" s="268"/>
      <c r="BD23" s="257">
        <f t="shared" si="7"/>
        <v>0</v>
      </c>
      <c r="BE23" s="59"/>
      <c r="BF23" s="257">
        <f t="shared" si="8"/>
        <v>0</v>
      </c>
      <c r="BG23" s="59"/>
      <c r="BH23" s="257">
        <f t="shared" si="9"/>
        <v>0</v>
      </c>
      <c r="BI23" s="256"/>
      <c r="BJ23" s="257">
        <f t="shared" si="10"/>
        <v>0</v>
      </c>
      <c r="BK23" s="59"/>
      <c r="BL23" s="257">
        <f t="shared" si="11"/>
        <v>0</v>
      </c>
    </row>
    <row r="24" spans="1:64" ht="15" hidden="1" customHeight="1">
      <c r="A24" s="250" t="s">
        <v>330</v>
      </c>
      <c r="C24" s="354"/>
      <c r="D24" s="424"/>
      <c r="E24" s="357"/>
      <c r="F24" s="427"/>
      <c r="G24" s="59"/>
      <c r="H24" s="59"/>
      <c r="I24" s="59"/>
      <c r="J24" s="311"/>
      <c r="K24" s="59"/>
      <c r="L24" s="59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1"/>
      <c r="AD24" s="301"/>
      <c r="AE24" s="301"/>
      <c r="AF24" s="59"/>
      <c r="AG24" s="59"/>
      <c r="AH24" s="59"/>
      <c r="AI24" s="59"/>
      <c r="AJ24" s="59"/>
      <c r="AK24" s="59"/>
      <c r="AL24" s="59"/>
      <c r="AM24" s="59"/>
      <c r="AN24" s="59"/>
      <c r="AO24" s="255"/>
      <c r="AP24" s="254">
        <f t="shared" si="0"/>
        <v>0</v>
      </c>
      <c r="AQ24" s="255"/>
      <c r="AR24" s="254">
        <f t="shared" si="1"/>
        <v>0</v>
      </c>
      <c r="AS24" s="255"/>
      <c r="AT24" s="254">
        <f t="shared" si="2"/>
        <v>0</v>
      </c>
      <c r="AU24" s="256"/>
      <c r="AV24" s="257">
        <f t="shared" si="3"/>
        <v>0</v>
      </c>
      <c r="AW24" s="59"/>
      <c r="AX24" s="257">
        <f t="shared" si="4"/>
        <v>0</v>
      </c>
      <c r="AY24" s="59"/>
      <c r="AZ24" s="257">
        <f t="shared" si="5"/>
        <v>0</v>
      </c>
      <c r="BA24" s="256"/>
      <c r="BB24" s="257">
        <f t="shared" si="6"/>
        <v>0</v>
      </c>
      <c r="BC24" s="268"/>
      <c r="BD24" s="257">
        <f t="shared" si="7"/>
        <v>0</v>
      </c>
      <c r="BE24" s="59"/>
      <c r="BF24" s="257">
        <f t="shared" si="8"/>
        <v>0</v>
      </c>
      <c r="BG24" s="59"/>
      <c r="BH24" s="257">
        <f t="shared" si="9"/>
        <v>0</v>
      </c>
      <c r="BI24" s="256"/>
      <c r="BJ24" s="257">
        <f t="shared" si="10"/>
        <v>0</v>
      </c>
      <c r="BK24" s="59"/>
      <c r="BL24" s="257">
        <f t="shared" si="11"/>
        <v>0</v>
      </c>
    </row>
    <row r="25" spans="1:64" ht="14.85" customHeight="1">
      <c r="A25" s="250" t="s">
        <v>330</v>
      </c>
      <c r="B25" s="59" t="s">
        <v>331</v>
      </c>
      <c r="C25" s="354" t="s">
        <v>172</v>
      </c>
      <c r="D25" s="424"/>
      <c r="E25" s="357"/>
      <c r="F25" s="427">
        <v>1000</v>
      </c>
      <c r="G25" s="317">
        <v>2024</v>
      </c>
      <c r="H25" s="298" t="s">
        <v>338</v>
      </c>
      <c r="I25" s="315" t="s">
        <v>249</v>
      </c>
      <c r="J25" s="316">
        <v>14</v>
      </c>
      <c r="K25" s="298" t="s">
        <v>335</v>
      </c>
      <c r="L25" s="298" t="s">
        <v>336</v>
      </c>
      <c r="M25" s="300" t="s">
        <v>178</v>
      </c>
      <c r="N25" s="300">
        <v>9.4499999999999993</v>
      </c>
      <c r="O25" s="300">
        <v>15.66</v>
      </c>
      <c r="P25" s="300">
        <v>15.66</v>
      </c>
      <c r="Q25" s="300">
        <v>15.66</v>
      </c>
      <c r="R25" s="300">
        <v>15.66</v>
      </c>
      <c r="S25" s="300">
        <v>15.66</v>
      </c>
      <c r="T25" s="300">
        <v>15.66</v>
      </c>
      <c r="U25" s="300">
        <v>15.66</v>
      </c>
      <c r="V25" s="300">
        <v>15.66</v>
      </c>
      <c r="W25" s="300">
        <v>15.66</v>
      </c>
      <c r="X25" s="300">
        <v>15.66</v>
      </c>
      <c r="Y25" s="300">
        <v>15.66</v>
      </c>
      <c r="Z25" s="300">
        <v>15.66</v>
      </c>
      <c r="AA25" s="300">
        <v>15.66</v>
      </c>
      <c r="AB25" s="361">
        <v>6.21</v>
      </c>
      <c r="AC25" s="361">
        <v>6.21</v>
      </c>
      <c r="AD25" s="361">
        <v>6.21</v>
      </c>
      <c r="AE25" s="361">
        <v>6.21</v>
      </c>
      <c r="AF25" s="361">
        <v>6.21</v>
      </c>
      <c r="AG25" s="361">
        <v>6.21</v>
      </c>
      <c r="AH25" s="361">
        <v>6.21</v>
      </c>
      <c r="AI25" s="361">
        <v>6.21</v>
      </c>
      <c r="AJ25" s="361">
        <v>6.21</v>
      </c>
      <c r="AK25" s="361">
        <v>6.21</v>
      </c>
      <c r="AL25" s="361">
        <v>6.21</v>
      </c>
      <c r="AM25" s="361">
        <v>6.21</v>
      </c>
      <c r="AN25" s="361">
        <v>6.21</v>
      </c>
      <c r="AO25" s="255"/>
      <c r="AP25" s="254">
        <f t="shared" si="0"/>
        <v>0</v>
      </c>
      <c r="AQ25" s="255"/>
      <c r="AR25" s="254">
        <f t="shared" si="1"/>
        <v>0</v>
      </c>
      <c r="AS25" s="255"/>
      <c r="AT25" s="254">
        <f t="shared" si="2"/>
        <v>0</v>
      </c>
      <c r="AU25" s="256"/>
      <c r="AV25" s="257">
        <f t="shared" si="3"/>
        <v>0</v>
      </c>
      <c r="AW25" s="59"/>
      <c r="AX25" s="257">
        <f t="shared" si="4"/>
        <v>0</v>
      </c>
      <c r="AY25" s="59"/>
      <c r="AZ25" s="257">
        <f t="shared" si="5"/>
        <v>0</v>
      </c>
      <c r="BA25" s="256">
        <v>2320</v>
      </c>
      <c r="BB25" s="257">
        <f t="shared" si="6"/>
        <v>14407.2</v>
      </c>
      <c r="BC25" s="268">
        <v>4867</v>
      </c>
      <c r="BD25" s="257">
        <f t="shared" si="7"/>
        <v>30224.07</v>
      </c>
      <c r="BE25" s="59">
        <v>3398</v>
      </c>
      <c r="BF25" s="257">
        <f t="shared" si="8"/>
        <v>21101.579999999998</v>
      </c>
      <c r="BG25" s="256">
        <v>5080</v>
      </c>
      <c r="BH25" s="257">
        <f t="shared" si="9"/>
        <v>31546.799999999999</v>
      </c>
      <c r="BI25" s="256">
        <v>10092</v>
      </c>
      <c r="BJ25" s="257">
        <f t="shared" si="10"/>
        <v>62671.32</v>
      </c>
      <c r="BK25" s="256">
        <v>11710</v>
      </c>
      <c r="BL25" s="257">
        <f t="shared" si="11"/>
        <v>72719.100000000006</v>
      </c>
    </row>
    <row r="26" spans="1:64" ht="15" customHeight="1">
      <c r="A26" s="250" t="s">
        <v>330</v>
      </c>
      <c r="C26" s="354"/>
      <c r="D26" s="424"/>
      <c r="E26" s="357"/>
      <c r="F26" s="427"/>
      <c r="G26" s="59"/>
      <c r="H26" s="59"/>
      <c r="I26" s="59"/>
      <c r="J26" s="302"/>
      <c r="K26" s="59"/>
      <c r="L26" s="59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1"/>
      <c r="AD26" s="301"/>
      <c r="AE26" s="301"/>
      <c r="AF26" s="59"/>
      <c r="AG26" s="59"/>
      <c r="AH26" s="59"/>
      <c r="AI26" s="59"/>
      <c r="AJ26" s="59"/>
      <c r="AK26" s="59"/>
      <c r="AL26" s="59"/>
      <c r="AM26" s="59"/>
      <c r="AN26" s="59"/>
      <c r="AO26" s="255"/>
      <c r="AP26" s="254">
        <f t="shared" si="0"/>
        <v>0</v>
      </c>
      <c r="AQ26" s="255"/>
      <c r="AR26" s="254">
        <f t="shared" si="1"/>
        <v>0</v>
      </c>
      <c r="AS26" s="255"/>
      <c r="AT26" s="254">
        <f t="shared" si="2"/>
        <v>0</v>
      </c>
      <c r="AU26" s="256"/>
      <c r="AV26" s="257">
        <f t="shared" si="3"/>
        <v>0</v>
      </c>
      <c r="AW26" s="59"/>
      <c r="AX26" s="257">
        <f t="shared" si="4"/>
        <v>0</v>
      </c>
      <c r="AY26" s="59"/>
      <c r="AZ26" s="257">
        <f t="shared" si="5"/>
        <v>0</v>
      </c>
      <c r="BA26" s="256"/>
      <c r="BB26" s="257">
        <f t="shared" si="6"/>
        <v>0</v>
      </c>
      <c r="BC26" s="268"/>
      <c r="BD26" s="257">
        <f t="shared" si="7"/>
        <v>0</v>
      </c>
      <c r="BE26" s="59"/>
      <c r="BF26" s="257">
        <f t="shared" si="8"/>
        <v>0</v>
      </c>
      <c r="BG26" s="59"/>
      <c r="BH26" s="257">
        <f t="shared" si="9"/>
        <v>0</v>
      </c>
      <c r="BI26" s="256"/>
      <c r="BJ26" s="257">
        <f t="shared" si="10"/>
        <v>0</v>
      </c>
      <c r="BK26" s="59"/>
      <c r="BL26" s="257">
        <f t="shared" si="11"/>
        <v>0</v>
      </c>
    </row>
    <row r="27" spans="1:64" ht="15" customHeight="1">
      <c r="A27" s="250" t="s">
        <v>330</v>
      </c>
      <c r="C27" s="354"/>
      <c r="D27" s="424"/>
      <c r="E27" s="357"/>
      <c r="F27" s="427"/>
      <c r="G27" s="59"/>
      <c r="H27" s="59"/>
      <c r="I27" s="59"/>
      <c r="J27" s="302"/>
      <c r="K27" s="59"/>
      <c r="L27" s="59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3"/>
      <c r="AC27" s="304"/>
      <c r="AD27" s="304"/>
      <c r="AE27" s="304"/>
      <c r="AF27" s="59"/>
      <c r="AG27" s="59"/>
      <c r="AH27" s="59"/>
      <c r="AI27" s="59"/>
      <c r="AJ27" s="59"/>
      <c r="AK27" s="59"/>
      <c r="AL27" s="59"/>
      <c r="AM27" s="59"/>
      <c r="AN27" s="59"/>
      <c r="AO27" s="255"/>
      <c r="AP27" s="254">
        <f t="shared" si="0"/>
        <v>0</v>
      </c>
      <c r="AQ27" s="314"/>
      <c r="AR27" s="254">
        <f t="shared" si="1"/>
        <v>0</v>
      </c>
      <c r="AS27" s="261"/>
      <c r="AT27" s="254">
        <f t="shared" si="2"/>
        <v>0</v>
      </c>
      <c r="AU27" s="256"/>
      <c r="AV27" s="257">
        <f t="shared" si="3"/>
        <v>0</v>
      </c>
      <c r="AW27" s="59"/>
      <c r="AX27" s="257">
        <f t="shared" si="4"/>
        <v>0</v>
      </c>
      <c r="AY27" s="59"/>
      <c r="AZ27" s="257">
        <f t="shared" si="5"/>
        <v>0</v>
      </c>
      <c r="BA27" s="59"/>
      <c r="BB27" s="257">
        <f t="shared" si="6"/>
        <v>0</v>
      </c>
      <c r="BC27" s="268"/>
      <c r="BD27" s="257">
        <f t="shared" si="7"/>
        <v>0</v>
      </c>
      <c r="BE27" s="59"/>
      <c r="BF27" s="257">
        <f t="shared" si="8"/>
        <v>0</v>
      </c>
      <c r="BG27" s="59"/>
      <c r="BH27" s="257">
        <f t="shared" si="9"/>
        <v>0</v>
      </c>
      <c r="BI27" s="59"/>
      <c r="BJ27" s="257">
        <f t="shared" si="10"/>
        <v>0</v>
      </c>
      <c r="BK27" s="59"/>
      <c r="BL27" s="257">
        <f t="shared" si="11"/>
        <v>0</v>
      </c>
    </row>
    <row r="28" spans="1:64" ht="15" customHeight="1">
      <c r="A28" s="250" t="s">
        <v>330</v>
      </c>
      <c r="C28" s="354"/>
      <c r="D28" s="424"/>
      <c r="E28" s="357"/>
      <c r="F28" s="427"/>
      <c r="G28" s="59"/>
      <c r="H28" s="59"/>
      <c r="I28" s="59"/>
      <c r="J28" s="302"/>
      <c r="K28" s="59"/>
      <c r="L28" s="59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4"/>
      <c r="AD28" s="304"/>
      <c r="AE28" s="304"/>
      <c r="AF28" s="59"/>
      <c r="AG28" s="59"/>
      <c r="AH28" s="59"/>
      <c r="AI28" s="59"/>
      <c r="AJ28" s="59"/>
      <c r="AK28" s="59"/>
      <c r="AL28" s="59"/>
      <c r="AM28" s="59"/>
      <c r="AN28" s="59"/>
      <c r="AO28" s="255"/>
      <c r="AP28" s="254">
        <f t="shared" si="0"/>
        <v>0</v>
      </c>
      <c r="AQ28" s="255"/>
      <c r="AR28" s="254">
        <f t="shared" si="1"/>
        <v>0</v>
      </c>
      <c r="AS28" s="261"/>
      <c r="AT28" s="254">
        <f t="shared" si="2"/>
        <v>0</v>
      </c>
      <c r="AU28" s="256"/>
      <c r="AV28" s="257">
        <f t="shared" si="3"/>
        <v>0</v>
      </c>
      <c r="AW28" s="59"/>
      <c r="AX28" s="257">
        <f t="shared" si="4"/>
        <v>0</v>
      </c>
      <c r="AY28" s="59"/>
      <c r="AZ28" s="257">
        <f t="shared" si="5"/>
        <v>0</v>
      </c>
      <c r="BA28" s="59"/>
      <c r="BB28" s="257">
        <f t="shared" si="6"/>
        <v>0</v>
      </c>
      <c r="BC28" s="268"/>
      <c r="BD28" s="257">
        <f t="shared" si="7"/>
        <v>0</v>
      </c>
      <c r="BE28" s="59"/>
      <c r="BF28" s="257">
        <f t="shared" si="8"/>
        <v>0</v>
      </c>
      <c r="BG28" s="59"/>
      <c r="BH28" s="257">
        <f t="shared" si="9"/>
        <v>0</v>
      </c>
      <c r="BI28" s="59"/>
      <c r="BJ28" s="257">
        <f t="shared" si="10"/>
        <v>0</v>
      </c>
      <c r="BK28" s="59"/>
      <c r="BL28" s="257">
        <f t="shared" si="11"/>
        <v>0</v>
      </c>
    </row>
    <row r="29" spans="1:64" ht="17.25" hidden="1" customHeight="1">
      <c r="A29" s="250" t="s">
        <v>330</v>
      </c>
      <c r="C29" s="354"/>
      <c r="D29" s="424"/>
      <c r="E29" s="357"/>
      <c r="F29" s="429" t="s">
        <v>170</v>
      </c>
      <c r="G29" s="319"/>
      <c r="H29" s="298"/>
      <c r="I29" s="298"/>
      <c r="J29" s="299"/>
      <c r="K29" s="298"/>
      <c r="L29" s="298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1"/>
      <c r="AD29" s="301"/>
      <c r="AE29" s="301"/>
      <c r="AF29" s="59"/>
      <c r="AG29" s="59"/>
      <c r="AH29" s="59"/>
      <c r="AI29" s="59"/>
      <c r="AJ29" s="59"/>
      <c r="AK29" s="59"/>
      <c r="AL29" s="59"/>
      <c r="AM29" s="59"/>
      <c r="AN29" s="59"/>
      <c r="AO29" s="255"/>
      <c r="AP29" s="254">
        <f t="shared" si="0"/>
        <v>0</v>
      </c>
      <c r="AQ29" s="255"/>
      <c r="AR29" s="254">
        <f t="shared" si="1"/>
        <v>0</v>
      </c>
      <c r="AS29" s="255"/>
      <c r="AT29" s="254">
        <f t="shared" si="2"/>
        <v>0</v>
      </c>
      <c r="AU29" s="256"/>
      <c r="AV29" s="257">
        <f t="shared" si="3"/>
        <v>0</v>
      </c>
      <c r="AW29" s="59"/>
      <c r="AX29" s="257">
        <f t="shared" si="4"/>
        <v>0</v>
      </c>
      <c r="AY29" s="59"/>
      <c r="AZ29" s="257">
        <f t="shared" si="5"/>
        <v>0</v>
      </c>
      <c r="BA29" s="59"/>
      <c r="BB29" s="257">
        <f t="shared" si="6"/>
        <v>0</v>
      </c>
      <c r="BC29" s="268"/>
      <c r="BD29" s="257">
        <f t="shared" si="7"/>
        <v>0</v>
      </c>
      <c r="BE29" s="59"/>
      <c r="BF29" s="257">
        <f t="shared" si="8"/>
        <v>0</v>
      </c>
      <c r="BG29" s="59"/>
      <c r="BH29" s="257">
        <f t="shared" si="9"/>
        <v>0</v>
      </c>
      <c r="BI29" s="59"/>
      <c r="BJ29" s="257">
        <f t="shared" si="10"/>
        <v>0</v>
      </c>
      <c r="BK29" s="59"/>
      <c r="BL29" s="257">
        <f t="shared" si="11"/>
        <v>0</v>
      </c>
    </row>
    <row r="30" spans="1:64" ht="15" hidden="1" customHeight="1">
      <c r="A30" s="250" t="s">
        <v>330</v>
      </c>
      <c r="C30" s="354"/>
      <c r="D30" s="424"/>
      <c r="E30" s="357"/>
      <c r="F30" s="417"/>
      <c r="G30" s="59"/>
      <c r="H30" s="59"/>
      <c r="I30" s="59"/>
      <c r="J30" s="302"/>
      <c r="K30" s="59"/>
      <c r="L30" s="59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1"/>
      <c r="AD30" s="301"/>
      <c r="AE30" s="301"/>
      <c r="AF30" s="59"/>
      <c r="AG30" s="59"/>
      <c r="AH30" s="59"/>
      <c r="AI30" s="59"/>
      <c r="AJ30" s="59"/>
      <c r="AK30" s="59"/>
      <c r="AL30" s="59"/>
      <c r="AM30" s="59"/>
      <c r="AN30" s="59"/>
      <c r="AO30" s="255"/>
      <c r="AP30" s="254">
        <f t="shared" si="0"/>
        <v>0</v>
      </c>
      <c r="AQ30" s="255"/>
      <c r="AR30" s="254">
        <f t="shared" si="1"/>
        <v>0</v>
      </c>
      <c r="AS30" s="255"/>
      <c r="AT30" s="254">
        <f t="shared" si="2"/>
        <v>0</v>
      </c>
      <c r="AU30" s="256"/>
      <c r="AV30" s="257">
        <f t="shared" si="3"/>
        <v>0</v>
      </c>
      <c r="AW30" s="59"/>
      <c r="AX30" s="257">
        <f t="shared" si="4"/>
        <v>0</v>
      </c>
      <c r="AY30" s="59"/>
      <c r="AZ30" s="257">
        <f t="shared" si="5"/>
        <v>0</v>
      </c>
      <c r="BA30" s="59"/>
      <c r="BB30" s="257">
        <f t="shared" si="6"/>
        <v>0</v>
      </c>
      <c r="BC30" s="268"/>
      <c r="BD30" s="257">
        <f t="shared" si="7"/>
        <v>0</v>
      </c>
      <c r="BE30" s="59"/>
      <c r="BF30" s="257">
        <f t="shared" si="8"/>
        <v>0</v>
      </c>
      <c r="BG30" s="59"/>
      <c r="BH30" s="257">
        <f t="shared" si="9"/>
        <v>0</v>
      </c>
      <c r="BI30" s="59"/>
      <c r="BJ30" s="257">
        <f t="shared" si="10"/>
        <v>0</v>
      </c>
      <c r="BK30" s="59"/>
      <c r="BL30" s="257">
        <f t="shared" si="11"/>
        <v>0</v>
      </c>
    </row>
    <row r="31" spans="1:64" ht="15" customHeight="1">
      <c r="A31" s="250" t="s">
        <v>330</v>
      </c>
      <c r="B31" s="59" t="s">
        <v>331</v>
      </c>
      <c r="C31" s="354" t="s">
        <v>172</v>
      </c>
      <c r="D31" s="424"/>
      <c r="E31" s="357" t="s">
        <v>173</v>
      </c>
      <c r="F31" s="417" t="s">
        <v>71</v>
      </c>
      <c r="G31" s="317">
        <v>2022</v>
      </c>
      <c r="H31" s="59" t="s">
        <v>339</v>
      </c>
      <c r="I31" s="315" t="s">
        <v>175</v>
      </c>
      <c r="J31" s="316">
        <v>11</v>
      </c>
      <c r="K31" s="59" t="s">
        <v>176</v>
      </c>
      <c r="L31" s="59" t="s">
        <v>177</v>
      </c>
      <c r="M31" s="300" t="s">
        <v>178</v>
      </c>
      <c r="N31" s="300">
        <v>3.15</v>
      </c>
      <c r="O31" s="300">
        <v>4.8</v>
      </c>
      <c r="P31" s="300">
        <v>4.8</v>
      </c>
      <c r="Q31" s="300">
        <v>4.8</v>
      </c>
      <c r="R31" s="300">
        <v>4.8</v>
      </c>
      <c r="S31" s="300">
        <v>4.8</v>
      </c>
      <c r="T31" s="300">
        <v>4.8</v>
      </c>
      <c r="U31" s="300">
        <v>4.8</v>
      </c>
      <c r="V31" s="300">
        <v>4.8</v>
      </c>
      <c r="W31" s="300">
        <v>4.8</v>
      </c>
      <c r="X31" s="300">
        <v>4.8</v>
      </c>
      <c r="Y31" s="300">
        <v>4.8</v>
      </c>
      <c r="Z31" s="300">
        <v>4.8</v>
      </c>
      <c r="AA31" s="300">
        <v>4.8</v>
      </c>
      <c r="AB31" s="59">
        <v>1.26</v>
      </c>
      <c r="AC31" s="59">
        <v>1.26</v>
      </c>
      <c r="AD31" s="59">
        <v>1.26</v>
      </c>
      <c r="AE31" s="59">
        <v>1.26</v>
      </c>
      <c r="AF31" s="59">
        <v>1.26</v>
      </c>
      <c r="AG31" s="59">
        <v>1.26</v>
      </c>
      <c r="AH31" s="59">
        <v>1.26</v>
      </c>
      <c r="AI31" s="59">
        <v>1.36</v>
      </c>
      <c r="AJ31" s="59">
        <v>1.36</v>
      </c>
      <c r="AK31" s="59">
        <v>1.36</v>
      </c>
      <c r="AL31" s="59">
        <v>1.36</v>
      </c>
      <c r="AM31" s="59">
        <v>1.36</v>
      </c>
      <c r="AN31" s="59">
        <v>1.36</v>
      </c>
      <c r="AO31" s="255">
        <v>6365</v>
      </c>
      <c r="AP31" s="254">
        <f t="shared" si="0"/>
        <v>8019.9</v>
      </c>
      <c r="AQ31" s="255">
        <v>2160</v>
      </c>
      <c r="AR31" s="254">
        <f t="shared" si="1"/>
        <v>2721.6</v>
      </c>
      <c r="AS31" s="255">
        <v>7600</v>
      </c>
      <c r="AT31" s="254">
        <f t="shared" si="2"/>
        <v>9576</v>
      </c>
      <c r="AU31" s="255">
        <v>14360</v>
      </c>
      <c r="AV31" s="257">
        <f t="shared" si="3"/>
        <v>18093.599999999999</v>
      </c>
      <c r="AW31" s="255">
        <v>33558</v>
      </c>
      <c r="AX31" s="257">
        <f t="shared" si="4"/>
        <v>42283.08</v>
      </c>
      <c r="AY31" s="255">
        <v>29560</v>
      </c>
      <c r="AZ31" s="257">
        <f t="shared" si="5"/>
        <v>37245.599999999999</v>
      </c>
      <c r="BA31" s="255">
        <v>22840</v>
      </c>
      <c r="BB31" s="257">
        <f t="shared" si="6"/>
        <v>31062.400000000001</v>
      </c>
      <c r="BC31" s="255">
        <v>12358</v>
      </c>
      <c r="BD31" s="257">
        <f t="shared" si="7"/>
        <v>16806.88</v>
      </c>
      <c r="BE31" s="255">
        <v>9320</v>
      </c>
      <c r="BF31" s="257">
        <f t="shared" si="8"/>
        <v>12675.2</v>
      </c>
      <c r="BG31" s="255">
        <v>14501</v>
      </c>
      <c r="BH31" s="257">
        <f t="shared" si="9"/>
        <v>19721.36</v>
      </c>
      <c r="BI31" s="255">
        <v>32948</v>
      </c>
      <c r="BJ31" s="257">
        <f t="shared" si="10"/>
        <v>44809.280000000006</v>
      </c>
      <c r="BK31" s="255">
        <v>4160</v>
      </c>
      <c r="BL31" s="257">
        <f t="shared" si="11"/>
        <v>5657.6</v>
      </c>
    </row>
    <row r="32" spans="1:64" ht="15" customHeight="1">
      <c r="A32" s="250" t="s">
        <v>330</v>
      </c>
      <c r="B32" s="59" t="s">
        <v>331</v>
      </c>
      <c r="C32" s="354" t="s">
        <v>172</v>
      </c>
      <c r="D32" s="424"/>
      <c r="E32" s="357" t="s">
        <v>173</v>
      </c>
      <c r="F32" s="417"/>
      <c r="G32" s="317">
        <v>2022</v>
      </c>
      <c r="H32" s="59" t="s">
        <v>340</v>
      </c>
      <c r="I32" s="315" t="s">
        <v>175</v>
      </c>
      <c r="J32" s="316">
        <v>14</v>
      </c>
      <c r="K32" s="59" t="s">
        <v>180</v>
      </c>
      <c r="L32" s="59" t="s">
        <v>177</v>
      </c>
      <c r="M32" s="300" t="s">
        <v>178</v>
      </c>
      <c r="N32" s="300">
        <v>3.15</v>
      </c>
      <c r="O32" s="300">
        <v>4.9000000000000004</v>
      </c>
      <c r="P32" s="300">
        <v>4.9000000000000004</v>
      </c>
      <c r="Q32" s="300">
        <v>4.9000000000000004</v>
      </c>
      <c r="R32" s="300">
        <v>4.9000000000000004</v>
      </c>
      <c r="S32" s="300">
        <v>4.9000000000000004</v>
      </c>
      <c r="T32" s="300">
        <v>4.9000000000000004</v>
      </c>
      <c r="U32" s="300">
        <v>4.9000000000000004</v>
      </c>
      <c r="V32" s="300">
        <v>4.9000000000000004</v>
      </c>
      <c r="W32" s="300">
        <v>4.9000000000000004</v>
      </c>
      <c r="X32" s="300">
        <v>4.9000000000000004</v>
      </c>
      <c r="Y32" s="300">
        <v>4.9000000000000004</v>
      </c>
      <c r="Z32" s="300">
        <v>4.9000000000000004</v>
      </c>
      <c r="AA32" s="300">
        <v>4.9000000000000004</v>
      </c>
      <c r="AB32" s="59">
        <v>1.36</v>
      </c>
      <c r="AC32" s="59">
        <v>1.36</v>
      </c>
      <c r="AD32" s="59">
        <v>1.36</v>
      </c>
      <c r="AE32" s="59">
        <v>1.36</v>
      </c>
      <c r="AF32" s="59">
        <v>1.36</v>
      </c>
      <c r="AG32" s="59">
        <v>1.36</v>
      </c>
      <c r="AH32" s="59">
        <v>1.36</v>
      </c>
      <c r="AI32" s="59">
        <v>1.5</v>
      </c>
      <c r="AJ32" s="59">
        <v>1.5</v>
      </c>
      <c r="AK32" s="59">
        <v>1.5</v>
      </c>
      <c r="AL32" s="59">
        <v>1.5</v>
      </c>
      <c r="AM32" s="59">
        <v>1.5</v>
      </c>
      <c r="AN32" s="59">
        <v>1.5</v>
      </c>
      <c r="AO32" s="255">
        <v>1787</v>
      </c>
      <c r="AP32" s="254">
        <f t="shared" si="0"/>
        <v>2430.3200000000002</v>
      </c>
      <c r="AQ32" s="255">
        <v>2080</v>
      </c>
      <c r="AR32" s="254">
        <f t="shared" si="1"/>
        <v>2828.8</v>
      </c>
      <c r="AS32" s="255">
        <v>7360</v>
      </c>
      <c r="AT32" s="254">
        <f t="shared" si="2"/>
        <v>10009.6</v>
      </c>
      <c r="AU32" s="255">
        <v>760</v>
      </c>
      <c r="AV32" s="257">
        <f t="shared" si="3"/>
        <v>1033.6000000000001</v>
      </c>
      <c r="AW32" s="255">
        <v>5480</v>
      </c>
      <c r="AX32" s="257">
        <f t="shared" si="4"/>
        <v>7452.8</v>
      </c>
      <c r="AY32" s="255">
        <v>4040</v>
      </c>
      <c r="AZ32" s="257">
        <f t="shared" si="5"/>
        <v>5494.4000000000005</v>
      </c>
      <c r="BA32" s="255">
        <v>14760</v>
      </c>
      <c r="BB32" s="257">
        <f t="shared" si="6"/>
        <v>22140</v>
      </c>
      <c r="BC32" s="255">
        <v>2160</v>
      </c>
      <c r="BD32" s="257">
        <f t="shared" si="7"/>
        <v>3240</v>
      </c>
      <c r="BE32" s="255">
        <v>16000</v>
      </c>
      <c r="BF32" s="257">
        <f t="shared" si="8"/>
        <v>24000</v>
      </c>
      <c r="BG32" s="255">
        <v>2440</v>
      </c>
      <c r="BH32" s="257">
        <f t="shared" si="9"/>
        <v>3660</v>
      </c>
      <c r="BI32" s="255">
        <v>3120</v>
      </c>
      <c r="BJ32" s="257">
        <f t="shared" si="10"/>
        <v>4680</v>
      </c>
      <c r="BK32" s="255">
        <v>6200</v>
      </c>
      <c r="BL32" s="257">
        <f t="shared" si="11"/>
        <v>9300</v>
      </c>
    </row>
    <row r="33" spans="1:64" ht="17.25" hidden="1" customHeight="1">
      <c r="A33" s="250" t="s">
        <v>330</v>
      </c>
      <c r="C33" s="354"/>
      <c r="D33" s="424"/>
      <c r="E33" s="357"/>
      <c r="F33" s="429" t="s">
        <v>181</v>
      </c>
      <c r="G33" s="317"/>
      <c r="H33" s="59"/>
      <c r="I33" s="315"/>
      <c r="J33" s="317"/>
      <c r="K33" s="59"/>
      <c r="L33" s="298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255"/>
      <c r="AP33" s="254">
        <f t="shared" si="0"/>
        <v>0</v>
      </c>
      <c r="AQ33" s="255"/>
      <c r="AR33" s="254">
        <f t="shared" si="1"/>
        <v>0</v>
      </c>
      <c r="AS33" s="255"/>
      <c r="AT33" s="254">
        <f t="shared" si="2"/>
        <v>0</v>
      </c>
      <c r="AU33" s="256"/>
      <c r="AV33" s="257">
        <f t="shared" si="3"/>
        <v>0</v>
      </c>
      <c r="AW33" s="255"/>
      <c r="AX33" s="257">
        <f t="shared" si="4"/>
        <v>0</v>
      </c>
      <c r="AY33" s="255"/>
      <c r="AZ33" s="257">
        <f t="shared" si="5"/>
        <v>0</v>
      </c>
      <c r="BA33" s="255"/>
      <c r="BB33" s="257">
        <f t="shared" si="6"/>
        <v>0</v>
      </c>
      <c r="BC33" s="255"/>
      <c r="BD33" s="257">
        <f t="shared" si="7"/>
        <v>0</v>
      </c>
      <c r="BE33" s="255"/>
      <c r="BF33" s="257">
        <f t="shared" si="8"/>
        <v>0</v>
      </c>
      <c r="BG33" s="59"/>
      <c r="BH33" s="257">
        <f t="shared" si="9"/>
        <v>0</v>
      </c>
      <c r="BI33" s="59"/>
      <c r="BJ33" s="257">
        <f t="shared" si="10"/>
        <v>0</v>
      </c>
      <c r="BK33" s="59"/>
      <c r="BL33" s="257">
        <f t="shared" si="11"/>
        <v>0</v>
      </c>
    </row>
    <row r="34" spans="1:64" ht="15" hidden="1" customHeight="1">
      <c r="A34" s="250" t="s">
        <v>330</v>
      </c>
      <c r="C34" s="354"/>
      <c r="D34" s="424"/>
      <c r="E34" s="357"/>
      <c r="F34" s="429"/>
      <c r="G34" s="317"/>
      <c r="H34" s="59"/>
      <c r="I34" s="315"/>
      <c r="J34" s="317"/>
      <c r="K34" s="59"/>
      <c r="L34" s="59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255"/>
      <c r="AP34" s="254">
        <f t="shared" si="0"/>
        <v>0</v>
      </c>
      <c r="AQ34" s="255"/>
      <c r="AR34" s="254">
        <f t="shared" si="1"/>
        <v>0</v>
      </c>
      <c r="AS34" s="255"/>
      <c r="AT34" s="254">
        <f t="shared" si="2"/>
        <v>0</v>
      </c>
      <c r="AU34" s="256"/>
      <c r="AV34" s="257">
        <f t="shared" si="3"/>
        <v>0</v>
      </c>
      <c r="AW34" s="255"/>
      <c r="AX34" s="257">
        <f t="shared" si="4"/>
        <v>0</v>
      </c>
      <c r="AY34" s="255"/>
      <c r="AZ34" s="257">
        <f t="shared" si="5"/>
        <v>0</v>
      </c>
      <c r="BA34" s="255"/>
      <c r="BB34" s="257">
        <f t="shared" si="6"/>
        <v>0</v>
      </c>
      <c r="BC34" s="255"/>
      <c r="BD34" s="257">
        <f t="shared" si="7"/>
        <v>0</v>
      </c>
      <c r="BE34" s="255"/>
      <c r="BF34" s="257">
        <f t="shared" si="8"/>
        <v>0</v>
      </c>
      <c r="BG34" s="59"/>
      <c r="BH34" s="257">
        <f t="shared" si="9"/>
        <v>0</v>
      </c>
      <c r="BI34" s="59"/>
      <c r="BJ34" s="257">
        <f t="shared" si="10"/>
        <v>0</v>
      </c>
      <c r="BK34" s="59"/>
      <c r="BL34" s="257">
        <f t="shared" si="11"/>
        <v>0</v>
      </c>
    </row>
    <row r="35" spans="1:64" ht="17.25" hidden="1" customHeight="1">
      <c r="A35" s="250" t="s">
        <v>330</v>
      </c>
      <c r="C35" s="354"/>
      <c r="D35" s="424"/>
      <c r="E35" s="357"/>
      <c r="F35" s="421" t="s">
        <v>68</v>
      </c>
      <c r="G35" s="319"/>
      <c r="H35" s="298"/>
      <c r="I35" s="298"/>
      <c r="J35" s="299"/>
      <c r="K35" s="298"/>
      <c r="L35" s="298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255"/>
      <c r="AP35" s="254">
        <f t="shared" si="0"/>
        <v>0</v>
      </c>
      <c r="AQ35" s="255"/>
      <c r="AR35" s="254">
        <f t="shared" si="1"/>
        <v>0</v>
      </c>
      <c r="AS35" s="255"/>
      <c r="AT35" s="254">
        <f t="shared" si="2"/>
        <v>0</v>
      </c>
      <c r="AU35" s="256"/>
      <c r="AV35" s="257">
        <f t="shared" si="3"/>
        <v>0</v>
      </c>
      <c r="AW35" s="270"/>
      <c r="AX35" s="257">
        <f t="shared" si="4"/>
        <v>0</v>
      </c>
      <c r="AY35" s="270"/>
      <c r="AZ35" s="257">
        <f t="shared" si="5"/>
        <v>0</v>
      </c>
      <c r="BA35" s="268"/>
      <c r="BB35" s="257">
        <f t="shared" si="6"/>
        <v>0</v>
      </c>
      <c r="BC35" s="268"/>
      <c r="BD35" s="257">
        <f t="shared" si="7"/>
        <v>0</v>
      </c>
      <c r="BE35" s="59"/>
      <c r="BF35" s="257">
        <f t="shared" si="8"/>
        <v>0</v>
      </c>
      <c r="BG35" s="59"/>
      <c r="BH35" s="257">
        <f t="shared" si="9"/>
        <v>0</v>
      </c>
      <c r="BI35" s="59"/>
      <c r="BJ35" s="257">
        <f t="shared" si="10"/>
        <v>0</v>
      </c>
      <c r="BK35" s="59"/>
      <c r="BL35" s="257">
        <f t="shared" si="11"/>
        <v>0</v>
      </c>
    </row>
    <row r="36" spans="1:64" ht="17.25" hidden="1" customHeight="1">
      <c r="A36" s="250" t="s">
        <v>330</v>
      </c>
      <c r="C36" s="354"/>
      <c r="D36" s="424"/>
      <c r="E36" s="357"/>
      <c r="F36" s="421"/>
      <c r="G36" s="59"/>
      <c r="H36" s="59"/>
      <c r="I36" s="59"/>
      <c r="J36" s="302"/>
      <c r="K36" s="59"/>
      <c r="L36" s="59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255"/>
      <c r="AP36" s="254">
        <f t="shared" si="0"/>
        <v>0</v>
      </c>
      <c r="AQ36" s="255"/>
      <c r="AR36" s="254">
        <f t="shared" si="1"/>
        <v>0</v>
      </c>
      <c r="AS36" s="255"/>
      <c r="AT36" s="254">
        <f t="shared" si="2"/>
        <v>0</v>
      </c>
      <c r="AU36" s="256"/>
      <c r="AV36" s="257">
        <f t="shared" si="3"/>
        <v>0</v>
      </c>
      <c r="AW36" s="270"/>
      <c r="AX36" s="257">
        <f t="shared" si="4"/>
        <v>0</v>
      </c>
      <c r="AY36" s="270"/>
      <c r="AZ36" s="257">
        <f t="shared" si="5"/>
        <v>0</v>
      </c>
      <c r="BA36" s="268"/>
      <c r="BB36" s="257">
        <f t="shared" si="6"/>
        <v>0</v>
      </c>
      <c r="BC36" s="268"/>
      <c r="BD36" s="257">
        <f t="shared" si="7"/>
        <v>0</v>
      </c>
      <c r="BE36" s="59"/>
      <c r="BF36" s="257">
        <f t="shared" si="8"/>
        <v>0</v>
      </c>
      <c r="BG36" s="59"/>
      <c r="BH36" s="257">
        <f t="shared" si="9"/>
        <v>0</v>
      </c>
      <c r="BI36" s="59"/>
      <c r="BJ36" s="257">
        <f t="shared" si="10"/>
        <v>0</v>
      </c>
      <c r="BK36" s="59"/>
      <c r="BL36" s="257">
        <f t="shared" si="11"/>
        <v>0</v>
      </c>
    </row>
    <row r="37" spans="1:64" ht="17.25" hidden="1" customHeight="1">
      <c r="A37" s="250" t="s">
        <v>330</v>
      </c>
      <c r="C37" s="354"/>
      <c r="D37" s="424"/>
      <c r="E37" s="357"/>
      <c r="F37" s="421"/>
      <c r="G37" s="59"/>
      <c r="H37" s="59"/>
      <c r="I37" s="59"/>
      <c r="J37" s="302"/>
      <c r="K37" s="59"/>
      <c r="L37" s="59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255"/>
      <c r="AP37" s="254">
        <f t="shared" si="0"/>
        <v>0</v>
      </c>
      <c r="AQ37" s="255"/>
      <c r="AR37" s="254">
        <f t="shared" si="1"/>
        <v>0</v>
      </c>
      <c r="AS37" s="255"/>
      <c r="AT37" s="254">
        <f t="shared" si="2"/>
        <v>0</v>
      </c>
      <c r="AU37" s="256"/>
      <c r="AV37" s="257">
        <f t="shared" si="3"/>
        <v>0</v>
      </c>
      <c r="AW37" s="270"/>
      <c r="AX37" s="257">
        <f t="shared" si="4"/>
        <v>0</v>
      </c>
      <c r="AY37" s="270"/>
      <c r="AZ37" s="257">
        <f t="shared" si="5"/>
        <v>0</v>
      </c>
      <c r="BA37" s="268"/>
      <c r="BB37" s="257">
        <f t="shared" si="6"/>
        <v>0</v>
      </c>
      <c r="BC37" s="268"/>
      <c r="BD37" s="257">
        <f t="shared" si="7"/>
        <v>0</v>
      </c>
      <c r="BE37" s="59"/>
      <c r="BF37" s="257">
        <f t="shared" si="8"/>
        <v>0</v>
      </c>
      <c r="BG37" s="59"/>
      <c r="BH37" s="257">
        <f t="shared" si="9"/>
        <v>0</v>
      </c>
      <c r="BI37" s="59"/>
      <c r="BJ37" s="257">
        <f t="shared" si="10"/>
        <v>0</v>
      </c>
      <c r="BK37" s="59"/>
      <c r="BL37" s="257">
        <f t="shared" si="11"/>
        <v>0</v>
      </c>
    </row>
    <row r="38" spans="1:64" ht="15" hidden="1" customHeight="1">
      <c r="A38" s="250" t="s">
        <v>330</v>
      </c>
      <c r="C38" s="354"/>
      <c r="D38" s="424"/>
      <c r="E38" s="357"/>
      <c r="F38" s="417"/>
      <c r="G38" s="59"/>
      <c r="H38" s="59"/>
      <c r="I38" s="59"/>
      <c r="J38" s="302"/>
      <c r="K38" s="59"/>
      <c r="L38" s="59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255"/>
      <c r="AP38" s="254">
        <f t="shared" si="0"/>
        <v>0</v>
      </c>
      <c r="AQ38" s="255"/>
      <c r="AR38" s="254">
        <f t="shared" si="1"/>
        <v>0</v>
      </c>
      <c r="AS38" s="255"/>
      <c r="AT38" s="254">
        <f t="shared" si="2"/>
        <v>0</v>
      </c>
      <c r="AU38" s="256"/>
      <c r="AV38" s="257">
        <f t="shared" si="3"/>
        <v>0</v>
      </c>
      <c r="AW38" s="270"/>
      <c r="AX38" s="257">
        <f t="shared" si="4"/>
        <v>0</v>
      </c>
      <c r="AY38" s="270"/>
      <c r="AZ38" s="257">
        <f t="shared" si="5"/>
        <v>0</v>
      </c>
      <c r="BA38" s="268"/>
      <c r="BB38" s="257">
        <f t="shared" si="6"/>
        <v>0</v>
      </c>
      <c r="BC38" s="268"/>
      <c r="BD38" s="257">
        <f t="shared" si="7"/>
        <v>0</v>
      </c>
      <c r="BE38" s="59"/>
      <c r="BF38" s="257">
        <f t="shared" si="8"/>
        <v>0</v>
      </c>
      <c r="BG38" s="59"/>
      <c r="BH38" s="257">
        <f t="shared" si="9"/>
        <v>0</v>
      </c>
      <c r="BI38" s="59"/>
      <c r="BJ38" s="257">
        <f t="shared" si="10"/>
        <v>0</v>
      </c>
      <c r="BK38" s="59"/>
      <c r="BL38" s="257">
        <f t="shared" si="11"/>
        <v>0</v>
      </c>
    </row>
    <row r="39" spans="1:64" ht="15.75" customHeight="1">
      <c r="A39" s="250" t="s">
        <v>330</v>
      </c>
      <c r="B39" s="59" t="s">
        <v>341</v>
      </c>
      <c r="C39" s="354" t="s">
        <v>172</v>
      </c>
      <c r="D39" s="424"/>
      <c r="E39" s="357" t="s">
        <v>173</v>
      </c>
      <c r="F39" s="421" t="s">
        <v>188</v>
      </c>
      <c r="G39" s="317">
        <v>2020</v>
      </c>
      <c r="H39" s="59" t="s">
        <v>342</v>
      </c>
      <c r="I39" s="315" t="s">
        <v>175</v>
      </c>
      <c r="J39" s="317">
        <v>14</v>
      </c>
      <c r="K39" s="59" t="s">
        <v>343</v>
      </c>
      <c r="L39" s="298" t="s">
        <v>344</v>
      </c>
      <c r="M39" s="300" t="s">
        <v>345</v>
      </c>
      <c r="N39" s="300">
        <v>2.9</v>
      </c>
      <c r="O39" s="300">
        <v>3.5</v>
      </c>
      <c r="P39" s="300">
        <v>3.5</v>
      </c>
      <c r="Q39" s="300">
        <v>3.5</v>
      </c>
      <c r="R39" s="300">
        <v>3.5</v>
      </c>
      <c r="S39" s="300">
        <v>3.5</v>
      </c>
      <c r="T39" s="300">
        <v>3.5</v>
      </c>
      <c r="U39" s="300">
        <v>3.5</v>
      </c>
      <c r="V39" s="300">
        <v>3.5</v>
      </c>
      <c r="W39" s="300">
        <v>3.5</v>
      </c>
      <c r="X39" s="300">
        <v>3.5</v>
      </c>
      <c r="Y39" s="300">
        <v>3.5</v>
      </c>
      <c r="Z39" s="300">
        <v>3.5</v>
      </c>
      <c r="AA39" s="300">
        <v>3.5</v>
      </c>
      <c r="AB39" s="301">
        <v>0.5</v>
      </c>
      <c r="AC39" s="301">
        <v>0.5</v>
      </c>
      <c r="AD39" s="301">
        <v>0.5</v>
      </c>
      <c r="AE39" s="301">
        <v>0.6</v>
      </c>
      <c r="AF39" s="301">
        <v>0.6</v>
      </c>
      <c r="AG39" s="301">
        <v>0.6</v>
      </c>
      <c r="AH39" s="301">
        <v>0.6</v>
      </c>
      <c r="AI39" s="301">
        <v>0.6</v>
      </c>
      <c r="AJ39" s="301">
        <v>0.6</v>
      </c>
      <c r="AK39" s="301">
        <v>0.6</v>
      </c>
      <c r="AL39" s="301">
        <v>0.6</v>
      </c>
      <c r="AM39" s="301">
        <v>0.6</v>
      </c>
      <c r="AN39" s="301">
        <v>0.6</v>
      </c>
      <c r="AO39" s="255">
        <v>11840</v>
      </c>
      <c r="AP39" s="254">
        <f t="shared" si="0"/>
        <v>5920</v>
      </c>
      <c r="AQ39" s="255">
        <v>41720</v>
      </c>
      <c r="AR39" s="254">
        <f t="shared" si="1"/>
        <v>20860</v>
      </c>
      <c r="AS39" s="255">
        <v>5800</v>
      </c>
      <c r="AT39" s="254">
        <f t="shared" si="2"/>
        <v>3480</v>
      </c>
      <c r="AU39" s="256">
        <v>28560</v>
      </c>
      <c r="AV39" s="257">
        <f t="shared" si="3"/>
        <v>17136</v>
      </c>
      <c r="AW39" s="255">
        <v>16120</v>
      </c>
      <c r="AX39" s="257">
        <f t="shared" si="4"/>
        <v>9672</v>
      </c>
      <c r="AY39" s="255">
        <v>37673</v>
      </c>
      <c r="AZ39" s="257">
        <f t="shared" si="5"/>
        <v>22603.8</v>
      </c>
      <c r="BA39" s="255">
        <v>52920</v>
      </c>
      <c r="BB39" s="257">
        <f t="shared" si="6"/>
        <v>31752</v>
      </c>
      <c r="BC39" s="255">
        <v>29960</v>
      </c>
      <c r="BD39" s="257">
        <f t="shared" si="7"/>
        <v>17976</v>
      </c>
      <c r="BE39" s="255">
        <v>32840</v>
      </c>
      <c r="BF39" s="257">
        <f t="shared" si="8"/>
        <v>19704</v>
      </c>
      <c r="BG39" s="255"/>
      <c r="BH39" s="257">
        <f t="shared" si="9"/>
        <v>0</v>
      </c>
      <c r="BI39" s="255">
        <v>12280</v>
      </c>
      <c r="BJ39" s="257">
        <f t="shared" si="10"/>
        <v>7368</v>
      </c>
      <c r="BK39" s="255">
        <v>26760</v>
      </c>
      <c r="BL39" s="257">
        <f t="shared" si="11"/>
        <v>16056</v>
      </c>
    </row>
    <row r="40" spans="1:64" ht="15.75" customHeight="1">
      <c r="A40" s="250" t="s">
        <v>330</v>
      </c>
      <c r="B40" s="59" t="s">
        <v>341</v>
      </c>
      <c r="C40" s="354" t="s">
        <v>172</v>
      </c>
      <c r="D40" s="424"/>
      <c r="E40" s="357" t="s">
        <v>173</v>
      </c>
      <c r="F40" s="421"/>
      <c r="G40" s="317">
        <v>2020</v>
      </c>
      <c r="H40" s="59" t="s">
        <v>342</v>
      </c>
      <c r="I40" s="315" t="s">
        <v>249</v>
      </c>
      <c r="J40" s="317">
        <v>14</v>
      </c>
      <c r="K40" s="59" t="s">
        <v>343</v>
      </c>
      <c r="L40" s="298" t="s">
        <v>344</v>
      </c>
      <c r="M40" s="300" t="s">
        <v>345</v>
      </c>
      <c r="N40" s="300">
        <v>9</v>
      </c>
      <c r="O40" s="300">
        <v>12.15</v>
      </c>
      <c r="P40" s="300">
        <v>12.15</v>
      </c>
      <c r="Q40" s="300">
        <v>12.15</v>
      </c>
      <c r="R40" s="300">
        <v>12.15</v>
      </c>
      <c r="S40" s="300">
        <v>12.15</v>
      </c>
      <c r="T40" s="300">
        <v>12.15</v>
      </c>
      <c r="U40" s="300">
        <v>12.15</v>
      </c>
      <c r="V40" s="300">
        <v>12.15</v>
      </c>
      <c r="W40" s="300">
        <v>12.15</v>
      </c>
      <c r="X40" s="300">
        <v>12.15</v>
      </c>
      <c r="Y40" s="300">
        <v>12.15</v>
      </c>
      <c r="Z40" s="300">
        <v>12.15</v>
      </c>
      <c r="AA40" s="300">
        <v>12.15</v>
      </c>
      <c r="AB40" s="301">
        <v>2</v>
      </c>
      <c r="AC40" s="301">
        <v>2</v>
      </c>
      <c r="AD40" s="301">
        <v>2</v>
      </c>
      <c r="AE40" s="301">
        <v>3.15</v>
      </c>
      <c r="AF40" s="301">
        <v>3.15</v>
      </c>
      <c r="AG40" s="301">
        <v>3.15</v>
      </c>
      <c r="AH40" s="301">
        <v>3.15</v>
      </c>
      <c r="AI40" s="301">
        <v>3.15</v>
      </c>
      <c r="AJ40" s="301">
        <v>3.15</v>
      </c>
      <c r="AK40" s="301">
        <v>3.15</v>
      </c>
      <c r="AL40" s="301">
        <v>3.15</v>
      </c>
      <c r="AM40" s="301">
        <v>3.15</v>
      </c>
      <c r="AN40" s="301">
        <v>3.15</v>
      </c>
      <c r="AO40" s="255">
        <v>120</v>
      </c>
      <c r="AP40" s="254">
        <f t="shared" si="0"/>
        <v>240</v>
      </c>
      <c r="AQ40" s="255">
        <v>840</v>
      </c>
      <c r="AR40" s="254">
        <f t="shared" si="1"/>
        <v>1680</v>
      </c>
      <c r="AS40" s="255"/>
      <c r="AT40" s="254">
        <f t="shared" si="2"/>
        <v>0</v>
      </c>
      <c r="AU40" s="256"/>
      <c r="AV40" s="257">
        <f t="shared" si="3"/>
        <v>0</v>
      </c>
      <c r="AW40" s="255"/>
      <c r="AX40" s="257">
        <f t="shared" si="4"/>
        <v>0</v>
      </c>
      <c r="AY40" s="255"/>
      <c r="AZ40" s="257">
        <f t="shared" si="5"/>
        <v>0</v>
      </c>
      <c r="BA40" s="255"/>
      <c r="BB40" s="257">
        <f t="shared" si="6"/>
        <v>0</v>
      </c>
      <c r="BC40" s="255">
        <v>120</v>
      </c>
      <c r="BD40" s="257">
        <f t="shared" si="7"/>
        <v>378</v>
      </c>
      <c r="BE40" s="255">
        <v>360</v>
      </c>
      <c r="BF40" s="257">
        <f t="shared" si="8"/>
        <v>1134</v>
      </c>
      <c r="BG40" s="255"/>
      <c r="BH40" s="257">
        <f t="shared" si="9"/>
        <v>0</v>
      </c>
      <c r="BI40" s="255"/>
      <c r="BJ40" s="257">
        <f t="shared" si="10"/>
        <v>0</v>
      </c>
      <c r="BK40" s="255"/>
      <c r="BL40" s="257">
        <f t="shared" si="11"/>
        <v>0</v>
      </c>
    </row>
    <row r="41" spans="1:64" ht="15.75" customHeight="1">
      <c r="A41" s="250" t="s">
        <v>330</v>
      </c>
      <c r="B41" s="59" t="s">
        <v>341</v>
      </c>
      <c r="C41" s="354" t="s">
        <v>172</v>
      </c>
      <c r="D41" s="424"/>
      <c r="E41" s="357" t="s">
        <v>173</v>
      </c>
      <c r="F41" s="421"/>
      <c r="G41" s="317">
        <v>2021</v>
      </c>
      <c r="H41" s="59" t="s">
        <v>346</v>
      </c>
      <c r="I41" s="315" t="s">
        <v>175</v>
      </c>
      <c r="J41" s="317">
        <v>14</v>
      </c>
      <c r="K41" s="59" t="s">
        <v>347</v>
      </c>
      <c r="L41" s="298" t="s">
        <v>344</v>
      </c>
      <c r="M41" s="300" t="s">
        <v>345</v>
      </c>
      <c r="N41" s="300">
        <v>2.9</v>
      </c>
      <c r="O41" s="300">
        <v>3.5</v>
      </c>
      <c r="P41" s="300">
        <v>3.5</v>
      </c>
      <c r="Q41" s="300">
        <v>3.5</v>
      </c>
      <c r="R41" s="300">
        <v>3.5</v>
      </c>
      <c r="S41" s="300">
        <v>3.5</v>
      </c>
      <c r="T41" s="300">
        <v>3.5</v>
      </c>
      <c r="U41" s="300">
        <v>3.5</v>
      </c>
      <c r="V41" s="300">
        <v>3.5</v>
      </c>
      <c r="W41" s="300">
        <v>3.5</v>
      </c>
      <c r="X41" s="300">
        <v>3.5</v>
      </c>
      <c r="Y41" s="300">
        <v>3.5</v>
      </c>
      <c r="Z41" s="300">
        <v>3.5</v>
      </c>
      <c r="AA41" s="300">
        <v>3.5</v>
      </c>
      <c r="AB41" s="301">
        <v>0.5</v>
      </c>
      <c r="AC41" s="301">
        <v>0.5</v>
      </c>
      <c r="AD41" s="301">
        <v>0.5</v>
      </c>
      <c r="AE41" s="301">
        <v>0.6</v>
      </c>
      <c r="AF41" s="301">
        <v>0.6</v>
      </c>
      <c r="AG41" s="301">
        <v>0.6</v>
      </c>
      <c r="AH41" s="301">
        <v>0.6</v>
      </c>
      <c r="AI41" s="301">
        <v>0.6</v>
      </c>
      <c r="AJ41" s="301">
        <v>0.6</v>
      </c>
      <c r="AK41" s="301">
        <v>0.6</v>
      </c>
      <c r="AL41" s="301">
        <v>0.6</v>
      </c>
      <c r="AM41" s="301">
        <v>0.6</v>
      </c>
      <c r="AN41" s="301">
        <v>0.6</v>
      </c>
      <c r="AO41" s="255"/>
      <c r="AP41" s="254">
        <f t="shared" si="0"/>
        <v>0</v>
      </c>
      <c r="AQ41" s="255"/>
      <c r="AR41" s="254">
        <f t="shared" si="1"/>
        <v>0</v>
      </c>
      <c r="AS41" s="255">
        <v>12840</v>
      </c>
      <c r="AT41" s="254">
        <f t="shared" si="2"/>
        <v>7704</v>
      </c>
      <c r="AU41" s="256"/>
      <c r="AV41" s="257">
        <f t="shared" si="3"/>
        <v>0</v>
      </c>
      <c r="AW41" s="255">
        <v>15880</v>
      </c>
      <c r="AX41" s="257">
        <f t="shared" si="4"/>
        <v>9528</v>
      </c>
      <c r="AY41" s="255">
        <v>19040</v>
      </c>
      <c r="AZ41" s="257">
        <f t="shared" si="5"/>
        <v>11424</v>
      </c>
      <c r="BA41" s="255"/>
      <c r="BB41" s="257">
        <f t="shared" si="6"/>
        <v>0</v>
      </c>
      <c r="BC41" s="255"/>
      <c r="BD41" s="257">
        <f t="shared" si="7"/>
        <v>0</v>
      </c>
      <c r="BE41" s="255"/>
      <c r="BF41" s="257">
        <f t="shared" si="8"/>
        <v>0</v>
      </c>
      <c r="BG41" s="255">
        <v>5240</v>
      </c>
      <c r="BH41" s="257">
        <f t="shared" si="9"/>
        <v>3144</v>
      </c>
      <c r="BI41" s="255">
        <v>2440</v>
      </c>
      <c r="BJ41" s="257">
        <f t="shared" si="10"/>
        <v>1464</v>
      </c>
      <c r="BK41" s="255">
        <v>800</v>
      </c>
      <c r="BL41" s="257">
        <f t="shared" si="11"/>
        <v>480</v>
      </c>
    </row>
    <row r="42" spans="1:64" ht="15.75" customHeight="1">
      <c r="A42" s="250" t="s">
        <v>330</v>
      </c>
      <c r="B42" s="59" t="s">
        <v>341</v>
      </c>
      <c r="C42" s="354" t="s">
        <v>172</v>
      </c>
      <c r="D42" s="424"/>
      <c r="E42" s="357" t="s">
        <v>173</v>
      </c>
      <c r="F42" s="421"/>
      <c r="G42" s="317">
        <v>2021</v>
      </c>
      <c r="H42" s="59" t="s">
        <v>346</v>
      </c>
      <c r="I42" s="315" t="s">
        <v>249</v>
      </c>
      <c r="J42" s="317">
        <v>14</v>
      </c>
      <c r="K42" s="59" t="s">
        <v>347</v>
      </c>
      <c r="L42" s="298" t="s">
        <v>344</v>
      </c>
      <c r="M42" s="300" t="s">
        <v>345</v>
      </c>
      <c r="N42" s="300">
        <v>9</v>
      </c>
      <c r="O42" s="300">
        <v>12.15</v>
      </c>
      <c r="P42" s="300">
        <v>12.15</v>
      </c>
      <c r="Q42" s="300">
        <v>12.15</v>
      </c>
      <c r="R42" s="300">
        <v>12.15</v>
      </c>
      <c r="S42" s="300">
        <v>12.15</v>
      </c>
      <c r="T42" s="300">
        <v>12.15</v>
      </c>
      <c r="U42" s="300">
        <v>12.15</v>
      </c>
      <c r="V42" s="300">
        <v>12.15</v>
      </c>
      <c r="W42" s="300">
        <v>12.15</v>
      </c>
      <c r="X42" s="300">
        <v>12.15</v>
      </c>
      <c r="Y42" s="300">
        <v>12.15</v>
      </c>
      <c r="Z42" s="300">
        <v>12.15</v>
      </c>
      <c r="AA42" s="300">
        <v>12.15</v>
      </c>
      <c r="AB42" s="301">
        <v>2</v>
      </c>
      <c r="AC42" s="301">
        <v>2</v>
      </c>
      <c r="AD42" s="301">
        <v>2</v>
      </c>
      <c r="AE42" s="301">
        <v>3.15</v>
      </c>
      <c r="AF42" s="301">
        <v>3.15</v>
      </c>
      <c r="AG42" s="301">
        <v>3.15</v>
      </c>
      <c r="AH42" s="301">
        <v>3.15</v>
      </c>
      <c r="AI42" s="301">
        <v>3.15</v>
      </c>
      <c r="AJ42" s="301">
        <v>3.15</v>
      </c>
      <c r="AK42" s="301">
        <v>3.15</v>
      </c>
      <c r="AL42" s="301">
        <v>3.15</v>
      </c>
      <c r="AM42" s="301">
        <v>3.15</v>
      </c>
      <c r="AN42" s="301">
        <v>3.15</v>
      </c>
      <c r="AO42" s="255"/>
      <c r="AP42" s="254">
        <f t="shared" si="0"/>
        <v>0</v>
      </c>
      <c r="AQ42" s="255"/>
      <c r="AR42" s="254">
        <f t="shared" si="1"/>
        <v>0</v>
      </c>
      <c r="AS42" s="255">
        <v>80</v>
      </c>
      <c r="AT42" s="254">
        <f t="shared" si="2"/>
        <v>252</v>
      </c>
      <c r="AU42" s="256"/>
      <c r="AV42" s="257">
        <f t="shared" si="3"/>
        <v>0</v>
      </c>
      <c r="AW42" s="255"/>
      <c r="AX42" s="257">
        <f t="shared" si="4"/>
        <v>0</v>
      </c>
      <c r="AY42" s="255">
        <v>638</v>
      </c>
      <c r="AZ42" s="257">
        <f t="shared" si="5"/>
        <v>2009.7</v>
      </c>
      <c r="BA42" s="255"/>
      <c r="BB42" s="257">
        <f t="shared" si="6"/>
        <v>0</v>
      </c>
      <c r="BC42" s="255"/>
      <c r="BD42" s="257">
        <f t="shared" si="7"/>
        <v>0</v>
      </c>
      <c r="BE42" s="255"/>
      <c r="BF42" s="257">
        <f t="shared" si="8"/>
        <v>0</v>
      </c>
      <c r="BG42" s="255">
        <v>200</v>
      </c>
      <c r="BH42" s="257">
        <f t="shared" si="9"/>
        <v>630</v>
      </c>
      <c r="BI42" s="255"/>
      <c r="BJ42" s="257">
        <f t="shared" si="10"/>
        <v>0</v>
      </c>
      <c r="BK42" s="255"/>
      <c r="BL42" s="257">
        <f t="shared" si="11"/>
        <v>0</v>
      </c>
    </row>
    <row r="43" spans="1:64" ht="15.75" customHeight="1">
      <c r="A43" s="250" t="s">
        <v>330</v>
      </c>
      <c r="B43" s="59" t="s">
        <v>341</v>
      </c>
      <c r="C43" s="354" t="s">
        <v>172</v>
      </c>
      <c r="D43" s="424"/>
      <c r="E43" s="357" t="s">
        <v>173</v>
      </c>
      <c r="F43" s="421"/>
      <c r="G43" s="317">
        <v>2021</v>
      </c>
      <c r="H43" s="59" t="s">
        <v>348</v>
      </c>
      <c r="I43" s="315" t="s">
        <v>175</v>
      </c>
      <c r="J43" s="317">
        <v>11</v>
      </c>
      <c r="K43" s="59" t="s">
        <v>349</v>
      </c>
      <c r="L43" s="298" t="s">
        <v>344</v>
      </c>
      <c r="M43" s="300" t="s">
        <v>345</v>
      </c>
      <c r="N43" s="300">
        <v>2.95</v>
      </c>
      <c r="O43" s="300">
        <v>4.0999999999999996</v>
      </c>
      <c r="P43" s="300">
        <v>4.0999999999999996</v>
      </c>
      <c r="Q43" s="300">
        <v>4.0999999999999996</v>
      </c>
      <c r="R43" s="300">
        <v>4.0999999999999996</v>
      </c>
      <c r="S43" s="300">
        <v>4.0999999999999996</v>
      </c>
      <c r="T43" s="300">
        <v>4.0999999999999996</v>
      </c>
      <c r="U43" s="300">
        <v>4.0999999999999996</v>
      </c>
      <c r="V43" s="300">
        <v>4.0999999999999996</v>
      </c>
      <c r="W43" s="300">
        <v>4.0999999999999996</v>
      </c>
      <c r="X43" s="300">
        <v>4.0999999999999996</v>
      </c>
      <c r="Y43" s="300">
        <v>4.0999999999999996</v>
      </c>
      <c r="Z43" s="300">
        <v>4.0999999999999996</v>
      </c>
      <c r="AA43" s="300">
        <v>4.0999999999999996</v>
      </c>
      <c r="AB43" s="301">
        <v>0.7</v>
      </c>
      <c r="AC43" s="301">
        <v>0.7</v>
      </c>
      <c r="AD43" s="301">
        <v>0.7</v>
      </c>
      <c r="AE43" s="301">
        <v>1.1499999999999999</v>
      </c>
      <c r="AF43" s="301">
        <v>1.1499999999999999</v>
      </c>
      <c r="AG43" s="301">
        <v>1.1499999999999999</v>
      </c>
      <c r="AH43" s="301">
        <v>1.1499999999999999</v>
      </c>
      <c r="AI43" s="301">
        <v>1.1499999999999999</v>
      </c>
      <c r="AJ43" s="301">
        <v>1.1499999999999999</v>
      </c>
      <c r="AK43" s="301">
        <v>1.1499999999999999</v>
      </c>
      <c r="AL43" s="301">
        <v>1.1499999999999999</v>
      </c>
      <c r="AM43" s="301">
        <v>1.1499999999999999</v>
      </c>
      <c r="AN43" s="301">
        <v>1.1499999999999999</v>
      </c>
      <c r="AO43" s="255">
        <v>1520</v>
      </c>
      <c r="AP43" s="254">
        <f t="shared" si="0"/>
        <v>1064</v>
      </c>
      <c r="AQ43" s="255">
        <v>48720</v>
      </c>
      <c r="AR43" s="254">
        <f t="shared" si="1"/>
        <v>34104</v>
      </c>
      <c r="AS43" s="255">
        <v>15040</v>
      </c>
      <c r="AT43" s="254">
        <f t="shared" si="2"/>
        <v>17296</v>
      </c>
      <c r="AU43" s="256">
        <v>24000</v>
      </c>
      <c r="AV43" s="257">
        <f t="shared" si="3"/>
        <v>27599.999999999996</v>
      </c>
      <c r="AW43" s="255">
        <v>111120</v>
      </c>
      <c r="AX43" s="257">
        <f t="shared" si="4"/>
        <v>127787.99999999999</v>
      </c>
      <c r="AY43" s="255">
        <v>60890</v>
      </c>
      <c r="AZ43" s="257">
        <f t="shared" si="5"/>
        <v>70023.5</v>
      </c>
      <c r="BA43" s="255">
        <v>84680</v>
      </c>
      <c r="BB43" s="257">
        <f t="shared" si="6"/>
        <v>97381.999999999985</v>
      </c>
      <c r="BC43" s="255">
        <v>20640</v>
      </c>
      <c r="BD43" s="257">
        <f t="shared" si="7"/>
        <v>23735.999999999996</v>
      </c>
      <c r="BE43" s="255">
        <v>1339</v>
      </c>
      <c r="BF43" s="257">
        <f t="shared" si="8"/>
        <v>1539.85</v>
      </c>
      <c r="BG43" s="255">
        <v>14880</v>
      </c>
      <c r="BH43" s="257">
        <f t="shared" si="9"/>
        <v>17112</v>
      </c>
      <c r="BI43" s="255">
        <v>6600</v>
      </c>
      <c r="BJ43" s="257">
        <f t="shared" si="10"/>
        <v>7589.9999999999991</v>
      </c>
      <c r="BK43" s="255"/>
      <c r="BL43" s="257">
        <f t="shared" si="11"/>
        <v>0</v>
      </c>
    </row>
    <row r="44" spans="1:64" ht="15.75" customHeight="1">
      <c r="A44" s="250" t="s">
        <v>330</v>
      </c>
      <c r="B44" s="59" t="s">
        <v>341</v>
      </c>
      <c r="C44" s="354" t="s">
        <v>172</v>
      </c>
      <c r="D44" s="424"/>
      <c r="E44" s="357" t="s">
        <v>173</v>
      </c>
      <c r="F44" s="421"/>
      <c r="G44" s="317">
        <v>2022</v>
      </c>
      <c r="H44" s="59" t="s">
        <v>350</v>
      </c>
      <c r="I44" s="315" t="s">
        <v>249</v>
      </c>
      <c r="J44" s="317">
        <v>14</v>
      </c>
      <c r="K44" s="59" t="s">
        <v>351</v>
      </c>
      <c r="L44" s="298" t="s">
        <v>344</v>
      </c>
      <c r="M44" s="300" t="s">
        <v>345</v>
      </c>
      <c r="N44" s="300">
        <v>9</v>
      </c>
      <c r="O44" s="300">
        <v>13.45</v>
      </c>
      <c r="P44" s="300">
        <v>13.45</v>
      </c>
      <c r="Q44" s="300">
        <v>13.45</v>
      </c>
      <c r="R44" s="300">
        <v>13.45</v>
      </c>
      <c r="S44" s="300">
        <v>13.45</v>
      </c>
      <c r="T44" s="300">
        <v>13.45</v>
      </c>
      <c r="U44" s="300">
        <v>13.45</v>
      </c>
      <c r="V44" s="300">
        <v>13.45</v>
      </c>
      <c r="W44" s="300">
        <v>13.45</v>
      </c>
      <c r="X44" s="300">
        <v>13.45</v>
      </c>
      <c r="Y44" s="300">
        <v>13.45</v>
      </c>
      <c r="Z44" s="300">
        <v>13.45</v>
      </c>
      <c r="AA44" s="300">
        <v>13.45</v>
      </c>
      <c r="AB44" s="301">
        <v>1.5</v>
      </c>
      <c r="AC44" s="301">
        <v>1.5</v>
      </c>
      <c r="AD44" s="301">
        <v>1.5</v>
      </c>
      <c r="AE44" s="301">
        <v>1.5</v>
      </c>
      <c r="AF44" s="301">
        <v>1.5</v>
      </c>
      <c r="AG44" s="301">
        <v>1.5</v>
      </c>
      <c r="AH44" s="301">
        <v>1.5</v>
      </c>
      <c r="AI44" s="301">
        <v>2.0499999999999998</v>
      </c>
      <c r="AJ44" s="301">
        <v>2.0499999999999998</v>
      </c>
      <c r="AK44" s="301">
        <v>2.0499999999999998</v>
      </c>
      <c r="AL44" s="301">
        <v>2.0499999999999998</v>
      </c>
      <c r="AM44" s="301">
        <v>2.0499999999999998</v>
      </c>
      <c r="AN44" s="301">
        <v>2.0499999999999998</v>
      </c>
      <c r="AO44" s="255">
        <v>1840</v>
      </c>
      <c r="AP44" s="254">
        <f t="shared" si="0"/>
        <v>2760</v>
      </c>
      <c r="AQ44" s="255">
        <v>810</v>
      </c>
      <c r="AR44" s="254">
        <f t="shared" si="1"/>
        <v>1215</v>
      </c>
      <c r="AS44" s="255">
        <v>400</v>
      </c>
      <c r="AT44" s="254">
        <f t="shared" si="2"/>
        <v>600</v>
      </c>
      <c r="AU44" s="256">
        <v>1070</v>
      </c>
      <c r="AV44" s="257">
        <f t="shared" si="3"/>
        <v>1605</v>
      </c>
      <c r="AW44" s="255">
        <v>524</v>
      </c>
      <c r="AX44" s="257">
        <f t="shared" si="4"/>
        <v>786</v>
      </c>
      <c r="AY44" s="255">
        <v>2080</v>
      </c>
      <c r="AZ44" s="257">
        <f t="shared" si="5"/>
        <v>3120</v>
      </c>
      <c r="BA44" s="255">
        <v>1120</v>
      </c>
      <c r="BB44" s="257">
        <f t="shared" si="6"/>
        <v>2296</v>
      </c>
      <c r="BC44" s="255">
        <v>1960</v>
      </c>
      <c r="BD44" s="257">
        <f t="shared" si="7"/>
        <v>4017.9999999999995</v>
      </c>
      <c r="BE44" s="255">
        <v>4587</v>
      </c>
      <c r="BF44" s="257">
        <f t="shared" si="8"/>
        <v>9403.3499999999985</v>
      </c>
      <c r="BG44" s="255">
        <v>2350</v>
      </c>
      <c r="BH44" s="257">
        <f t="shared" si="9"/>
        <v>4817.5</v>
      </c>
      <c r="BI44" s="255">
        <v>3360</v>
      </c>
      <c r="BJ44" s="257">
        <f t="shared" si="10"/>
        <v>6887.9999999999991</v>
      </c>
      <c r="BK44" s="255">
        <v>5040</v>
      </c>
      <c r="BL44" s="257">
        <f t="shared" si="11"/>
        <v>10332</v>
      </c>
    </row>
    <row r="45" spans="1:64" ht="15.75" customHeight="1">
      <c r="A45" s="250" t="s">
        <v>330</v>
      </c>
      <c r="B45" s="59" t="s">
        <v>341</v>
      </c>
      <c r="C45" s="354" t="s">
        <v>172</v>
      </c>
      <c r="D45" s="424"/>
      <c r="E45" s="357" t="s">
        <v>173</v>
      </c>
      <c r="F45" s="421"/>
      <c r="G45" s="317">
        <v>2022</v>
      </c>
      <c r="H45" s="59" t="s">
        <v>352</v>
      </c>
      <c r="I45" s="315" t="s">
        <v>249</v>
      </c>
      <c r="J45" s="317">
        <v>14</v>
      </c>
      <c r="K45" s="59" t="s">
        <v>351</v>
      </c>
      <c r="L45" s="298" t="s">
        <v>344</v>
      </c>
      <c r="M45" s="300" t="s">
        <v>345</v>
      </c>
      <c r="N45" s="300">
        <v>8.6999999999999993</v>
      </c>
      <c r="O45" s="300">
        <v>12.45</v>
      </c>
      <c r="P45" s="300">
        <v>12.45</v>
      </c>
      <c r="Q45" s="300">
        <v>12.45</v>
      </c>
      <c r="R45" s="300">
        <v>12.45</v>
      </c>
      <c r="S45" s="300">
        <v>12.45</v>
      </c>
      <c r="T45" s="300">
        <v>12.45</v>
      </c>
      <c r="U45" s="300">
        <v>12.45</v>
      </c>
      <c r="V45" s="300">
        <v>12.45</v>
      </c>
      <c r="W45" s="300">
        <v>12.45</v>
      </c>
      <c r="X45" s="300">
        <v>12.45</v>
      </c>
      <c r="Y45" s="300">
        <v>12.45</v>
      </c>
      <c r="Z45" s="300">
        <v>12.45</v>
      </c>
      <c r="AA45" s="300">
        <v>12.45</v>
      </c>
      <c r="AB45" s="301">
        <v>1</v>
      </c>
      <c r="AC45" s="301">
        <v>1</v>
      </c>
      <c r="AD45" s="301">
        <v>1</v>
      </c>
      <c r="AE45" s="301">
        <v>1.5</v>
      </c>
      <c r="AF45" s="301">
        <v>1.5</v>
      </c>
      <c r="AG45" s="301">
        <v>1.5</v>
      </c>
      <c r="AH45" s="301">
        <v>1.5</v>
      </c>
      <c r="AI45" s="301">
        <v>3.96</v>
      </c>
      <c r="AJ45" s="301">
        <v>3.96</v>
      </c>
      <c r="AK45" s="301">
        <v>3.96</v>
      </c>
      <c r="AL45" s="301">
        <v>3.96</v>
      </c>
      <c r="AM45" s="301">
        <v>3.96</v>
      </c>
      <c r="AN45" s="301">
        <v>3.96</v>
      </c>
      <c r="AO45" s="255">
        <v>1120</v>
      </c>
      <c r="AP45" s="254">
        <f t="shared" si="0"/>
        <v>1120</v>
      </c>
      <c r="AQ45" s="255">
        <v>1280</v>
      </c>
      <c r="AR45" s="254">
        <f t="shared" si="1"/>
        <v>1280</v>
      </c>
      <c r="AS45" s="255">
        <v>1200</v>
      </c>
      <c r="AT45" s="254">
        <f t="shared" si="2"/>
        <v>1800</v>
      </c>
      <c r="AU45" s="256">
        <v>1120</v>
      </c>
      <c r="AV45" s="257">
        <f t="shared" si="3"/>
        <v>1680</v>
      </c>
      <c r="AW45" s="255">
        <v>1120</v>
      </c>
      <c r="AX45" s="257">
        <f t="shared" si="4"/>
        <v>1680</v>
      </c>
      <c r="AY45" s="255">
        <v>1080</v>
      </c>
      <c r="AZ45" s="257">
        <f t="shared" si="5"/>
        <v>1620</v>
      </c>
      <c r="BA45" s="255">
        <v>1800</v>
      </c>
      <c r="BB45" s="257">
        <f t="shared" si="6"/>
        <v>7128</v>
      </c>
      <c r="BC45" s="255">
        <v>880</v>
      </c>
      <c r="BD45" s="257">
        <f t="shared" si="7"/>
        <v>3484.8</v>
      </c>
      <c r="BE45" s="255">
        <v>1760</v>
      </c>
      <c r="BF45" s="257">
        <f t="shared" si="8"/>
        <v>6969.6</v>
      </c>
      <c r="BG45" s="255">
        <v>1800</v>
      </c>
      <c r="BH45" s="257">
        <f t="shared" si="9"/>
        <v>7128</v>
      </c>
      <c r="BI45" s="255">
        <v>600</v>
      </c>
      <c r="BJ45" s="257">
        <f t="shared" si="10"/>
        <v>2376</v>
      </c>
      <c r="BK45" s="255">
        <v>1440</v>
      </c>
      <c r="BL45" s="257">
        <f t="shared" si="11"/>
        <v>5702.4</v>
      </c>
    </row>
    <row r="46" spans="1:64" ht="15.75" customHeight="1">
      <c r="A46" s="250" t="s">
        <v>330</v>
      </c>
      <c r="B46" s="59" t="s">
        <v>341</v>
      </c>
      <c r="C46" s="354" t="s">
        <v>172</v>
      </c>
      <c r="D46" s="424"/>
      <c r="E46" s="357" t="s">
        <v>173</v>
      </c>
      <c r="F46" s="421"/>
      <c r="G46" s="317">
        <v>2022</v>
      </c>
      <c r="H46" s="59" t="s">
        <v>352</v>
      </c>
      <c r="I46" s="315" t="s">
        <v>175</v>
      </c>
      <c r="J46" s="317">
        <v>14</v>
      </c>
      <c r="K46" s="59" t="s">
        <v>351</v>
      </c>
      <c r="L46" s="298" t="s">
        <v>344</v>
      </c>
      <c r="M46" s="300" t="s">
        <v>345</v>
      </c>
      <c r="N46" s="300">
        <v>5.25</v>
      </c>
      <c r="O46" s="300">
        <v>5.83</v>
      </c>
      <c r="P46" s="300">
        <v>5.83</v>
      </c>
      <c r="Q46" s="300">
        <v>5.83</v>
      </c>
      <c r="R46" s="300">
        <v>5.83</v>
      </c>
      <c r="S46" s="300">
        <v>5.83</v>
      </c>
      <c r="T46" s="300">
        <v>5.83</v>
      </c>
      <c r="U46" s="300">
        <v>5.83</v>
      </c>
      <c r="V46" s="300">
        <v>5.83</v>
      </c>
      <c r="W46" s="300">
        <v>5.83</v>
      </c>
      <c r="X46" s="300">
        <v>5.83</v>
      </c>
      <c r="Y46" s="300">
        <v>5.83</v>
      </c>
      <c r="Z46" s="300">
        <v>5.83</v>
      </c>
      <c r="AA46" s="300">
        <v>5.83</v>
      </c>
      <c r="AB46" s="301">
        <v>0.2</v>
      </c>
      <c r="AC46" s="301">
        <v>0.2</v>
      </c>
      <c r="AD46" s="301">
        <v>0.2</v>
      </c>
      <c r="AE46" s="301">
        <v>0.25</v>
      </c>
      <c r="AF46" s="301">
        <v>0.25</v>
      </c>
      <c r="AG46" s="301">
        <v>0.25</v>
      </c>
      <c r="AH46" s="301">
        <v>0.25</v>
      </c>
      <c r="AI46" s="301">
        <v>0.35</v>
      </c>
      <c r="AJ46" s="301">
        <v>0.35</v>
      </c>
      <c r="AK46" s="301">
        <v>0.35</v>
      </c>
      <c r="AL46" s="301">
        <v>0.35</v>
      </c>
      <c r="AM46" s="301">
        <v>0.35</v>
      </c>
      <c r="AN46" s="301">
        <v>0.35</v>
      </c>
      <c r="AO46" s="255">
        <v>680</v>
      </c>
      <c r="AP46" s="254">
        <f t="shared" si="0"/>
        <v>136</v>
      </c>
      <c r="AQ46" s="255">
        <v>120</v>
      </c>
      <c r="AR46" s="254">
        <f t="shared" si="1"/>
        <v>24</v>
      </c>
      <c r="AS46" s="255">
        <v>200</v>
      </c>
      <c r="AT46" s="254">
        <f t="shared" si="2"/>
        <v>50</v>
      </c>
      <c r="AU46" s="256">
        <v>80</v>
      </c>
      <c r="AV46" s="257">
        <f t="shared" si="3"/>
        <v>20</v>
      </c>
      <c r="AW46" s="255">
        <v>80</v>
      </c>
      <c r="AX46" s="257">
        <f t="shared" si="4"/>
        <v>20</v>
      </c>
      <c r="AY46" s="255">
        <v>400</v>
      </c>
      <c r="AZ46" s="257">
        <f t="shared" si="5"/>
        <v>100</v>
      </c>
      <c r="BA46" s="255">
        <v>800</v>
      </c>
      <c r="BB46" s="257">
        <f t="shared" si="6"/>
        <v>280</v>
      </c>
      <c r="BC46" s="255"/>
      <c r="BD46" s="257">
        <f t="shared" si="7"/>
        <v>0</v>
      </c>
      <c r="BE46" s="255">
        <v>40</v>
      </c>
      <c r="BF46" s="257">
        <f t="shared" si="8"/>
        <v>14</v>
      </c>
      <c r="BG46" s="255">
        <v>200</v>
      </c>
      <c r="BH46" s="257">
        <f t="shared" si="9"/>
        <v>70</v>
      </c>
      <c r="BI46" s="255">
        <v>1560</v>
      </c>
      <c r="BJ46" s="257">
        <f t="shared" si="10"/>
        <v>546</v>
      </c>
      <c r="BK46" s="255">
        <v>720</v>
      </c>
      <c r="BL46" s="257">
        <f t="shared" si="11"/>
        <v>251.99999999999997</v>
      </c>
    </row>
    <row r="47" spans="1:64" ht="15.75" customHeight="1">
      <c r="A47" s="250" t="s">
        <v>330</v>
      </c>
      <c r="B47" s="59" t="s">
        <v>341</v>
      </c>
      <c r="C47" s="354" t="s">
        <v>172</v>
      </c>
      <c r="D47" s="424"/>
      <c r="E47" s="357" t="s">
        <v>173</v>
      </c>
      <c r="F47" s="421"/>
      <c r="G47" s="317">
        <v>2023</v>
      </c>
      <c r="H47" s="59" t="s">
        <v>353</v>
      </c>
      <c r="I47" s="315" t="s">
        <v>249</v>
      </c>
      <c r="J47" s="317">
        <v>14</v>
      </c>
      <c r="K47" s="59" t="s">
        <v>354</v>
      </c>
      <c r="L47" s="298" t="s">
        <v>344</v>
      </c>
      <c r="M47" s="300" t="s">
        <v>355</v>
      </c>
      <c r="N47" s="300">
        <v>8.6999999999999993</v>
      </c>
      <c r="O47" s="300">
        <v>12.45</v>
      </c>
      <c r="P47" s="300">
        <v>12.45</v>
      </c>
      <c r="Q47" s="300">
        <v>12.45</v>
      </c>
      <c r="R47" s="300">
        <v>12.45</v>
      </c>
      <c r="S47" s="300">
        <v>12.45</v>
      </c>
      <c r="T47" s="300">
        <v>12.45</v>
      </c>
      <c r="U47" s="300">
        <v>12.45</v>
      </c>
      <c r="V47" s="300">
        <v>12.45</v>
      </c>
      <c r="W47" s="300">
        <v>12.45</v>
      </c>
      <c r="X47" s="300">
        <v>12.45</v>
      </c>
      <c r="Y47" s="300">
        <v>12.45</v>
      </c>
      <c r="Z47" s="300">
        <v>12.45</v>
      </c>
      <c r="AA47" s="300">
        <v>12.45</v>
      </c>
      <c r="AB47" s="301">
        <v>1</v>
      </c>
      <c r="AC47" s="301">
        <v>1</v>
      </c>
      <c r="AD47" s="301">
        <v>1</v>
      </c>
      <c r="AE47" s="301">
        <v>1.5</v>
      </c>
      <c r="AF47" s="301">
        <v>1.5</v>
      </c>
      <c r="AG47" s="301">
        <v>1.5</v>
      </c>
      <c r="AH47" s="301">
        <v>1.5</v>
      </c>
      <c r="AI47" s="301">
        <v>3.96</v>
      </c>
      <c r="AJ47" s="301">
        <v>3.96</v>
      </c>
      <c r="AK47" s="301">
        <v>3.96</v>
      </c>
      <c r="AL47" s="301">
        <v>3.96</v>
      </c>
      <c r="AM47" s="301">
        <v>3.96</v>
      </c>
      <c r="AN47" s="301">
        <v>3.96</v>
      </c>
      <c r="AO47" s="255">
        <v>920</v>
      </c>
      <c r="AP47" s="254">
        <f t="shared" si="0"/>
        <v>920</v>
      </c>
      <c r="AQ47" s="255">
        <v>2400</v>
      </c>
      <c r="AR47" s="254">
        <f t="shared" si="1"/>
        <v>2400</v>
      </c>
      <c r="AS47" s="255">
        <v>1040</v>
      </c>
      <c r="AT47" s="254">
        <f t="shared" si="2"/>
        <v>1560</v>
      </c>
      <c r="AU47" s="256">
        <v>80</v>
      </c>
      <c r="AV47" s="257">
        <f t="shared" si="3"/>
        <v>120</v>
      </c>
      <c r="AW47" s="255">
        <v>760</v>
      </c>
      <c r="AX47" s="257">
        <f t="shared" si="4"/>
        <v>1140</v>
      </c>
      <c r="AY47" s="255">
        <v>2051</v>
      </c>
      <c r="AZ47" s="257">
        <f t="shared" si="5"/>
        <v>3076.5</v>
      </c>
      <c r="BA47" s="255">
        <v>1280</v>
      </c>
      <c r="BB47" s="257">
        <f t="shared" si="6"/>
        <v>5068.8</v>
      </c>
      <c r="BC47" s="255">
        <v>960</v>
      </c>
      <c r="BD47" s="257">
        <f t="shared" si="7"/>
        <v>3801.6</v>
      </c>
      <c r="BE47" s="255">
        <v>2480</v>
      </c>
      <c r="BF47" s="257">
        <f t="shared" si="8"/>
        <v>9820.7999999999993</v>
      </c>
      <c r="BG47" s="255">
        <v>200</v>
      </c>
      <c r="BH47" s="257">
        <f t="shared" si="9"/>
        <v>792</v>
      </c>
      <c r="BI47" s="255">
        <v>160</v>
      </c>
      <c r="BJ47" s="257">
        <f t="shared" si="10"/>
        <v>633.6</v>
      </c>
      <c r="BK47" s="255"/>
      <c r="BL47" s="257">
        <f t="shared" si="11"/>
        <v>0</v>
      </c>
    </row>
    <row r="48" spans="1:64" ht="15.6" customHeight="1">
      <c r="A48" s="250" t="s">
        <v>330</v>
      </c>
      <c r="C48" s="354"/>
      <c r="D48" s="424"/>
      <c r="E48" s="357"/>
      <c r="F48" s="421"/>
      <c r="G48" s="317">
        <v>2024</v>
      </c>
      <c r="H48" s="59" t="s">
        <v>356</v>
      </c>
      <c r="I48" s="315" t="s">
        <v>357</v>
      </c>
      <c r="J48" s="317">
        <v>14</v>
      </c>
      <c r="K48" s="59" t="s">
        <v>358</v>
      </c>
      <c r="L48" s="298" t="s">
        <v>344</v>
      </c>
      <c r="M48" s="300" t="s">
        <v>355</v>
      </c>
      <c r="N48" s="300">
        <v>3.37</v>
      </c>
      <c r="O48" s="300">
        <v>3.99</v>
      </c>
      <c r="P48" s="300">
        <v>3.99</v>
      </c>
      <c r="Q48" s="300">
        <v>3.99</v>
      </c>
      <c r="R48" s="300">
        <v>3.99</v>
      </c>
      <c r="S48" s="300">
        <v>3.99</v>
      </c>
      <c r="T48" s="300">
        <v>3.99</v>
      </c>
      <c r="U48" s="300">
        <v>3.99</v>
      </c>
      <c r="V48" s="300">
        <v>3.99</v>
      </c>
      <c r="W48" s="300">
        <v>3.99</v>
      </c>
      <c r="X48" s="300">
        <v>3.99</v>
      </c>
      <c r="Y48" s="300">
        <v>3.99</v>
      </c>
      <c r="Z48" s="300">
        <v>3.99</v>
      </c>
      <c r="AA48" s="300">
        <v>3.99</v>
      </c>
      <c r="AB48" s="301">
        <v>0</v>
      </c>
      <c r="AC48" s="301">
        <v>0</v>
      </c>
      <c r="AD48" s="301">
        <v>0</v>
      </c>
      <c r="AE48" s="301">
        <v>0</v>
      </c>
      <c r="AF48" s="301">
        <v>0</v>
      </c>
      <c r="AG48" s="301">
        <v>0.62</v>
      </c>
      <c r="AH48" s="301">
        <v>0.62</v>
      </c>
      <c r="AI48" s="301">
        <v>0.62</v>
      </c>
      <c r="AJ48" s="301">
        <v>0.62</v>
      </c>
      <c r="AK48" s="301">
        <v>0.62</v>
      </c>
      <c r="AL48" s="301">
        <v>0.62</v>
      </c>
      <c r="AM48" s="301">
        <v>0.62</v>
      </c>
      <c r="AN48" s="301">
        <v>0.62</v>
      </c>
      <c r="AO48" s="255"/>
      <c r="AP48" s="254">
        <f t="shared" si="0"/>
        <v>0</v>
      </c>
      <c r="AQ48" s="255"/>
      <c r="AR48" s="254">
        <f t="shared" si="1"/>
        <v>0</v>
      </c>
      <c r="AS48" s="255"/>
      <c r="AT48" s="254">
        <f t="shared" si="2"/>
        <v>0</v>
      </c>
      <c r="AU48" s="256"/>
      <c r="AV48" s="257">
        <f t="shared" si="3"/>
        <v>0</v>
      </c>
      <c r="AW48" s="255">
        <v>2800</v>
      </c>
      <c r="AX48" s="257">
        <f t="shared" si="4"/>
        <v>1736</v>
      </c>
      <c r="AY48" s="255">
        <v>18160</v>
      </c>
      <c r="AZ48" s="257">
        <f t="shared" si="5"/>
        <v>11259.2</v>
      </c>
      <c r="BA48" s="255">
        <v>6160</v>
      </c>
      <c r="BB48" s="257">
        <f t="shared" si="6"/>
        <v>3819.2</v>
      </c>
      <c r="BC48" s="255">
        <v>5280</v>
      </c>
      <c r="BD48" s="257">
        <f t="shared" si="7"/>
        <v>3273.6</v>
      </c>
      <c r="BE48" s="255">
        <v>5560</v>
      </c>
      <c r="BF48" s="257">
        <f t="shared" si="8"/>
        <v>3447.2</v>
      </c>
      <c r="BG48" s="255">
        <v>3880</v>
      </c>
      <c r="BH48" s="257">
        <f t="shared" si="9"/>
        <v>2405.6</v>
      </c>
      <c r="BI48" s="255">
        <v>4920</v>
      </c>
      <c r="BJ48" s="257">
        <f t="shared" si="10"/>
        <v>3050.4</v>
      </c>
      <c r="BK48" s="255">
        <v>11080</v>
      </c>
      <c r="BL48" s="257">
        <f t="shared" si="11"/>
        <v>6869.6</v>
      </c>
    </row>
    <row r="49" spans="1:64" ht="15.6" customHeight="1">
      <c r="A49" s="250" t="s">
        <v>330</v>
      </c>
      <c r="C49" s="354"/>
      <c r="D49" s="424"/>
      <c r="E49" s="357"/>
      <c r="F49" s="421"/>
      <c r="G49" s="317">
        <v>2024</v>
      </c>
      <c r="H49" s="59" t="s">
        <v>356</v>
      </c>
      <c r="I49" s="315" t="s">
        <v>359</v>
      </c>
      <c r="J49" s="317">
        <v>14</v>
      </c>
      <c r="K49" s="59" t="s">
        <v>335</v>
      </c>
      <c r="L49" s="298" t="s">
        <v>344</v>
      </c>
      <c r="M49" s="300" t="s">
        <v>355</v>
      </c>
      <c r="N49" s="300">
        <v>8.49</v>
      </c>
      <c r="O49" s="315">
        <v>12.52</v>
      </c>
      <c r="P49" s="315">
        <v>12.52</v>
      </c>
      <c r="Q49" s="315">
        <v>12.52</v>
      </c>
      <c r="R49" s="315">
        <v>12.52</v>
      </c>
      <c r="S49" s="315">
        <v>12.52</v>
      </c>
      <c r="T49" s="315">
        <v>12.52</v>
      </c>
      <c r="U49" s="315">
        <v>12.52</v>
      </c>
      <c r="V49" s="315">
        <v>12.52</v>
      </c>
      <c r="W49" s="315">
        <v>12.52</v>
      </c>
      <c r="X49" s="315">
        <v>12.52</v>
      </c>
      <c r="Y49" s="315">
        <v>12.52</v>
      </c>
      <c r="Z49" s="315">
        <v>12.52</v>
      </c>
      <c r="AA49" s="315">
        <v>12.52</v>
      </c>
      <c r="AB49" s="301">
        <v>0</v>
      </c>
      <c r="AC49" s="301">
        <v>0</v>
      </c>
      <c r="AD49" s="301">
        <v>0</v>
      </c>
      <c r="AE49" s="301">
        <v>0</v>
      </c>
      <c r="AF49" s="301">
        <v>0</v>
      </c>
      <c r="AG49" s="301">
        <v>4.03</v>
      </c>
      <c r="AH49" s="301">
        <v>4.03</v>
      </c>
      <c r="AI49" s="301">
        <v>4.03</v>
      </c>
      <c r="AJ49" s="301">
        <v>4.03</v>
      </c>
      <c r="AK49" s="301">
        <v>4.03</v>
      </c>
      <c r="AL49" s="301">
        <v>4.03</v>
      </c>
      <c r="AM49" s="301">
        <v>4.03</v>
      </c>
      <c r="AN49" s="301">
        <v>4.03</v>
      </c>
      <c r="AO49" s="255"/>
      <c r="AP49" s="254">
        <f t="shared" si="0"/>
        <v>0</v>
      </c>
      <c r="AQ49" s="255"/>
      <c r="AR49" s="254">
        <f t="shared" si="1"/>
        <v>0</v>
      </c>
      <c r="AS49" s="255"/>
      <c r="AT49" s="254">
        <f t="shared" si="2"/>
        <v>0</v>
      </c>
      <c r="AU49" s="256"/>
      <c r="AV49" s="257">
        <f t="shared" si="3"/>
        <v>0</v>
      </c>
      <c r="AW49" s="255"/>
      <c r="AX49" s="257">
        <f t="shared" si="4"/>
        <v>0</v>
      </c>
      <c r="AY49" s="255"/>
      <c r="AZ49" s="257">
        <f t="shared" si="5"/>
        <v>0</v>
      </c>
      <c r="BA49" s="255">
        <v>1840</v>
      </c>
      <c r="BB49" s="257">
        <f t="shared" si="6"/>
        <v>7415.2000000000007</v>
      </c>
      <c r="BC49" s="255">
        <v>560</v>
      </c>
      <c r="BD49" s="257">
        <f t="shared" si="7"/>
        <v>2256.8000000000002</v>
      </c>
      <c r="BE49" s="255">
        <v>800</v>
      </c>
      <c r="BF49" s="257">
        <f t="shared" si="8"/>
        <v>3224</v>
      </c>
      <c r="BG49" s="255">
        <v>1560</v>
      </c>
      <c r="BH49" s="257">
        <f t="shared" si="9"/>
        <v>6286.8</v>
      </c>
      <c r="BI49" s="255">
        <v>920</v>
      </c>
      <c r="BJ49" s="257">
        <f t="shared" si="10"/>
        <v>3707.6000000000004</v>
      </c>
      <c r="BK49" s="255">
        <v>4920</v>
      </c>
      <c r="BL49" s="257">
        <f t="shared" si="11"/>
        <v>19827.600000000002</v>
      </c>
    </row>
    <row r="50" spans="1:64" ht="15.75" customHeight="1">
      <c r="A50" s="250" t="s">
        <v>330</v>
      </c>
      <c r="C50" s="354"/>
      <c r="D50" s="424"/>
      <c r="E50" s="357"/>
      <c r="F50" s="421"/>
      <c r="G50" s="317">
        <v>2024</v>
      </c>
      <c r="H50" s="59" t="s">
        <v>360</v>
      </c>
      <c r="I50" s="315" t="s">
        <v>357</v>
      </c>
      <c r="J50" s="317">
        <v>14</v>
      </c>
      <c r="K50" s="59" t="s">
        <v>361</v>
      </c>
      <c r="L50" s="298" t="s">
        <v>344</v>
      </c>
      <c r="M50" s="300" t="s">
        <v>345</v>
      </c>
      <c r="N50" s="300">
        <v>3.37</v>
      </c>
      <c r="O50" s="300">
        <v>3.99</v>
      </c>
      <c r="P50" s="300">
        <v>3.99</v>
      </c>
      <c r="Q50" s="300">
        <v>3.99</v>
      </c>
      <c r="R50" s="300">
        <v>3.99</v>
      </c>
      <c r="S50" s="300">
        <v>3.99</v>
      </c>
      <c r="T50" s="300">
        <v>3.99</v>
      </c>
      <c r="U50" s="300">
        <v>3.99</v>
      </c>
      <c r="V50" s="300">
        <v>3.99</v>
      </c>
      <c r="W50" s="300">
        <v>3.99</v>
      </c>
      <c r="X50" s="300">
        <v>3.99</v>
      </c>
      <c r="Y50" s="300">
        <v>3.99</v>
      </c>
      <c r="Z50" s="300">
        <v>3.99</v>
      </c>
      <c r="AA50" s="300">
        <v>3.99</v>
      </c>
      <c r="AB50" s="301">
        <v>0</v>
      </c>
      <c r="AC50" s="301">
        <v>0</v>
      </c>
      <c r="AD50" s="301">
        <v>0</v>
      </c>
      <c r="AE50" s="301">
        <v>0</v>
      </c>
      <c r="AF50" s="301">
        <v>0</v>
      </c>
      <c r="AG50" s="301">
        <v>0.62</v>
      </c>
      <c r="AH50" s="301">
        <v>0.62</v>
      </c>
      <c r="AI50" s="301">
        <v>0.62</v>
      </c>
      <c r="AJ50" s="301">
        <v>0.62</v>
      </c>
      <c r="AK50" s="301">
        <v>0.62</v>
      </c>
      <c r="AL50" s="301">
        <v>0.62</v>
      </c>
      <c r="AM50" s="301">
        <v>0.62</v>
      </c>
      <c r="AN50" s="301">
        <v>0.62</v>
      </c>
      <c r="AO50" s="255"/>
      <c r="AP50" s="254">
        <f t="shared" si="0"/>
        <v>0</v>
      </c>
      <c r="AQ50" s="255"/>
      <c r="AR50" s="254">
        <f t="shared" si="1"/>
        <v>0</v>
      </c>
      <c r="AS50" s="255"/>
      <c r="AT50" s="254">
        <f t="shared" si="2"/>
        <v>0</v>
      </c>
      <c r="AU50" s="256"/>
      <c r="AV50" s="257">
        <f t="shared" si="3"/>
        <v>0</v>
      </c>
      <c r="AW50" s="255">
        <v>9440</v>
      </c>
      <c r="AX50" s="257">
        <f t="shared" si="4"/>
        <v>5852.8</v>
      </c>
      <c r="AY50" s="255">
        <v>26920</v>
      </c>
      <c r="AZ50" s="257">
        <f t="shared" si="5"/>
        <v>16690.400000000001</v>
      </c>
      <c r="BA50" s="255">
        <v>12520</v>
      </c>
      <c r="BB50" s="257">
        <f t="shared" si="6"/>
        <v>7762.4</v>
      </c>
      <c r="BC50" s="255">
        <v>4640</v>
      </c>
      <c r="BD50" s="257">
        <f t="shared" si="7"/>
        <v>2876.8</v>
      </c>
      <c r="BE50" s="255">
        <v>13600</v>
      </c>
      <c r="BF50" s="257">
        <f t="shared" si="8"/>
        <v>8432</v>
      </c>
      <c r="BG50" s="255">
        <v>15200</v>
      </c>
      <c r="BH50" s="257">
        <f t="shared" si="9"/>
        <v>9424</v>
      </c>
      <c r="BI50" s="255">
        <v>18935</v>
      </c>
      <c r="BJ50" s="257">
        <f t="shared" si="10"/>
        <v>11739.7</v>
      </c>
      <c r="BK50" s="255">
        <v>20760</v>
      </c>
      <c r="BL50" s="257">
        <f t="shared" si="11"/>
        <v>12871.2</v>
      </c>
    </row>
    <row r="51" spans="1:64" ht="15.75" customHeight="1">
      <c r="A51" s="250" t="s">
        <v>330</v>
      </c>
      <c r="C51" s="354"/>
      <c r="D51" s="424"/>
      <c r="E51" s="357"/>
      <c r="F51" s="421"/>
      <c r="G51" s="317">
        <v>2024</v>
      </c>
      <c r="H51" s="59" t="s">
        <v>360</v>
      </c>
      <c r="I51" s="315" t="s">
        <v>359</v>
      </c>
      <c r="J51" s="317">
        <v>14</v>
      </c>
      <c r="K51" s="59" t="s">
        <v>335</v>
      </c>
      <c r="L51" s="298" t="s">
        <v>344</v>
      </c>
      <c r="M51" s="300" t="s">
        <v>345</v>
      </c>
      <c r="N51" s="300">
        <v>8.49</v>
      </c>
      <c r="O51" s="315">
        <v>12.52</v>
      </c>
      <c r="P51" s="315">
        <v>12.52</v>
      </c>
      <c r="Q51" s="315">
        <v>12.52</v>
      </c>
      <c r="R51" s="315">
        <v>12.52</v>
      </c>
      <c r="S51" s="315">
        <v>12.52</v>
      </c>
      <c r="T51" s="315">
        <v>12.52</v>
      </c>
      <c r="U51" s="315">
        <v>12.52</v>
      </c>
      <c r="V51" s="315">
        <v>12.52</v>
      </c>
      <c r="W51" s="315">
        <v>12.52</v>
      </c>
      <c r="X51" s="315">
        <v>12.52</v>
      </c>
      <c r="Y51" s="315">
        <v>12.52</v>
      </c>
      <c r="Z51" s="315">
        <v>12.52</v>
      </c>
      <c r="AA51" s="315">
        <v>12.52</v>
      </c>
      <c r="AB51" s="301">
        <v>0</v>
      </c>
      <c r="AC51" s="301">
        <v>0</v>
      </c>
      <c r="AD51" s="301">
        <v>0</v>
      </c>
      <c r="AE51" s="301">
        <v>0</v>
      </c>
      <c r="AF51" s="301">
        <v>0</v>
      </c>
      <c r="AG51" s="301">
        <v>4.03</v>
      </c>
      <c r="AH51" s="301">
        <v>4.03</v>
      </c>
      <c r="AI51" s="301">
        <v>4.03</v>
      </c>
      <c r="AJ51" s="301">
        <v>4.03</v>
      </c>
      <c r="AK51" s="301">
        <v>4.03</v>
      </c>
      <c r="AL51" s="301">
        <v>4.03</v>
      </c>
      <c r="AM51" s="301">
        <v>4.03</v>
      </c>
      <c r="AN51" s="301">
        <v>4.03</v>
      </c>
      <c r="AO51" s="255"/>
      <c r="AP51" s="254">
        <f t="shared" si="0"/>
        <v>0</v>
      </c>
      <c r="AQ51" s="255"/>
      <c r="AR51" s="254">
        <f t="shared" si="1"/>
        <v>0</v>
      </c>
      <c r="AS51" s="255"/>
      <c r="AT51" s="254">
        <f t="shared" si="2"/>
        <v>0</v>
      </c>
      <c r="AU51" s="256"/>
      <c r="AV51" s="257">
        <f t="shared" si="3"/>
        <v>0</v>
      </c>
      <c r="AW51" s="255">
        <v>400</v>
      </c>
      <c r="AX51" s="257">
        <f t="shared" si="4"/>
        <v>1612</v>
      </c>
      <c r="AY51" s="255">
        <v>600</v>
      </c>
      <c r="AZ51" s="257">
        <f t="shared" si="5"/>
        <v>2418</v>
      </c>
      <c r="BA51" s="255">
        <v>680</v>
      </c>
      <c r="BB51" s="257">
        <f t="shared" si="6"/>
        <v>2740.4</v>
      </c>
      <c r="BC51" s="255">
        <v>80</v>
      </c>
      <c r="BD51" s="257">
        <f t="shared" si="7"/>
        <v>322.40000000000003</v>
      </c>
      <c r="BE51" s="255">
        <v>200</v>
      </c>
      <c r="BF51" s="257">
        <f t="shared" si="8"/>
        <v>806</v>
      </c>
      <c r="BG51" s="255">
        <v>400</v>
      </c>
      <c r="BH51" s="257">
        <f t="shared" si="9"/>
        <v>1612</v>
      </c>
      <c r="BI51" s="255"/>
      <c r="BJ51" s="257">
        <f t="shared" si="10"/>
        <v>0</v>
      </c>
      <c r="BK51" s="255">
        <v>1000</v>
      </c>
      <c r="BL51" s="257">
        <f t="shared" si="11"/>
        <v>4030.0000000000005</v>
      </c>
    </row>
    <row r="52" spans="1:64" ht="15" customHeight="1">
      <c r="A52" s="250" t="s">
        <v>330</v>
      </c>
      <c r="C52" s="354"/>
      <c r="D52" s="424"/>
      <c r="E52" s="357"/>
      <c r="F52" s="417"/>
      <c r="G52" s="317">
        <v>2024</v>
      </c>
      <c r="H52" s="59" t="s">
        <v>360</v>
      </c>
      <c r="I52" s="315" t="s">
        <v>359</v>
      </c>
      <c r="J52" s="317">
        <v>14</v>
      </c>
      <c r="K52" s="59" t="s">
        <v>362</v>
      </c>
      <c r="L52" s="298" t="s">
        <v>344</v>
      </c>
      <c r="M52" s="300" t="s">
        <v>345</v>
      </c>
      <c r="N52" s="300">
        <v>8.67</v>
      </c>
      <c r="O52" s="300">
        <v>13.52</v>
      </c>
      <c r="P52" s="300">
        <v>13.52</v>
      </c>
      <c r="Q52" s="300">
        <v>13.52</v>
      </c>
      <c r="R52" s="300">
        <v>13.52</v>
      </c>
      <c r="S52" s="300">
        <v>13.52</v>
      </c>
      <c r="T52" s="300">
        <v>13.52</v>
      </c>
      <c r="U52" s="300">
        <v>13.52</v>
      </c>
      <c r="V52" s="300">
        <v>13.52</v>
      </c>
      <c r="W52" s="300">
        <v>13.52</v>
      </c>
      <c r="X52" s="300">
        <v>13.52</v>
      </c>
      <c r="Y52" s="300">
        <v>13.52</v>
      </c>
      <c r="Z52" s="300">
        <v>13.52</v>
      </c>
      <c r="AA52" s="300">
        <v>13.52</v>
      </c>
      <c r="AB52" s="59">
        <v>0</v>
      </c>
      <c r="AC52" s="59">
        <v>0</v>
      </c>
      <c r="AD52" s="59">
        <v>0</v>
      </c>
      <c r="AE52" s="59">
        <v>0</v>
      </c>
      <c r="AF52" s="59">
        <v>0</v>
      </c>
      <c r="AG52" s="59">
        <v>4.8499999999999996</v>
      </c>
      <c r="AH52" s="59">
        <v>4.8499999999999996</v>
      </c>
      <c r="AI52" s="59">
        <v>4.8499999999999996</v>
      </c>
      <c r="AJ52" s="59">
        <v>4.8499999999999996</v>
      </c>
      <c r="AK52" s="59">
        <v>4.8499999999999996</v>
      </c>
      <c r="AL52" s="59">
        <v>4.8499999999999996</v>
      </c>
      <c r="AM52" s="59">
        <v>4.8499999999999996</v>
      </c>
      <c r="AN52" s="59">
        <v>4.8499999999999996</v>
      </c>
      <c r="AO52" s="255"/>
      <c r="AP52" s="254">
        <f t="shared" si="0"/>
        <v>0</v>
      </c>
      <c r="AQ52" s="255"/>
      <c r="AR52" s="254">
        <f t="shared" si="1"/>
        <v>0</v>
      </c>
      <c r="AS52" s="255"/>
      <c r="AT52" s="254">
        <f t="shared" si="2"/>
        <v>0</v>
      </c>
      <c r="AU52" s="256"/>
      <c r="AV52" s="257">
        <f t="shared" si="3"/>
        <v>0</v>
      </c>
      <c r="AW52" s="270">
        <v>320</v>
      </c>
      <c r="AX52" s="257">
        <f t="shared" si="4"/>
        <v>1552</v>
      </c>
      <c r="AY52" s="270"/>
      <c r="AZ52" s="257">
        <f t="shared" si="5"/>
        <v>0</v>
      </c>
      <c r="BA52" s="268">
        <v>3360</v>
      </c>
      <c r="BB52" s="257">
        <f t="shared" si="6"/>
        <v>16295.999999999998</v>
      </c>
      <c r="BC52" s="268"/>
      <c r="BD52" s="257">
        <f t="shared" si="7"/>
        <v>0</v>
      </c>
      <c r="BE52" s="59"/>
      <c r="BF52" s="257">
        <f t="shared" si="8"/>
        <v>0</v>
      </c>
      <c r="BG52" s="59"/>
      <c r="BH52" s="257">
        <f t="shared" si="9"/>
        <v>0</v>
      </c>
      <c r="BI52" s="59"/>
      <c r="BJ52" s="257">
        <f t="shared" si="10"/>
        <v>0</v>
      </c>
      <c r="BK52" s="59"/>
      <c r="BL52" s="257">
        <f t="shared" si="11"/>
        <v>0</v>
      </c>
    </row>
    <row r="53" spans="1:64" ht="17.25" customHeight="1">
      <c r="A53" s="250" t="s">
        <v>330</v>
      </c>
      <c r="B53" s="59" t="s">
        <v>363</v>
      </c>
      <c r="C53" s="354" t="s">
        <v>172</v>
      </c>
      <c r="D53" s="424"/>
      <c r="E53" s="357" t="s">
        <v>214</v>
      </c>
      <c r="F53" s="421" t="s">
        <v>215</v>
      </c>
      <c r="G53" s="317">
        <v>2019</v>
      </c>
      <c r="H53" s="59" t="s">
        <v>364</v>
      </c>
      <c r="I53" s="315" t="s">
        <v>190</v>
      </c>
      <c r="J53" s="318" t="s">
        <v>217</v>
      </c>
      <c r="K53" s="59" t="s">
        <v>217</v>
      </c>
      <c r="L53" s="298" t="s">
        <v>177</v>
      </c>
      <c r="M53" s="303" t="s">
        <v>218</v>
      </c>
      <c r="N53" s="303">
        <v>5.18</v>
      </c>
      <c r="O53" s="303">
        <v>5.55</v>
      </c>
      <c r="P53" s="303">
        <v>5.55</v>
      </c>
      <c r="Q53" s="303">
        <v>5.55</v>
      </c>
      <c r="R53" s="303">
        <v>5.55</v>
      </c>
      <c r="S53" s="303">
        <v>5.55</v>
      </c>
      <c r="T53" s="303">
        <v>5.55</v>
      </c>
      <c r="U53" s="303">
        <v>5.55</v>
      </c>
      <c r="V53" s="303">
        <v>5.55</v>
      </c>
      <c r="W53" s="303">
        <v>5.55</v>
      </c>
      <c r="X53" s="303">
        <v>5.55</v>
      </c>
      <c r="Y53" s="303">
        <v>5.55</v>
      </c>
      <c r="Z53" s="303">
        <v>5.55</v>
      </c>
      <c r="AA53" s="303">
        <v>5.55</v>
      </c>
      <c r="AB53" s="304">
        <v>0.37</v>
      </c>
      <c r="AC53" s="304">
        <v>0.37</v>
      </c>
      <c r="AD53" s="304">
        <v>0.37</v>
      </c>
      <c r="AE53" s="304">
        <v>0.37</v>
      </c>
      <c r="AF53" s="304">
        <v>0.37</v>
      </c>
      <c r="AG53" s="304">
        <v>0.37</v>
      </c>
      <c r="AH53" s="304">
        <v>0.37</v>
      </c>
      <c r="AI53" s="304">
        <v>0.37</v>
      </c>
      <c r="AJ53" s="304">
        <v>0.37</v>
      </c>
      <c r="AK53" s="304">
        <v>0.37</v>
      </c>
      <c r="AL53" s="304">
        <v>0.37</v>
      </c>
      <c r="AM53" s="304">
        <v>0.37</v>
      </c>
      <c r="AN53" s="304">
        <v>0.37</v>
      </c>
      <c r="AO53" s="255">
        <v>3504</v>
      </c>
      <c r="AP53" s="254">
        <f t="shared" si="0"/>
        <v>1296.48</v>
      </c>
      <c r="AQ53" s="255">
        <v>432</v>
      </c>
      <c r="AR53" s="254">
        <f t="shared" si="1"/>
        <v>159.84</v>
      </c>
      <c r="AS53" s="255">
        <v>252</v>
      </c>
      <c r="AT53" s="254">
        <f t="shared" si="2"/>
        <v>93.24</v>
      </c>
      <c r="AU53" s="255"/>
      <c r="AV53" s="257">
        <f t="shared" si="3"/>
        <v>0</v>
      </c>
      <c r="AW53" s="255">
        <v>716</v>
      </c>
      <c r="AX53" s="257">
        <f t="shared" si="4"/>
        <v>264.92</v>
      </c>
      <c r="AY53" s="255">
        <v>558</v>
      </c>
      <c r="AZ53" s="257">
        <f t="shared" si="5"/>
        <v>206.46</v>
      </c>
      <c r="BA53" s="255">
        <v>252</v>
      </c>
      <c r="BB53" s="257">
        <f t="shared" si="6"/>
        <v>93.24</v>
      </c>
      <c r="BC53" s="255">
        <v>456</v>
      </c>
      <c r="BD53" s="257">
        <f t="shared" si="7"/>
        <v>168.72</v>
      </c>
      <c r="BE53" s="255">
        <v>240</v>
      </c>
      <c r="BF53" s="257">
        <f t="shared" si="8"/>
        <v>88.8</v>
      </c>
      <c r="BG53" s="255">
        <v>240</v>
      </c>
      <c r="BH53" s="257">
        <f t="shared" si="9"/>
        <v>88.8</v>
      </c>
      <c r="BI53" s="255">
        <v>24</v>
      </c>
      <c r="BJ53" s="257">
        <f t="shared" si="10"/>
        <v>8.879999999999999</v>
      </c>
      <c r="BK53" s="255">
        <v>252</v>
      </c>
      <c r="BL53" s="257">
        <f t="shared" si="11"/>
        <v>93.24</v>
      </c>
    </row>
    <row r="54" spans="1:64" ht="17.25" customHeight="1">
      <c r="A54" s="250" t="s">
        <v>330</v>
      </c>
      <c r="B54" s="59" t="s">
        <v>363</v>
      </c>
      <c r="C54" s="354" t="s">
        <v>172</v>
      </c>
      <c r="D54" s="424"/>
      <c r="E54" s="357" t="s">
        <v>214</v>
      </c>
      <c r="F54" s="421"/>
      <c r="G54" s="317">
        <v>2021</v>
      </c>
      <c r="H54" s="59" t="s">
        <v>365</v>
      </c>
      <c r="I54" s="315" t="s">
        <v>190</v>
      </c>
      <c r="J54" s="318" t="s">
        <v>217</v>
      </c>
      <c r="K54" s="59" t="s">
        <v>217</v>
      </c>
      <c r="L54" s="59" t="s">
        <v>177</v>
      </c>
      <c r="M54" s="303" t="s">
        <v>218</v>
      </c>
      <c r="N54" s="303">
        <v>4.5</v>
      </c>
      <c r="O54" s="303">
        <v>5.26</v>
      </c>
      <c r="P54" s="303">
        <v>5.26</v>
      </c>
      <c r="Q54" s="303">
        <v>5.26</v>
      </c>
      <c r="R54" s="303">
        <v>5.26</v>
      </c>
      <c r="S54" s="303">
        <v>5.26</v>
      </c>
      <c r="T54" s="303">
        <v>5.26</v>
      </c>
      <c r="U54" s="303">
        <v>5.26</v>
      </c>
      <c r="V54" s="303">
        <v>5.26</v>
      </c>
      <c r="W54" s="303">
        <v>5.26</v>
      </c>
      <c r="X54" s="303">
        <v>5.26</v>
      </c>
      <c r="Y54" s="303">
        <v>5.26</v>
      </c>
      <c r="Z54" s="303">
        <v>5.26</v>
      </c>
      <c r="AA54" s="303">
        <v>5.26</v>
      </c>
      <c r="AB54" s="304">
        <v>0.27</v>
      </c>
      <c r="AC54" s="304">
        <v>0.27</v>
      </c>
      <c r="AD54" s="304">
        <v>0.27</v>
      </c>
      <c r="AE54" s="304">
        <v>0.27</v>
      </c>
      <c r="AF54" s="304">
        <v>0.27</v>
      </c>
      <c r="AG54" s="304">
        <v>0.27</v>
      </c>
      <c r="AH54" s="304">
        <v>0.27</v>
      </c>
      <c r="AI54" s="304">
        <v>0.76</v>
      </c>
      <c r="AJ54" s="304">
        <v>0.76</v>
      </c>
      <c r="AK54" s="304">
        <v>0.76</v>
      </c>
      <c r="AL54" s="304">
        <v>0.76</v>
      </c>
      <c r="AM54" s="304">
        <v>0.76</v>
      </c>
      <c r="AN54" s="304">
        <v>0.76</v>
      </c>
      <c r="AO54" s="255">
        <v>121200</v>
      </c>
      <c r="AP54" s="254">
        <f t="shared" si="0"/>
        <v>32724.000000000004</v>
      </c>
      <c r="AQ54" s="255">
        <v>147216</v>
      </c>
      <c r="AR54" s="254">
        <f t="shared" si="1"/>
        <v>39748.32</v>
      </c>
      <c r="AS54" s="255">
        <v>58162</v>
      </c>
      <c r="AT54" s="254">
        <f t="shared" si="2"/>
        <v>15703.740000000002</v>
      </c>
      <c r="AU54" s="255">
        <v>43596</v>
      </c>
      <c r="AV54" s="257">
        <f t="shared" si="3"/>
        <v>11770.92</v>
      </c>
      <c r="AW54" s="255">
        <v>182882</v>
      </c>
      <c r="AX54" s="257">
        <f t="shared" si="4"/>
        <v>49378.140000000007</v>
      </c>
      <c r="AY54" s="255">
        <v>164700</v>
      </c>
      <c r="AZ54" s="257">
        <f t="shared" si="5"/>
        <v>44469</v>
      </c>
      <c r="BA54" s="255">
        <v>147272</v>
      </c>
      <c r="BB54" s="257">
        <f t="shared" si="6"/>
        <v>111926.72</v>
      </c>
      <c r="BC54" s="255">
        <v>81836</v>
      </c>
      <c r="BD54" s="257">
        <f t="shared" si="7"/>
        <v>62195.360000000001</v>
      </c>
      <c r="BE54" s="255">
        <v>137652</v>
      </c>
      <c r="BF54" s="257">
        <f t="shared" si="8"/>
        <v>104615.52</v>
      </c>
      <c r="BG54" s="255">
        <v>62776</v>
      </c>
      <c r="BH54" s="257">
        <f t="shared" si="9"/>
        <v>47709.760000000002</v>
      </c>
      <c r="BI54" s="255">
        <v>141320</v>
      </c>
      <c r="BJ54" s="257">
        <f t="shared" si="10"/>
        <v>107403.2</v>
      </c>
      <c r="BK54" s="255">
        <v>155440</v>
      </c>
      <c r="BL54" s="257">
        <f t="shared" si="11"/>
        <v>118134.39999999999</v>
      </c>
    </row>
    <row r="55" spans="1:64" ht="17.25" customHeight="1">
      <c r="A55" s="250" t="s">
        <v>330</v>
      </c>
      <c r="B55" s="59" t="s">
        <v>363</v>
      </c>
      <c r="C55" s="354" t="s">
        <v>172</v>
      </c>
      <c r="D55" s="424"/>
      <c r="E55" s="357" t="s">
        <v>214</v>
      </c>
      <c r="F55" s="421"/>
      <c r="G55" s="317">
        <v>2021</v>
      </c>
      <c r="H55" s="59" t="s">
        <v>365</v>
      </c>
      <c r="I55" s="315" t="s">
        <v>220</v>
      </c>
      <c r="J55" s="318" t="s">
        <v>217</v>
      </c>
      <c r="K55" s="59" t="s">
        <v>217</v>
      </c>
      <c r="L55" s="59" t="s">
        <v>177</v>
      </c>
      <c r="M55" s="303" t="s">
        <v>218</v>
      </c>
      <c r="N55" s="303">
        <v>1.95</v>
      </c>
      <c r="O55" s="303">
        <v>2.15</v>
      </c>
      <c r="P55" s="303">
        <v>2.15</v>
      </c>
      <c r="Q55" s="303">
        <v>2.15</v>
      </c>
      <c r="R55" s="303">
        <v>2.15</v>
      </c>
      <c r="S55" s="303">
        <v>2.15</v>
      </c>
      <c r="T55" s="303">
        <v>2.15</v>
      </c>
      <c r="U55" s="303">
        <v>2.15</v>
      </c>
      <c r="V55" s="303">
        <v>2.15</v>
      </c>
      <c r="W55" s="303">
        <v>2.15</v>
      </c>
      <c r="X55" s="303">
        <v>2.15</v>
      </c>
      <c r="Y55" s="303">
        <v>2.15</v>
      </c>
      <c r="Z55" s="303">
        <v>2.15</v>
      </c>
      <c r="AA55" s="303">
        <v>2.15</v>
      </c>
      <c r="AB55" s="304">
        <v>0</v>
      </c>
      <c r="AC55" s="304">
        <v>0</v>
      </c>
      <c r="AD55" s="304">
        <v>0</v>
      </c>
      <c r="AE55" s="304">
        <v>0</v>
      </c>
      <c r="AF55" s="304">
        <v>0</v>
      </c>
      <c r="AG55" s="304">
        <v>0</v>
      </c>
      <c r="AH55" s="304">
        <v>0</v>
      </c>
      <c r="AI55" s="304">
        <v>0.2</v>
      </c>
      <c r="AJ55" s="304">
        <v>0.2</v>
      </c>
      <c r="AK55" s="304">
        <v>0.2</v>
      </c>
      <c r="AL55" s="304">
        <v>0.2</v>
      </c>
      <c r="AM55" s="304">
        <v>0.2</v>
      </c>
      <c r="AN55" s="304">
        <v>0.2</v>
      </c>
      <c r="AO55" s="255">
        <v>37080</v>
      </c>
      <c r="AP55" s="254">
        <f t="shared" si="0"/>
        <v>0</v>
      </c>
      <c r="AQ55" s="255">
        <v>37200</v>
      </c>
      <c r="AR55" s="254">
        <f t="shared" si="1"/>
        <v>0</v>
      </c>
      <c r="AS55" s="255">
        <v>29280</v>
      </c>
      <c r="AT55" s="254">
        <f t="shared" si="2"/>
        <v>0</v>
      </c>
      <c r="AU55" s="255">
        <v>29880</v>
      </c>
      <c r="AV55" s="257">
        <f t="shared" si="3"/>
        <v>0</v>
      </c>
      <c r="AW55" s="255">
        <v>86000</v>
      </c>
      <c r="AX55" s="257">
        <f t="shared" si="4"/>
        <v>0</v>
      </c>
      <c r="AY55" s="255">
        <v>40800</v>
      </c>
      <c r="AZ55" s="257">
        <f t="shared" si="5"/>
        <v>0</v>
      </c>
      <c r="BA55" s="255">
        <v>55680</v>
      </c>
      <c r="BB55" s="257">
        <f t="shared" si="6"/>
        <v>11136</v>
      </c>
      <c r="BC55" s="255">
        <v>27840</v>
      </c>
      <c r="BD55" s="257">
        <f t="shared" si="7"/>
        <v>5568</v>
      </c>
      <c r="BE55" s="255">
        <v>28120</v>
      </c>
      <c r="BF55" s="257">
        <f t="shared" si="8"/>
        <v>5624</v>
      </c>
      <c r="BG55" s="255">
        <v>41520</v>
      </c>
      <c r="BH55" s="257">
        <f t="shared" si="9"/>
        <v>8304</v>
      </c>
      <c r="BI55" s="255">
        <v>79360</v>
      </c>
      <c r="BJ55" s="257">
        <f t="shared" si="10"/>
        <v>15872</v>
      </c>
      <c r="BK55" s="255">
        <v>48600</v>
      </c>
      <c r="BL55" s="257">
        <f t="shared" si="11"/>
        <v>9720</v>
      </c>
    </row>
    <row r="56" spans="1:64" ht="15" customHeight="1">
      <c r="A56" s="250" t="s">
        <v>330</v>
      </c>
      <c r="B56" s="59" t="s">
        <v>363</v>
      </c>
      <c r="C56" s="354" t="s">
        <v>172</v>
      </c>
      <c r="D56" s="424"/>
      <c r="E56" s="357" t="s">
        <v>214</v>
      </c>
      <c r="F56" s="421"/>
      <c r="G56" s="317">
        <v>2022</v>
      </c>
      <c r="H56" s="59" t="s">
        <v>366</v>
      </c>
      <c r="I56" s="315" t="s">
        <v>357</v>
      </c>
      <c r="J56" s="318" t="s">
        <v>217</v>
      </c>
      <c r="K56" s="59" t="s">
        <v>217</v>
      </c>
      <c r="L56" s="59" t="s">
        <v>177</v>
      </c>
      <c r="M56" s="303" t="s">
        <v>218</v>
      </c>
      <c r="N56" s="303">
        <v>3.35</v>
      </c>
      <c r="O56" s="303">
        <v>3.81</v>
      </c>
      <c r="P56" s="303">
        <v>3.81</v>
      </c>
      <c r="Q56" s="303">
        <v>3.81</v>
      </c>
      <c r="R56" s="303">
        <v>3.81</v>
      </c>
      <c r="S56" s="303">
        <v>3.81</v>
      </c>
      <c r="T56" s="303">
        <v>3.81</v>
      </c>
      <c r="U56" s="303">
        <v>3.81</v>
      </c>
      <c r="V56" s="303">
        <v>3.81</v>
      </c>
      <c r="W56" s="303">
        <v>3.81</v>
      </c>
      <c r="X56" s="303">
        <v>3.81</v>
      </c>
      <c r="Y56" s="303">
        <v>3.81</v>
      </c>
      <c r="Z56" s="303">
        <v>3.81</v>
      </c>
      <c r="AA56" s="303">
        <v>3.81</v>
      </c>
      <c r="AB56" s="59">
        <v>0.05</v>
      </c>
      <c r="AC56" s="59">
        <v>0.05</v>
      </c>
      <c r="AD56" s="59">
        <v>0.05</v>
      </c>
      <c r="AE56" s="59">
        <v>0.05</v>
      </c>
      <c r="AF56" s="59">
        <v>0.05</v>
      </c>
      <c r="AG56" s="59">
        <v>0.05</v>
      </c>
      <c r="AH56" s="59">
        <v>0.05</v>
      </c>
      <c r="AI56" s="59">
        <v>0.46</v>
      </c>
      <c r="AJ56" s="59">
        <v>0.46</v>
      </c>
      <c r="AK56" s="59">
        <v>0.46</v>
      </c>
      <c r="AL56" s="59">
        <v>0.46</v>
      </c>
      <c r="AM56" s="59">
        <v>0.46</v>
      </c>
      <c r="AN56" s="59">
        <v>0.46</v>
      </c>
      <c r="AO56" s="255">
        <v>2692</v>
      </c>
      <c r="AP56" s="254">
        <f t="shared" ref="AP56:AP91" si="12">AC56*AO56</f>
        <v>134.6</v>
      </c>
      <c r="AQ56" s="255">
        <v>14660</v>
      </c>
      <c r="AR56" s="254">
        <f t="shared" ref="AR56:AR91" si="13">AD56*AQ56</f>
        <v>733</v>
      </c>
      <c r="AS56" s="255">
        <v>27120</v>
      </c>
      <c r="AT56" s="254">
        <f t="shared" ref="AT56:AT91" si="14">AE56*AS56</f>
        <v>1356</v>
      </c>
      <c r="AU56" s="256">
        <v>38396</v>
      </c>
      <c r="AV56" s="257">
        <f t="shared" ref="AV56:AV91" si="15">AF56*AU56</f>
        <v>1919.8000000000002</v>
      </c>
      <c r="AW56" s="270">
        <v>71892</v>
      </c>
      <c r="AX56" s="257">
        <f t="shared" ref="AX56:AX91" si="16">AG56*AW56</f>
        <v>3594.6000000000004</v>
      </c>
      <c r="AY56" s="270">
        <v>66534</v>
      </c>
      <c r="AZ56" s="257">
        <f t="shared" ref="AZ56:AZ91" si="17">AH56*AY56</f>
        <v>3326.7000000000003</v>
      </c>
      <c r="BA56" s="268">
        <v>82063</v>
      </c>
      <c r="BB56" s="257">
        <f t="shared" ref="BB56:BB91" si="18">AI56*BA56</f>
        <v>37748.980000000003</v>
      </c>
      <c r="BC56" s="268">
        <v>115012</v>
      </c>
      <c r="BD56" s="257">
        <f t="shared" ref="BD56:BD91" si="19">AJ56*BC56</f>
        <v>52905.520000000004</v>
      </c>
      <c r="BE56" s="256">
        <v>47140</v>
      </c>
      <c r="BF56" s="257">
        <f t="shared" ref="BF56:BF91" si="20">AK56*BE56</f>
        <v>21684.400000000001</v>
      </c>
      <c r="BG56" s="256">
        <v>115016</v>
      </c>
      <c r="BH56" s="257">
        <f t="shared" ref="BH56:BH91" si="21">AL56*BG56</f>
        <v>52907.360000000001</v>
      </c>
      <c r="BI56" s="268">
        <v>94910</v>
      </c>
      <c r="BJ56" s="257">
        <f t="shared" ref="BJ56:BJ91" si="22">AM56*BI56</f>
        <v>43658.6</v>
      </c>
      <c r="BK56" s="59">
        <v>44384</v>
      </c>
      <c r="BL56" s="257">
        <f t="shared" ref="BL56:BL91" si="23">AN56*BK56</f>
        <v>20416.64</v>
      </c>
    </row>
    <row r="57" spans="1:64" ht="15.75" customHeight="1">
      <c r="A57" s="250" t="s">
        <v>330</v>
      </c>
      <c r="B57" s="59" t="s">
        <v>363</v>
      </c>
      <c r="C57" s="354" t="s">
        <v>172</v>
      </c>
      <c r="D57" s="424"/>
      <c r="E57" s="357" t="s">
        <v>214</v>
      </c>
      <c r="F57" s="421"/>
      <c r="G57" s="317">
        <v>2022</v>
      </c>
      <c r="H57" s="59" t="s">
        <v>366</v>
      </c>
      <c r="I57" s="315" t="s">
        <v>367</v>
      </c>
      <c r="J57" s="318" t="s">
        <v>217</v>
      </c>
      <c r="K57" s="59" t="s">
        <v>217</v>
      </c>
      <c r="L57" s="59" t="s">
        <v>177</v>
      </c>
      <c r="M57" s="303" t="s">
        <v>218</v>
      </c>
      <c r="N57" s="303">
        <v>1.45</v>
      </c>
      <c r="O57" s="303">
        <v>1.73</v>
      </c>
      <c r="P57" s="303">
        <v>1.73</v>
      </c>
      <c r="Q57" s="303">
        <v>1.73</v>
      </c>
      <c r="R57" s="303">
        <v>1.73</v>
      </c>
      <c r="S57" s="303">
        <v>1.73</v>
      </c>
      <c r="T57" s="303">
        <v>1.73</v>
      </c>
      <c r="U57" s="303">
        <v>1.73</v>
      </c>
      <c r="V57" s="303">
        <v>1.73</v>
      </c>
      <c r="W57" s="303">
        <v>1.73</v>
      </c>
      <c r="X57" s="303">
        <v>1.73</v>
      </c>
      <c r="Y57" s="303">
        <v>1.73</v>
      </c>
      <c r="Z57" s="303">
        <v>1.73</v>
      </c>
      <c r="AA57" s="303">
        <v>1.73</v>
      </c>
      <c r="AB57" s="59">
        <v>0.06</v>
      </c>
      <c r="AC57" s="59">
        <v>0.06</v>
      </c>
      <c r="AD57" s="59">
        <v>0.06</v>
      </c>
      <c r="AE57" s="59">
        <v>0.06</v>
      </c>
      <c r="AF57" s="59">
        <v>0.06</v>
      </c>
      <c r="AG57" s="59">
        <v>0.06</v>
      </c>
      <c r="AH57" s="59">
        <v>0.06</v>
      </c>
      <c r="AI57" s="59">
        <v>0.28000000000000003</v>
      </c>
      <c r="AJ57" s="59">
        <v>0.28000000000000003</v>
      </c>
      <c r="AK57" s="59">
        <v>0.28000000000000003</v>
      </c>
      <c r="AL57" s="59">
        <v>0.28000000000000003</v>
      </c>
      <c r="AM57" s="59">
        <v>0.28000000000000003</v>
      </c>
      <c r="AN57" s="59">
        <v>0.28000000000000003</v>
      </c>
      <c r="AO57" s="255"/>
      <c r="AP57" s="254">
        <f t="shared" si="12"/>
        <v>0</v>
      </c>
      <c r="AQ57" s="255">
        <v>23160</v>
      </c>
      <c r="AR57" s="254">
        <f t="shared" si="13"/>
        <v>1389.6</v>
      </c>
      <c r="AS57" s="255">
        <v>40440</v>
      </c>
      <c r="AT57" s="254">
        <f t="shared" si="14"/>
        <v>2426.4</v>
      </c>
      <c r="AU57" s="256">
        <v>55440</v>
      </c>
      <c r="AV57" s="257">
        <f t="shared" si="15"/>
        <v>3326.4</v>
      </c>
      <c r="AW57" s="270">
        <v>55680</v>
      </c>
      <c r="AX57" s="257">
        <f t="shared" si="16"/>
        <v>3340.7999999999997</v>
      </c>
      <c r="AY57" s="270">
        <v>41640</v>
      </c>
      <c r="AZ57" s="257">
        <f t="shared" si="17"/>
        <v>2498.4</v>
      </c>
      <c r="BA57" s="268">
        <v>121760</v>
      </c>
      <c r="BB57" s="257">
        <f t="shared" si="18"/>
        <v>34092.800000000003</v>
      </c>
      <c r="BC57" s="268">
        <v>203298</v>
      </c>
      <c r="BD57" s="257">
        <f t="shared" si="19"/>
        <v>56923.44</v>
      </c>
      <c r="BE57" s="256">
        <v>67920</v>
      </c>
      <c r="BF57" s="257">
        <f t="shared" si="20"/>
        <v>19017.600000000002</v>
      </c>
      <c r="BG57" s="256">
        <v>105080</v>
      </c>
      <c r="BH57" s="257">
        <f t="shared" si="21"/>
        <v>29422.400000000001</v>
      </c>
      <c r="BI57" s="268">
        <v>102120</v>
      </c>
      <c r="BJ57" s="257">
        <f t="shared" si="22"/>
        <v>28593.600000000002</v>
      </c>
      <c r="BK57" s="59">
        <v>51160</v>
      </c>
      <c r="BL57" s="257">
        <f t="shared" si="23"/>
        <v>14324.800000000001</v>
      </c>
    </row>
    <row r="58" spans="1:64" ht="15.75" customHeight="1">
      <c r="A58" s="250" t="s">
        <v>330</v>
      </c>
      <c r="C58" s="354"/>
      <c r="D58" s="424"/>
      <c r="E58" s="357"/>
      <c r="F58" s="421"/>
      <c r="G58" s="59"/>
      <c r="H58" s="59"/>
      <c r="I58" s="59"/>
      <c r="J58" s="302"/>
      <c r="K58" s="59"/>
      <c r="L58" s="59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255"/>
      <c r="AP58" s="254">
        <f t="shared" si="12"/>
        <v>0</v>
      </c>
      <c r="AQ58" s="255"/>
      <c r="AR58" s="254">
        <f t="shared" si="13"/>
        <v>0</v>
      </c>
      <c r="AS58" s="255"/>
      <c r="AT58" s="254">
        <f t="shared" si="14"/>
        <v>0</v>
      </c>
      <c r="AU58" s="256"/>
      <c r="AV58" s="257">
        <f t="shared" si="15"/>
        <v>0</v>
      </c>
      <c r="AW58" s="270"/>
      <c r="AX58" s="257">
        <f t="shared" si="16"/>
        <v>0</v>
      </c>
      <c r="AY58" s="270"/>
      <c r="AZ58" s="257">
        <f t="shared" si="17"/>
        <v>0</v>
      </c>
      <c r="BA58" s="268"/>
      <c r="BB58" s="257">
        <f t="shared" si="18"/>
        <v>0</v>
      </c>
      <c r="BC58" s="268"/>
      <c r="BD58" s="257">
        <f t="shared" si="19"/>
        <v>0</v>
      </c>
      <c r="BE58" s="59"/>
      <c r="BF58" s="257">
        <f t="shared" si="20"/>
        <v>0</v>
      </c>
      <c r="BG58" s="59"/>
      <c r="BH58" s="257">
        <f t="shared" si="21"/>
        <v>0</v>
      </c>
      <c r="BI58" s="59"/>
      <c r="BJ58" s="257">
        <f t="shared" si="22"/>
        <v>0</v>
      </c>
      <c r="BK58" s="59"/>
      <c r="BL58" s="257">
        <f t="shared" si="23"/>
        <v>0</v>
      </c>
    </row>
    <row r="59" spans="1:64" ht="15.75" customHeight="1">
      <c r="A59" s="250" t="s">
        <v>330</v>
      </c>
      <c r="C59" s="354"/>
      <c r="D59" s="424"/>
      <c r="E59" s="357"/>
      <c r="F59" s="421"/>
      <c r="G59" s="59"/>
      <c r="H59" s="319"/>
      <c r="I59" s="319"/>
      <c r="J59" s="320"/>
      <c r="K59" s="319"/>
      <c r="L59" s="319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255"/>
      <c r="AP59" s="254">
        <f t="shared" si="12"/>
        <v>0</v>
      </c>
      <c r="AQ59" s="255"/>
      <c r="AR59" s="254">
        <f t="shared" si="13"/>
        <v>0</v>
      </c>
      <c r="AS59" s="255"/>
      <c r="AT59" s="254">
        <f t="shared" si="14"/>
        <v>0</v>
      </c>
      <c r="AU59" s="256"/>
      <c r="AV59" s="257">
        <f t="shared" si="15"/>
        <v>0</v>
      </c>
      <c r="AW59" s="270"/>
      <c r="AX59" s="257">
        <f t="shared" si="16"/>
        <v>0</v>
      </c>
      <c r="AY59" s="270"/>
      <c r="AZ59" s="257">
        <f t="shared" si="17"/>
        <v>0</v>
      </c>
      <c r="BA59" s="268"/>
      <c r="BB59" s="257">
        <f t="shared" si="18"/>
        <v>0</v>
      </c>
      <c r="BC59" s="268"/>
      <c r="BD59" s="257">
        <f t="shared" si="19"/>
        <v>0</v>
      </c>
      <c r="BE59" s="59"/>
      <c r="BF59" s="257">
        <f t="shared" si="20"/>
        <v>0</v>
      </c>
      <c r="BG59" s="59"/>
      <c r="BH59" s="257">
        <f t="shared" si="21"/>
        <v>0</v>
      </c>
      <c r="BI59" s="59"/>
      <c r="BJ59" s="257">
        <f t="shared" si="22"/>
        <v>0</v>
      </c>
      <c r="BK59" s="59"/>
      <c r="BL59" s="257">
        <f t="shared" si="23"/>
        <v>0</v>
      </c>
    </row>
    <row r="60" spans="1:64" s="14" customFormat="1" ht="15.75" customHeight="1">
      <c r="A60" s="250" t="s">
        <v>330</v>
      </c>
      <c r="B60" s="60"/>
      <c r="C60" s="355"/>
      <c r="D60" s="424"/>
      <c r="E60" s="357"/>
      <c r="F60" s="421"/>
      <c r="G60" s="321"/>
      <c r="H60" s="321"/>
      <c r="I60" s="321"/>
      <c r="J60" s="322"/>
      <c r="K60" s="321"/>
      <c r="L60" s="321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Y60" s="303"/>
      <c r="Z60" s="303"/>
      <c r="AA60" s="303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255"/>
      <c r="AP60" s="254">
        <f t="shared" si="12"/>
        <v>0</v>
      </c>
      <c r="AQ60" s="258"/>
      <c r="AR60" s="254">
        <f t="shared" si="13"/>
        <v>0</v>
      </c>
      <c r="AS60" s="258"/>
      <c r="AT60" s="254">
        <f t="shared" si="14"/>
        <v>0</v>
      </c>
      <c r="AU60" s="259"/>
      <c r="AV60" s="257">
        <f t="shared" si="15"/>
        <v>0</v>
      </c>
      <c r="AW60" s="258"/>
      <c r="AX60" s="257">
        <f t="shared" si="16"/>
        <v>0</v>
      </c>
      <c r="AY60" s="258"/>
      <c r="AZ60" s="257">
        <f t="shared" si="17"/>
        <v>0</v>
      </c>
      <c r="BA60" s="269"/>
      <c r="BB60" s="257">
        <f t="shared" si="18"/>
        <v>0</v>
      </c>
      <c r="BC60" s="269"/>
      <c r="BD60" s="257">
        <f t="shared" si="19"/>
        <v>0</v>
      </c>
      <c r="BE60" s="60"/>
      <c r="BF60" s="257">
        <f t="shared" si="20"/>
        <v>0</v>
      </c>
      <c r="BG60" s="60"/>
      <c r="BH60" s="257">
        <f t="shared" si="21"/>
        <v>0</v>
      </c>
      <c r="BI60" s="60"/>
      <c r="BJ60" s="257">
        <f t="shared" si="22"/>
        <v>0</v>
      </c>
      <c r="BK60" s="60"/>
      <c r="BL60" s="257">
        <f t="shared" si="23"/>
        <v>0</v>
      </c>
    </row>
    <row r="61" spans="1:64" s="14" customFormat="1" ht="15.75" customHeight="1" thickBot="1">
      <c r="A61" s="250" t="s">
        <v>330</v>
      </c>
      <c r="B61" s="60"/>
      <c r="C61" s="355"/>
      <c r="D61" s="425"/>
      <c r="E61" s="358"/>
      <c r="F61" s="421"/>
      <c r="G61" s="321"/>
      <c r="H61" s="321"/>
      <c r="I61" s="321"/>
      <c r="J61" s="322"/>
      <c r="K61" s="321"/>
      <c r="L61" s="321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Y61" s="303"/>
      <c r="Z61" s="303"/>
      <c r="AA61" s="303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255"/>
      <c r="AP61" s="254">
        <f t="shared" si="12"/>
        <v>0</v>
      </c>
      <c r="AQ61" s="258"/>
      <c r="AR61" s="254">
        <f t="shared" si="13"/>
        <v>0</v>
      </c>
      <c r="AS61" s="258"/>
      <c r="AT61" s="254">
        <f t="shared" si="14"/>
        <v>0</v>
      </c>
      <c r="AU61" s="259"/>
      <c r="AV61" s="257">
        <f t="shared" si="15"/>
        <v>0</v>
      </c>
      <c r="AW61" s="258"/>
      <c r="AX61" s="257">
        <f t="shared" si="16"/>
        <v>0</v>
      </c>
      <c r="AY61" s="258"/>
      <c r="AZ61" s="257">
        <f t="shared" si="17"/>
        <v>0</v>
      </c>
      <c r="BA61" s="269"/>
      <c r="BB61" s="257">
        <f t="shared" si="18"/>
        <v>0</v>
      </c>
      <c r="BC61" s="269"/>
      <c r="BD61" s="257">
        <f t="shared" si="19"/>
        <v>0</v>
      </c>
      <c r="BE61" s="60"/>
      <c r="BF61" s="257">
        <f t="shared" si="20"/>
        <v>0</v>
      </c>
      <c r="BG61" s="60"/>
      <c r="BH61" s="257">
        <f t="shared" si="21"/>
        <v>0</v>
      </c>
      <c r="BI61" s="60"/>
      <c r="BJ61" s="257">
        <f t="shared" si="22"/>
        <v>0</v>
      </c>
      <c r="BK61" s="60"/>
      <c r="BL61" s="257">
        <f t="shared" si="23"/>
        <v>0</v>
      </c>
    </row>
    <row r="62" spans="1:64" ht="19.5" customHeight="1">
      <c r="A62" s="250" t="s">
        <v>330</v>
      </c>
      <c r="B62" s="59" t="s">
        <v>221</v>
      </c>
      <c r="C62" s="354" t="s">
        <v>172</v>
      </c>
      <c r="D62" s="475" t="s">
        <v>222</v>
      </c>
      <c r="E62" s="359" t="s">
        <v>173</v>
      </c>
      <c r="F62" s="421" t="s">
        <v>75</v>
      </c>
      <c r="G62" s="351" t="s">
        <v>228</v>
      </c>
      <c r="H62" s="323" t="s">
        <v>231</v>
      </c>
      <c r="I62" s="324" t="s">
        <v>183</v>
      </c>
      <c r="J62" s="325" t="s">
        <v>230</v>
      </c>
      <c r="K62" s="323" t="s">
        <v>208</v>
      </c>
      <c r="L62" s="323" t="s">
        <v>177</v>
      </c>
      <c r="M62" s="303" t="s">
        <v>192</v>
      </c>
      <c r="N62" s="303">
        <v>10.4</v>
      </c>
      <c r="O62" s="303">
        <v>11.4</v>
      </c>
      <c r="P62" s="303">
        <v>13.2</v>
      </c>
      <c r="Q62" s="303">
        <v>13.2</v>
      </c>
      <c r="R62" s="303">
        <v>13.2</v>
      </c>
      <c r="S62" s="303">
        <v>13.2</v>
      </c>
      <c r="T62" s="303">
        <v>13.2</v>
      </c>
      <c r="U62" s="303">
        <v>13.2</v>
      </c>
      <c r="V62" s="303">
        <v>11.4</v>
      </c>
      <c r="W62" s="303">
        <v>11.4</v>
      </c>
      <c r="X62" s="303">
        <v>11.4</v>
      </c>
      <c r="Y62" s="303">
        <v>11.4</v>
      </c>
      <c r="Z62" s="303">
        <v>11.4</v>
      </c>
      <c r="AA62" s="303">
        <v>11.4</v>
      </c>
      <c r="AB62" s="304">
        <v>1.5</v>
      </c>
      <c r="AC62" s="304">
        <v>2.8</v>
      </c>
      <c r="AD62" s="304">
        <v>2.8</v>
      </c>
      <c r="AE62" s="304">
        <v>2.8</v>
      </c>
      <c r="AF62" s="304">
        <v>2.8</v>
      </c>
      <c r="AG62" s="304">
        <v>2.8</v>
      </c>
      <c r="AH62" s="304">
        <v>2.8</v>
      </c>
      <c r="AI62" s="304">
        <v>1.5</v>
      </c>
      <c r="AJ62" s="304">
        <v>1.5</v>
      </c>
      <c r="AK62" s="304">
        <v>1.5</v>
      </c>
      <c r="AL62" s="304">
        <v>1.5</v>
      </c>
      <c r="AM62" s="304">
        <v>1.5</v>
      </c>
      <c r="AN62" s="304">
        <v>1.5</v>
      </c>
      <c r="AO62" s="260">
        <v>31547</v>
      </c>
      <c r="AP62" s="254">
        <f t="shared" ref="AP62:AP70" si="24">AC62*AO62</f>
        <v>88331.599999999991</v>
      </c>
      <c r="AQ62" s="260">
        <v>119880</v>
      </c>
      <c r="AR62" s="254">
        <f t="shared" ref="AR62:AR70" si="25">AD62*AQ62</f>
        <v>335664</v>
      </c>
      <c r="AS62" s="260">
        <v>20040</v>
      </c>
      <c r="AT62" s="254">
        <f t="shared" ref="AT62:AT70" si="26">AE62*AS62</f>
        <v>56112</v>
      </c>
      <c r="AU62" s="256">
        <v>17855</v>
      </c>
      <c r="AV62" s="257">
        <f t="shared" ref="AV62:AV70" si="27">AF62*AU62</f>
        <v>49994</v>
      </c>
      <c r="AW62" s="256">
        <v>58680</v>
      </c>
      <c r="AX62" s="257">
        <f t="shared" ref="AX62:AX70" si="28">AG62*AW62</f>
        <v>164304</v>
      </c>
      <c r="AY62" s="256">
        <v>14160</v>
      </c>
      <c r="AZ62" s="257">
        <f t="shared" ref="AZ62:AZ70" si="29">AH62*AY62</f>
        <v>39648</v>
      </c>
      <c r="BA62" s="256">
        <v>44959</v>
      </c>
      <c r="BB62" s="257">
        <f t="shared" ref="BB62:BB70" si="30">AI62*BA62</f>
        <v>67438.5</v>
      </c>
      <c r="BC62" s="268">
        <v>22006</v>
      </c>
      <c r="BD62" s="257">
        <f t="shared" ref="BD62:BD70" si="31">AJ62*BC62</f>
        <v>33009</v>
      </c>
      <c r="BE62" s="261">
        <v>25991</v>
      </c>
      <c r="BF62" s="257">
        <f t="shared" ref="BF62:BF70" si="32">AK62*BE62</f>
        <v>38986.5</v>
      </c>
      <c r="BG62" s="261">
        <v>47664</v>
      </c>
      <c r="BH62" s="257">
        <f t="shared" ref="BH62:BH70" si="33">AL62*BG62</f>
        <v>71496</v>
      </c>
      <c r="BI62" s="261">
        <v>20521</v>
      </c>
      <c r="BJ62" s="257">
        <f t="shared" ref="BJ62:BJ70" si="34">AM62*BI62</f>
        <v>30781.5</v>
      </c>
      <c r="BK62" s="261">
        <v>14120</v>
      </c>
      <c r="BL62" s="257">
        <f t="shared" ref="BL62:BL70" si="35">AN62*BK62</f>
        <v>21180</v>
      </c>
    </row>
    <row r="63" spans="1:64" ht="16.5" customHeight="1">
      <c r="A63" s="250" t="s">
        <v>330</v>
      </c>
      <c r="B63" s="59" t="s">
        <v>221</v>
      </c>
      <c r="C63" s="354" t="s">
        <v>172</v>
      </c>
      <c r="D63" s="476"/>
      <c r="E63" s="359" t="s">
        <v>173</v>
      </c>
      <c r="F63" s="421"/>
      <c r="G63" s="351" t="s">
        <v>228</v>
      </c>
      <c r="H63" s="323" t="s">
        <v>231</v>
      </c>
      <c r="I63" s="324" t="s">
        <v>190</v>
      </c>
      <c r="J63" s="325" t="s">
        <v>230</v>
      </c>
      <c r="K63" s="323" t="s">
        <v>208</v>
      </c>
      <c r="L63" s="323" t="s">
        <v>177</v>
      </c>
      <c r="M63" s="303" t="s">
        <v>192</v>
      </c>
      <c r="N63" s="303">
        <v>5.58</v>
      </c>
      <c r="O63" s="303">
        <v>5.8</v>
      </c>
      <c r="P63" s="303">
        <v>6.35</v>
      </c>
      <c r="Q63" s="303">
        <v>6.35</v>
      </c>
      <c r="R63" s="303">
        <v>6.35</v>
      </c>
      <c r="S63" s="303">
        <v>6.35</v>
      </c>
      <c r="T63" s="303">
        <v>6.35</v>
      </c>
      <c r="U63" s="303">
        <v>6.35</v>
      </c>
      <c r="V63" s="303">
        <v>5.8</v>
      </c>
      <c r="W63" s="303">
        <v>5.8</v>
      </c>
      <c r="X63" s="303">
        <v>5.8</v>
      </c>
      <c r="Y63" s="303">
        <v>5.8</v>
      </c>
      <c r="Z63" s="303">
        <v>5.8</v>
      </c>
      <c r="AA63" s="303">
        <v>5.8</v>
      </c>
      <c r="AB63" s="304">
        <v>0.5</v>
      </c>
      <c r="AC63" s="304">
        <v>0.77</v>
      </c>
      <c r="AD63" s="304">
        <v>0.77</v>
      </c>
      <c r="AE63" s="304">
        <v>0.77</v>
      </c>
      <c r="AF63" s="304">
        <v>0.77</v>
      </c>
      <c r="AG63" s="304">
        <v>0.77</v>
      </c>
      <c r="AH63" s="304">
        <v>0.77</v>
      </c>
      <c r="AI63" s="304">
        <v>0.5</v>
      </c>
      <c r="AJ63" s="304">
        <v>0.5</v>
      </c>
      <c r="AK63" s="304">
        <v>0.5</v>
      </c>
      <c r="AL63" s="304">
        <v>0.5</v>
      </c>
      <c r="AM63" s="304">
        <v>0.5</v>
      </c>
      <c r="AN63" s="304">
        <v>0.5</v>
      </c>
      <c r="AO63" s="260">
        <v>35468</v>
      </c>
      <c r="AP63" s="254">
        <f t="shared" si="24"/>
        <v>27310.36</v>
      </c>
      <c r="AQ63" s="260">
        <v>37263</v>
      </c>
      <c r="AR63" s="254">
        <f t="shared" si="25"/>
        <v>28692.510000000002</v>
      </c>
      <c r="AS63" s="260">
        <v>70800</v>
      </c>
      <c r="AT63" s="254">
        <f t="shared" si="26"/>
        <v>54516</v>
      </c>
      <c r="AU63" s="256">
        <v>28304</v>
      </c>
      <c r="AV63" s="257">
        <f t="shared" si="27"/>
        <v>21794.080000000002</v>
      </c>
      <c r="AW63" s="256">
        <v>39408</v>
      </c>
      <c r="AX63" s="257">
        <f t="shared" si="28"/>
        <v>30344.16</v>
      </c>
      <c r="AY63" s="256">
        <v>30786</v>
      </c>
      <c r="AZ63" s="257">
        <f t="shared" si="29"/>
        <v>23705.22</v>
      </c>
      <c r="BA63" s="256">
        <v>20885</v>
      </c>
      <c r="BB63" s="257">
        <f t="shared" si="30"/>
        <v>10442.5</v>
      </c>
      <c r="BC63" s="268">
        <v>16440</v>
      </c>
      <c r="BD63" s="257">
        <f t="shared" si="31"/>
        <v>8220</v>
      </c>
      <c r="BE63" s="256">
        <v>26104</v>
      </c>
      <c r="BF63" s="257">
        <f t="shared" si="32"/>
        <v>13052</v>
      </c>
      <c r="BG63" s="256">
        <v>15556</v>
      </c>
      <c r="BH63" s="257">
        <f t="shared" si="33"/>
        <v>7778</v>
      </c>
      <c r="BI63" s="256">
        <v>14212</v>
      </c>
      <c r="BJ63" s="257">
        <f t="shared" si="34"/>
        <v>7106</v>
      </c>
      <c r="BK63" s="256">
        <v>10464</v>
      </c>
      <c r="BL63" s="257">
        <f t="shared" si="35"/>
        <v>5232</v>
      </c>
    </row>
    <row r="64" spans="1:64" ht="16.5" customHeight="1">
      <c r="A64" s="250" t="s">
        <v>330</v>
      </c>
      <c r="B64" s="59" t="s">
        <v>221</v>
      </c>
      <c r="C64" s="354" t="s">
        <v>172</v>
      </c>
      <c r="D64" s="476"/>
      <c r="E64" s="359" t="s">
        <v>173</v>
      </c>
      <c r="F64" s="421"/>
      <c r="G64" s="351" t="s">
        <v>232</v>
      </c>
      <c r="H64" s="323" t="s">
        <v>231</v>
      </c>
      <c r="I64" s="324" t="s">
        <v>183</v>
      </c>
      <c r="J64" s="325" t="s">
        <v>233</v>
      </c>
      <c r="K64" s="323" t="s">
        <v>227</v>
      </c>
      <c r="L64" s="323" t="s">
        <v>177</v>
      </c>
      <c r="M64" s="303" t="s">
        <v>192</v>
      </c>
      <c r="N64" s="303">
        <v>10.6</v>
      </c>
      <c r="O64" s="303">
        <v>11.4</v>
      </c>
      <c r="P64" s="303">
        <v>13.2</v>
      </c>
      <c r="Q64" s="303">
        <v>13.2</v>
      </c>
      <c r="R64" s="303">
        <v>13.2</v>
      </c>
      <c r="S64" s="303">
        <v>13.2</v>
      </c>
      <c r="T64" s="303">
        <v>13.2</v>
      </c>
      <c r="U64" s="303">
        <v>13.2</v>
      </c>
      <c r="V64" s="303">
        <v>11.4</v>
      </c>
      <c r="W64" s="303">
        <v>11.4</v>
      </c>
      <c r="X64" s="303">
        <v>11.4</v>
      </c>
      <c r="Y64" s="303">
        <v>11.4</v>
      </c>
      <c r="Z64" s="303">
        <v>11.4</v>
      </c>
      <c r="AA64" s="303">
        <v>11.4</v>
      </c>
      <c r="AB64" s="304">
        <v>1.5</v>
      </c>
      <c r="AC64" s="304">
        <v>2.6</v>
      </c>
      <c r="AD64" s="304">
        <v>2.6</v>
      </c>
      <c r="AE64" s="304">
        <v>2.6</v>
      </c>
      <c r="AF64" s="304">
        <v>2.6</v>
      </c>
      <c r="AG64" s="304">
        <v>2.6</v>
      </c>
      <c r="AH64" s="304">
        <v>2.6</v>
      </c>
      <c r="AI64" s="304">
        <v>1.5</v>
      </c>
      <c r="AJ64" s="304">
        <v>1.5</v>
      </c>
      <c r="AK64" s="304">
        <v>1.5</v>
      </c>
      <c r="AL64" s="304">
        <v>1.5</v>
      </c>
      <c r="AM64" s="304">
        <v>1.5</v>
      </c>
      <c r="AN64" s="304">
        <v>1.5</v>
      </c>
      <c r="AO64" s="260"/>
      <c r="AP64" s="254">
        <f t="shared" si="24"/>
        <v>0</v>
      </c>
      <c r="AQ64" s="260"/>
      <c r="AR64" s="254">
        <f t="shared" si="25"/>
        <v>0</v>
      </c>
      <c r="AS64" s="261"/>
      <c r="AT64" s="254">
        <f t="shared" si="26"/>
        <v>0</v>
      </c>
      <c r="AU64" s="256"/>
      <c r="AV64" s="257">
        <f t="shared" si="27"/>
        <v>0</v>
      </c>
      <c r="AW64" s="260"/>
      <c r="AX64" s="257">
        <f t="shared" si="28"/>
        <v>0</v>
      </c>
      <c r="AY64" s="271"/>
      <c r="AZ64" s="257">
        <f t="shared" si="29"/>
        <v>0</v>
      </c>
      <c r="BA64" s="260"/>
      <c r="BB64" s="257">
        <f t="shared" si="30"/>
        <v>0</v>
      </c>
      <c r="BC64" s="260"/>
      <c r="BD64" s="257">
        <f t="shared" si="31"/>
        <v>0</v>
      </c>
      <c r="BE64" s="261"/>
      <c r="BF64" s="257">
        <f t="shared" si="32"/>
        <v>0</v>
      </c>
      <c r="BG64" s="260"/>
      <c r="BH64" s="257">
        <f t="shared" si="33"/>
        <v>0</v>
      </c>
      <c r="BI64" s="260"/>
      <c r="BJ64" s="257">
        <f t="shared" si="34"/>
        <v>0</v>
      </c>
      <c r="BK64" s="261"/>
      <c r="BL64" s="257">
        <f t="shared" si="35"/>
        <v>0</v>
      </c>
    </row>
    <row r="65" spans="1:64" ht="16.5" customHeight="1">
      <c r="A65" s="250" t="s">
        <v>330</v>
      </c>
      <c r="B65" s="59" t="s">
        <v>221</v>
      </c>
      <c r="C65" s="354" t="s">
        <v>172</v>
      </c>
      <c r="D65" s="476"/>
      <c r="E65" s="359" t="s">
        <v>173</v>
      </c>
      <c r="F65" s="421"/>
      <c r="G65" s="351" t="s">
        <v>232</v>
      </c>
      <c r="H65" s="323" t="s">
        <v>231</v>
      </c>
      <c r="I65" s="324" t="s">
        <v>190</v>
      </c>
      <c r="J65" s="325" t="s">
        <v>233</v>
      </c>
      <c r="K65" s="323" t="s">
        <v>227</v>
      </c>
      <c r="L65" s="323" t="s">
        <v>177</v>
      </c>
      <c r="M65" s="303" t="s">
        <v>192</v>
      </c>
      <c r="N65" s="303">
        <v>4.08</v>
      </c>
      <c r="O65" s="303">
        <v>4</v>
      </c>
      <c r="P65" s="303">
        <v>4.3499999999999996</v>
      </c>
      <c r="Q65" s="303">
        <v>4.3499999999999996</v>
      </c>
      <c r="R65" s="303">
        <v>4.3499999999999996</v>
      </c>
      <c r="S65" s="303">
        <v>4.3499999999999996</v>
      </c>
      <c r="T65" s="303">
        <v>4.3499999999999996</v>
      </c>
      <c r="U65" s="303">
        <v>4.3499999999999996</v>
      </c>
      <c r="V65" s="303">
        <v>4</v>
      </c>
      <c r="W65" s="303">
        <v>4</v>
      </c>
      <c r="X65" s="303">
        <v>4</v>
      </c>
      <c r="Y65" s="303">
        <v>4</v>
      </c>
      <c r="Z65" s="303">
        <v>4</v>
      </c>
      <c r="AA65" s="303">
        <v>4</v>
      </c>
      <c r="AB65" s="304">
        <v>0.27</v>
      </c>
      <c r="AC65" s="304">
        <v>0.27</v>
      </c>
      <c r="AD65" s="304">
        <v>0.27</v>
      </c>
      <c r="AE65" s="304">
        <v>0.27</v>
      </c>
      <c r="AF65" s="304">
        <v>0.27</v>
      </c>
      <c r="AG65" s="304">
        <v>0.27</v>
      </c>
      <c r="AH65" s="304">
        <v>0.27</v>
      </c>
      <c r="AI65" s="304">
        <v>0.7</v>
      </c>
      <c r="AJ65" s="304">
        <v>0.7</v>
      </c>
      <c r="AK65" s="304">
        <v>0.7</v>
      </c>
      <c r="AL65" s="304">
        <v>0.7</v>
      </c>
      <c r="AM65" s="304">
        <v>0.7</v>
      </c>
      <c r="AN65" s="304">
        <v>0.7</v>
      </c>
      <c r="AO65" s="260"/>
      <c r="AP65" s="254">
        <f t="shared" si="24"/>
        <v>0</v>
      </c>
      <c r="AQ65" s="260"/>
      <c r="AR65" s="254">
        <f t="shared" si="25"/>
        <v>0</v>
      </c>
      <c r="AS65" s="261"/>
      <c r="AT65" s="254">
        <f t="shared" si="26"/>
        <v>0</v>
      </c>
      <c r="AU65" s="256"/>
      <c r="AV65" s="257">
        <f t="shared" si="27"/>
        <v>0</v>
      </c>
      <c r="AW65" s="260"/>
      <c r="AX65" s="257">
        <f t="shared" si="28"/>
        <v>0</v>
      </c>
      <c r="AY65" s="271"/>
      <c r="AZ65" s="257">
        <f t="shared" si="29"/>
        <v>0</v>
      </c>
      <c r="BA65" s="260"/>
      <c r="BB65" s="257">
        <f t="shared" si="30"/>
        <v>0</v>
      </c>
      <c r="BC65" s="260"/>
      <c r="BD65" s="257">
        <f t="shared" si="31"/>
        <v>0</v>
      </c>
      <c r="BE65" s="261"/>
      <c r="BF65" s="257">
        <f t="shared" si="32"/>
        <v>0</v>
      </c>
      <c r="BG65" s="260"/>
      <c r="BH65" s="257">
        <f t="shared" si="33"/>
        <v>0</v>
      </c>
      <c r="BI65" s="260"/>
      <c r="BJ65" s="257">
        <f t="shared" si="34"/>
        <v>0</v>
      </c>
      <c r="BK65" s="261"/>
      <c r="BL65" s="257">
        <f t="shared" si="35"/>
        <v>0</v>
      </c>
    </row>
    <row r="66" spans="1:64" ht="16.5" customHeight="1">
      <c r="A66" s="250" t="s">
        <v>330</v>
      </c>
      <c r="B66" s="59" t="s">
        <v>221</v>
      </c>
      <c r="C66" s="354" t="s">
        <v>172</v>
      </c>
      <c r="D66" s="476"/>
      <c r="E66" s="359" t="s">
        <v>173</v>
      </c>
      <c r="F66" s="421"/>
      <c r="G66" s="351" t="s">
        <v>232</v>
      </c>
      <c r="H66" s="323" t="s">
        <v>231</v>
      </c>
      <c r="I66" s="324" t="s">
        <v>183</v>
      </c>
      <c r="J66" s="325" t="s">
        <v>233</v>
      </c>
      <c r="K66" s="323" t="s">
        <v>234</v>
      </c>
      <c r="L66" s="323" t="s">
        <v>177</v>
      </c>
      <c r="M66" s="303" t="s">
        <v>192</v>
      </c>
      <c r="N66" s="303">
        <v>10.4</v>
      </c>
      <c r="O66" s="303">
        <v>13.1</v>
      </c>
      <c r="P66" s="303">
        <v>14.8</v>
      </c>
      <c r="Q66" s="303">
        <v>14.8</v>
      </c>
      <c r="R66" s="303">
        <v>14.8</v>
      </c>
      <c r="S66" s="303">
        <v>14.8</v>
      </c>
      <c r="T66" s="303">
        <v>14.8</v>
      </c>
      <c r="U66" s="303">
        <v>14.8</v>
      </c>
      <c r="V66" s="303">
        <v>13.1</v>
      </c>
      <c r="W66" s="303">
        <v>13.1</v>
      </c>
      <c r="X66" s="303">
        <v>13.1</v>
      </c>
      <c r="Y66" s="303">
        <v>13.1</v>
      </c>
      <c r="Z66" s="303">
        <v>13.1</v>
      </c>
      <c r="AA66" s="303">
        <v>13.1</v>
      </c>
      <c r="AB66" s="304">
        <v>2.7</v>
      </c>
      <c r="AC66" s="304">
        <v>4.4000000000000004</v>
      </c>
      <c r="AD66" s="304">
        <v>4.4000000000000004</v>
      </c>
      <c r="AE66" s="304">
        <v>4.4000000000000004</v>
      </c>
      <c r="AF66" s="304">
        <v>4.4000000000000004</v>
      </c>
      <c r="AG66" s="304">
        <v>4.4000000000000004</v>
      </c>
      <c r="AH66" s="304">
        <v>4.4000000000000004</v>
      </c>
      <c r="AI66" s="304">
        <v>2.7</v>
      </c>
      <c r="AJ66" s="304">
        <v>2.7</v>
      </c>
      <c r="AK66" s="304">
        <v>2.7</v>
      </c>
      <c r="AL66" s="304">
        <v>2.7</v>
      </c>
      <c r="AM66" s="304">
        <v>2.7</v>
      </c>
      <c r="AN66" s="304">
        <v>2.7</v>
      </c>
      <c r="AO66" s="260">
        <v>80</v>
      </c>
      <c r="AP66" s="254">
        <f t="shared" si="24"/>
        <v>352</v>
      </c>
      <c r="AQ66" s="262">
        <v>1120</v>
      </c>
      <c r="AR66" s="254">
        <f t="shared" si="25"/>
        <v>4928</v>
      </c>
      <c r="AS66" s="261">
        <v>80</v>
      </c>
      <c r="AT66" s="254">
        <f t="shared" si="26"/>
        <v>352</v>
      </c>
      <c r="AU66" s="256">
        <v>360</v>
      </c>
      <c r="AV66" s="257">
        <f t="shared" si="27"/>
        <v>1584.0000000000002</v>
      </c>
      <c r="AW66" s="260"/>
      <c r="AX66" s="257">
        <f t="shared" si="28"/>
        <v>0</v>
      </c>
      <c r="AY66" s="271"/>
      <c r="AZ66" s="257">
        <f t="shared" si="29"/>
        <v>0</v>
      </c>
      <c r="BA66" s="260">
        <v>80</v>
      </c>
      <c r="BB66" s="257">
        <f t="shared" si="30"/>
        <v>216</v>
      </c>
      <c r="BC66" s="260"/>
      <c r="BD66" s="257">
        <f t="shared" si="31"/>
        <v>0</v>
      </c>
      <c r="BE66" s="261">
        <v>328</v>
      </c>
      <c r="BF66" s="257">
        <f t="shared" si="32"/>
        <v>885.6</v>
      </c>
      <c r="BG66" s="260"/>
      <c r="BH66" s="257">
        <f t="shared" si="33"/>
        <v>0</v>
      </c>
      <c r="BI66" s="262"/>
      <c r="BJ66" s="257">
        <f t="shared" si="34"/>
        <v>0</v>
      </c>
      <c r="BK66" s="261"/>
      <c r="BL66" s="257">
        <f t="shared" si="35"/>
        <v>0</v>
      </c>
    </row>
    <row r="67" spans="1:64" ht="15" customHeight="1">
      <c r="A67" s="250" t="s">
        <v>330</v>
      </c>
      <c r="B67" s="59" t="s">
        <v>221</v>
      </c>
      <c r="C67" s="354" t="s">
        <v>172</v>
      </c>
      <c r="D67" s="476"/>
      <c r="E67" s="359" t="s">
        <v>173</v>
      </c>
      <c r="F67" s="421"/>
      <c r="G67" s="351" t="s">
        <v>232</v>
      </c>
      <c r="H67" s="323" t="s">
        <v>231</v>
      </c>
      <c r="I67" s="324" t="s">
        <v>190</v>
      </c>
      <c r="J67" s="325" t="s">
        <v>233</v>
      </c>
      <c r="K67" s="323" t="s">
        <v>234</v>
      </c>
      <c r="L67" s="323" t="s">
        <v>177</v>
      </c>
      <c r="M67" s="303" t="s">
        <v>192</v>
      </c>
      <c r="N67" s="303">
        <v>4.08</v>
      </c>
      <c r="O67" s="303">
        <v>4</v>
      </c>
      <c r="P67" s="303">
        <v>4.3499999999999996</v>
      </c>
      <c r="Q67" s="303">
        <v>4.3499999999999996</v>
      </c>
      <c r="R67" s="303">
        <v>4.3499999999999996</v>
      </c>
      <c r="S67" s="303">
        <v>4.3499999999999996</v>
      </c>
      <c r="T67" s="303">
        <v>4.3499999999999996</v>
      </c>
      <c r="U67" s="303">
        <v>4.3499999999999996</v>
      </c>
      <c r="V67" s="303">
        <v>4</v>
      </c>
      <c r="W67" s="303">
        <v>4</v>
      </c>
      <c r="X67" s="303">
        <v>4</v>
      </c>
      <c r="Y67" s="303">
        <v>4</v>
      </c>
      <c r="Z67" s="303">
        <v>4</v>
      </c>
      <c r="AA67" s="303">
        <v>4</v>
      </c>
      <c r="AB67" s="304">
        <v>0.27</v>
      </c>
      <c r="AC67" s="304">
        <v>0.27</v>
      </c>
      <c r="AD67" s="304">
        <v>0.27</v>
      </c>
      <c r="AE67" s="304">
        <v>0.27</v>
      </c>
      <c r="AF67" s="304">
        <v>0.27</v>
      </c>
      <c r="AG67" s="304">
        <v>0.27</v>
      </c>
      <c r="AH67" s="304">
        <v>0.27</v>
      </c>
      <c r="AI67" s="304">
        <v>0.7</v>
      </c>
      <c r="AJ67" s="304">
        <v>0.7</v>
      </c>
      <c r="AK67" s="304">
        <v>0.7</v>
      </c>
      <c r="AL67" s="304">
        <v>0.7</v>
      </c>
      <c r="AM67" s="304">
        <v>0.7</v>
      </c>
      <c r="AN67" s="304">
        <v>0.7</v>
      </c>
      <c r="AO67" s="260">
        <v>959</v>
      </c>
      <c r="AP67" s="254">
        <f t="shared" si="24"/>
        <v>258.93</v>
      </c>
      <c r="AQ67" s="262">
        <v>160</v>
      </c>
      <c r="AR67" s="254">
        <f t="shared" si="25"/>
        <v>43.2</v>
      </c>
      <c r="AS67" s="261">
        <v>4200</v>
      </c>
      <c r="AT67" s="254">
        <f t="shared" si="26"/>
        <v>1134</v>
      </c>
      <c r="AU67" s="256"/>
      <c r="AV67" s="257">
        <f t="shared" si="27"/>
        <v>0</v>
      </c>
      <c r="AW67" s="260"/>
      <c r="AX67" s="257">
        <f t="shared" si="28"/>
        <v>0</v>
      </c>
      <c r="AY67" s="271"/>
      <c r="AZ67" s="257">
        <f t="shared" si="29"/>
        <v>0</v>
      </c>
      <c r="BA67" s="260"/>
      <c r="BB67" s="257">
        <f t="shared" si="30"/>
        <v>0</v>
      </c>
      <c r="BC67" s="260"/>
      <c r="BD67" s="257">
        <f t="shared" si="31"/>
        <v>0</v>
      </c>
      <c r="BE67" s="261"/>
      <c r="BF67" s="257">
        <f t="shared" si="32"/>
        <v>0</v>
      </c>
      <c r="BG67" s="260"/>
      <c r="BH67" s="257">
        <f t="shared" si="33"/>
        <v>0</v>
      </c>
      <c r="BI67" s="260"/>
      <c r="BJ67" s="257">
        <f t="shared" si="34"/>
        <v>0</v>
      </c>
      <c r="BK67" s="260"/>
      <c r="BL67" s="257">
        <f t="shared" si="35"/>
        <v>0</v>
      </c>
    </row>
    <row r="68" spans="1:64" ht="15" customHeight="1">
      <c r="A68" s="250" t="s">
        <v>330</v>
      </c>
      <c r="B68" s="59" t="s">
        <v>221</v>
      </c>
      <c r="C68" s="354" t="s">
        <v>172</v>
      </c>
      <c r="D68" s="476"/>
      <c r="E68" s="359" t="s">
        <v>173</v>
      </c>
      <c r="F68" s="421"/>
      <c r="G68" s="351" t="s">
        <v>232</v>
      </c>
      <c r="H68" s="323" t="s">
        <v>231</v>
      </c>
      <c r="I68" s="324" t="s">
        <v>190</v>
      </c>
      <c r="J68" s="325" t="s">
        <v>233</v>
      </c>
      <c r="K68" s="323" t="s">
        <v>198</v>
      </c>
      <c r="L68" s="323" t="s">
        <v>177</v>
      </c>
      <c r="M68" s="303" t="s">
        <v>192</v>
      </c>
      <c r="N68" s="303">
        <v>4.08</v>
      </c>
      <c r="O68" s="303">
        <v>4</v>
      </c>
      <c r="P68" s="303">
        <v>4.3499999999999996</v>
      </c>
      <c r="Q68" s="303">
        <v>4.3499999999999996</v>
      </c>
      <c r="R68" s="303">
        <v>4.3499999999999996</v>
      </c>
      <c r="S68" s="303">
        <v>4.3499999999999996</v>
      </c>
      <c r="T68" s="303">
        <v>4.3499999999999996</v>
      </c>
      <c r="U68" s="303">
        <v>4.3499999999999996</v>
      </c>
      <c r="V68" s="303">
        <v>4</v>
      </c>
      <c r="W68" s="303">
        <v>4</v>
      </c>
      <c r="X68" s="303">
        <v>4</v>
      </c>
      <c r="Y68" s="303">
        <v>4</v>
      </c>
      <c r="Z68" s="303">
        <v>4</v>
      </c>
      <c r="AA68" s="303">
        <v>4</v>
      </c>
      <c r="AB68" s="304">
        <v>0.27</v>
      </c>
      <c r="AC68" s="304">
        <v>0.27</v>
      </c>
      <c r="AD68" s="304">
        <v>0.27</v>
      </c>
      <c r="AE68" s="304">
        <v>0.27</v>
      </c>
      <c r="AF68" s="304">
        <v>0.27</v>
      </c>
      <c r="AG68" s="304">
        <v>0.27</v>
      </c>
      <c r="AH68" s="304">
        <v>0.27</v>
      </c>
      <c r="AI68" s="304">
        <v>0.7</v>
      </c>
      <c r="AJ68" s="304">
        <v>0.7</v>
      </c>
      <c r="AK68" s="304">
        <v>0.7</v>
      </c>
      <c r="AL68" s="304">
        <v>0.7</v>
      </c>
      <c r="AM68" s="304">
        <v>0.7</v>
      </c>
      <c r="AN68" s="304">
        <v>0.7</v>
      </c>
      <c r="AO68" s="260"/>
      <c r="AP68" s="254">
        <f t="shared" si="24"/>
        <v>0</v>
      </c>
      <c r="AQ68" s="262"/>
      <c r="AR68" s="254">
        <f t="shared" si="25"/>
        <v>0</v>
      </c>
      <c r="AS68" s="261"/>
      <c r="AT68" s="254">
        <f t="shared" si="26"/>
        <v>0</v>
      </c>
      <c r="AU68" s="256"/>
      <c r="AV68" s="257">
        <f t="shared" si="27"/>
        <v>0</v>
      </c>
      <c r="AW68" s="260"/>
      <c r="AX68" s="257">
        <f t="shared" si="28"/>
        <v>0</v>
      </c>
      <c r="AY68" s="271"/>
      <c r="AZ68" s="257">
        <f t="shared" si="29"/>
        <v>0</v>
      </c>
      <c r="BA68" s="260"/>
      <c r="BB68" s="257">
        <f t="shared" si="30"/>
        <v>0</v>
      </c>
      <c r="BC68" s="260"/>
      <c r="BD68" s="257">
        <f t="shared" si="31"/>
        <v>0</v>
      </c>
      <c r="BE68" s="261"/>
      <c r="BF68" s="257">
        <f t="shared" si="32"/>
        <v>0</v>
      </c>
      <c r="BG68" s="260"/>
      <c r="BH68" s="257">
        <f t="shared" si="33"/>
        <v>0</v>
      </c>
      <c r="BI68" s="262"/>
      <c r="BJ68" s="257">
        <f t="shared" si="34"/>
        <v>0</v>
      </c>
      <c r="BK68" s="261"/>
      <c r="BL68" s="257">
        <f t="shared" si="35"/>
        <v>0</v>
      </c>
    </row>
    <row r="69" spans="1:64" ht="16.5" customHeight="1">
      <c r="A69" s="250" t="s">
        <v>330</v>
      </c>
      <c r="B69" s="59" t="s">
        <v>221</v>
      </c>
      <c r="C69" s="354" t="s">
        <v>172</v>
      </c>
      <c r="D69" s="476"/>
      <c r="E69" s="359" t="s">
        <v>173</v>
      </c>
      <c r="F69" s="421"/>
      <c r="G69" s="351" t="s">
        <v>232</v>
      </c>
      <c r="H69" s="323" t="s">
        <v>231</v>
      </c>
      <c r="I69" s="324" t="s">
        <v>183</v>
      </c>
      <c r="J69" s="325" t="s">
        <v>233</v>
      </c>
      <c r="K69" s="323" t="s">
        <v>235</v>
      </c>
      <c r="L69" s="323" t="s">
        <v>177</v>
      </c>
      <c r="M69" s="303" t="s">
        <v>192</v>
      </c>
      <c r="N69" s="303">
        <v>10.9</v>
      </c>
      <c r="O69" s="303">
        <v>12.1</v>
      </c>
      <c r="P69" s="303">
        <v>13.9</v>
      </c>
      <c r="Q69" s="303">
        <v>13.9</v>
      </c>
      <c r="R69" s="303">
        <v>13.9</v>
      </c>
      <c r="S69" s="303">
        <v>13.9</v>
      </c>
      <c r="T69" s="303">
        <v>13.9</v>
      </c>
      <c r="U69" s="303">
        <v>13.9</v>
      </c>
      <c r="V69" s="303">
        <v>12.1</v>
      </c>
      <c r="W69" s="303">
        <v>12.1</v>
      </c>
      <c r="X69" s="303">
        <v>12.1</v>
      </c>
      <c r="Y69" s="303">
        <v>12.1</v>
      </c>
      <c r="Z69" s="303">
        <v>12.1</v>
      </c>
      <c r="AA69" s="303">
        <v>12.1</v>
      </c>
      <c r="AB69" s="304">
        <v>1.2</v>
      </c>
      <c r="AC69" s="304">
        <v>3</v>
      </c>
      <c r="AD69" s="304">
        <v>3</v>
      </c>
      <c r="AE69" s="304">
        <v>3</v>
      </c>
      <c r="AF69" s="304">
        <v>3</v>
      </c>
      <c r="AG69" s="304">
        <v>3</v>
      </c>
      <c r="AH69" s="304">
        <v>3</v>
      </c>
      <c r="AI69" s="304">
        <v>1.2</v>
      </c>
      <c r="AJ69" s="304">
        <v>1.2</v>
      </c>
      <c r="AK69" s="304">
        <v>1.2</v>
      </c>
      <c r="AL69" s="304">
        <v>1.2</v>
      </c>
      <c r="AM69" s="304">
        <v>1.2</v>
      </c>
      <c r="AN69" s="304">
        <v>1.2</v>
      </c>
      <c r="AO69" s="260"/>
      <c r="AP69" s="254">
        <f t="shared" si="24"/>
        <v>0</v>
      </c>
      <c r="AQ69" s="262"/>
      <c r="AR69" s="254">
        <f t="shared" si="25"/>
        <v>0</v>
      </c>
      <c r="AS69" s="261"/>
      <c r="AT69" s="254">
        <f t="shared" si="26"/>
        <v>0</v>
      </c>
      <c r="AU69" s="256"/>
      <c r="AV69" s="257">
        <f t="shared" si="27"/>
        <v>0</v>
      </c>
      <c r="AW69" s="260"/>
      <c r="AX69" s="257">
        <f t="shared" si="28"/>
        <v>0</v>
      </c>
      <c r="AY69" s="271"/>
      <c r="AZ69" s="257">
        <f t="shared" si="29"/>
        <v>0</v>
      </c>
      <c r="BA69" s="260"/>
      <c r="BB69" s="257">
        <f t="shared" si="30"/>
        <v>0</v>
      </c>
      <c r="BC69" s="260"/>
      <c r="BD69" s="257">
        <f t="shared" si="31"/>
        <v>0</v>
      </c>
      <c r="BE69" s="261"/>
      <c r="BF69" s="257">
        <f t="shared" si="32"/>
        <v>0</v>
      </c>
      <c r="BG69" s="260"/>
      <c r="BH69" s="257">
        <f t="shared" si="33"/>
        <v>0</v>
      </c>
      <c r="BI69" s="262"/>
      <c r="BJ69" s="257">
        <f t="shared" si="34"/>
        <v>0</v>
      </c>
      <c r="BK69" s="261"/>
      <c r="BL69" s="257">
        <f t="shared" si="35"/>
        <v>0</v>
      </c>
    </row>
    <row r="70" spans="1:64" ht="16.5" customHeight="1">
      <c r="A70" s="250" t="s">
        <v>330</v>
      </c>
      <c r="B70" s="59" t="s">
        <v>221</v>
      </c>
      <c r="C70" s="354" t="s">
        <v>172</v>
      </c>
      <c r="D70" s="476"/>
      <c r="E70" s="359" t="s">
        <v>173</v>
      </c>
      <c r="F70" s="421"/>
      <c r="G70" s="351" t="s">
        <v>232</v>
      </c>
      <c r="H70" s="323" t="s">
        <v>231</v>
      </c>
      <c r="I70" s="324" t="s">
        <v>190</v>
      </c>
      <c r="J70" s="325" t="s">
        <v>233</v>
      </c>
      <c r="K70" s="323" t="s">
        <v>235</v>
      </c>
      <c r="L70" s="323" t="s">
        <v>177</v>
      </c>
      <c r="M70" s="303" t="s">
        <v>192</v>
      </c>
      <c r="N70" s="303">
        <v>5.58</v>
      </c>
      <c r="O70" s="303">
        <v>5.8</v>
      </c>
      <c r="P70" s="303">
        <v>6.35</v>
      </c>
      <c r="Q70" s="303">
        <v>6.35</v>
      </c>
      <c r="R70" s="303">
        <v>6.35</v>
      </c>
      <c r="S70" s="303">
        <v>6.35</v>
      </c>
      <c r="T70" s="303">
        <v>6.35</v>
      </c>
      <c r="U70" s="303">
        <v>6.35</v>
      </c>
      <c r="V70" s="303">
        <v>5.8</v>
      </c>
      <c r="W70" s="303">
        <v>5.8</v>
      </c>
      <c r="X70" s="303">
        <v>5.8</v>
      </c>
      <c r="Y70" s="303">
        <v>5.8</v>
      </c>
      <c r="Z70" s="303">
        <v>5.8</v>
      </c>
      <c r="AA70" s="303">
        <v>5.8</v>
      </c>
      <c r="AB70" s="304">
        <v>0.5</v>
      </c>
      <c r="AC70" s="304">
        <v>0.77</v>
      </c>
      <c r="AD70" s="304">
        <v>0.77</v>
      </c>
      <c r="AE70" s="304">
        <v>0.77</v>
      </c>
      <c r="AF70" s="304">
        <v>0.77</v>
      </c>
      <c r="AG70" s="304">
        <v>0.77</v>
      </c>
      <c r="AH70" s="304">
        <v>0.77</v>
      </c>
      <c r="AI70" s="304">
        <v>0.5</v>
      </c>
      <c r="AJ70" s="304">
        <v>0.5</v>
      </c>
      <c r="AK70" s="304">
        <v>0.5</v>
      </c>
      <c r="AL70" s="304">
        <v>0.5</v>
      </c>
      <c r="AM70" s="304">
        <v>0.5</v>
      </c>
      <c r="AN70" s="304">
        <v>0.5</v>
      </c>
      <c r="AO70" s="260"/>
      <c r="AP70" s="254">
        <f t="shared" si="24"/>
        <v>0</v>
      </c>
      <c r="AQ70" s="262"/>
      <c r="AR70" s="254">
        <f t="shared" si="25"/>
        <v>0</v>
      </c>
      <c r="AS70" s="261"/>
      <c r="AT70" s="254">
        <f t="shared" si="26"/>
        <v>0</v>
      </c>
      <c r="AU70" s="256"/>
      <c r="AV70" s="257">
        <f t="shared" si="27"/>
        <v>0</v>
      </c>
      <c r="AW70" s="260"/>
      <c r="AX70" s="257">
        <f t="shared" si="28"/>
        <v>0</v>
      </c>
      <c r="AY70" s="271"/>
      <c r="AZ70" s="257">
        <f t="shared" si="29"/>
        <v>0</v>
      </c>
      <c r="BA70" s="260"/>
      <c r="BB70" s="257">
        <f t="shared" si="30"/>
        <v>0</v>
      </c>
      <c r="BC70" s="260"/>
      <c r="BD70" s="257">
        <f t="shared" si="31"/>
        <v>0</v>
      </c>
      <c r="BE70" s="261"/>
      <c r="BF70" s="257">
        <f t="shared" si="32"/>
        <v>0</v>
      </c>
      <c r="BG70" s="260"/>
      <c r="BH70" s="257">
        <f t="shared" si="33"/>
        <v>0</v>
      </c>
      <c r="BI70" s="262"/>
      <c r="BJ70" s="257">
        <f t="shared" si="34"/>
        <v>0</v>
      </c>
      <c r="BK70" s="261"/>
      <c r="BL70" s="257">
        <f t="shared" si="35"/>
        <v>0</v>
      </c>
    </row>
    <row r="71" spans="1:64" ht="16.5" customHeight="1">
      <c r="A71" s="250" t="s">
        <v>330</v>
      </c>
      <c r="C71" s="354"/>
      <c r="D71" s="476"/>
      <c r="E71" s="359"/>
      <c r="F71" s="421"/>
      <c r="G71" s="351"/>
      <c r="H71" s="323"/>
      <c r="I71" s="324"/>
      <c r="J71" s="325"/>
      <c r="K71" s="323"/>
      <c r="L71" s="323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  <c r="X71" s="303"/>
      <c r="Y71" s="303"/>
      <c r="Z71" s="303"/>
      <c r="AA71" s="303"/>
      <c r="AB71" s="304"/>
      <c r="AC71" s="304"/>
      <c r="AD71" s="304"/>
      <c r="AE71" s="304"/>
      <c r="AF71" s="304"/>
      <c r="AG71" s="304"/>
      <c r="AH71" s="304"/>
      <c r="AI71" s="304"/>
      <c r="AJ71" s="304"/>
      <c r="AK71" s="304"/>
      <c r="AL71" s="304"/>
      <c r="AM71" s="304"/>
      <c r="AN71" s="304"/>
      <c r="AO71" s="260"/>
      <c r="AP71" s="254"/>
      <c r="AQ71" s="262"/>
      <c r="AR71" s="254"/>
      <c r="AS71" s="261"/>
      <c r="AT71" s="254"/>
      <c r="AU71" s="256"/>
      <c r="AV71" s="257"/>
      <c r="AW71" s="260"/>
      <c r="AX71" s="257"/>
      <c r="AY71" s="271"/>
      <c r="AZ71" s="257"/>
      <c r="BA71" s="260"/>
      <c r="BB71" s="257"/>
      <c r="BC71" s="260"/>
      <c r="BD71" s="257"/>
      <c r="BE71" s="261"/>
      <c r="BF71" s="257"/>
      <c r="BG71" s="260"/>
      <c r="BH71" s="257"/>
      <c r="BI71" s="260"/>
      <c r="BJ71" s="257"/>
      <c r="BK71" s="260"/>
      <c r="BL71" s="257"/>
    </row>
    <row r="72" spans="1:64" ht="15" customHeight="1">
      <c r="A72" s="250" t="s">
        <v>330</v>
      </c>
      <c r="C72" s="354"/>
      <c r="D72" s="476"/>
      <c r="E72" s="359"/>
      <c r="F72" s="421"/>
      <c r="G72" s="351"/>
      <c r="H72" s="323"/>
      <c r="I72" s="324"/>
      <c r="J72" s="325"/>
      <c r="K72" s="323"/>
      <c r="L72" s="32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3"/>
      <c r="AB72" s="304"/>
      <c r="AC72" s="304"/>
      <c r="AD72" s="304"/>
      <c r="AE72" s="304"/>
      <c r="AF72" s="304"/>
      <c r="AG72" s="304"/>
      <c r="AH72" s="304"/>
      <c r="AI72" s="304"/>
      <c r="AJ72" s="304"/>
      <c r="AK72" s="304"/>
      <c r="AL72" s="304"/>
      <c r="AM72" s="304"/>
      <c r="AN72" s="304"/>
      <c r="AO72" s="260"/>
      <c r="AP72" s="254"/>
      <c r="AQ72" s="262"/>
      <c r="AR72" s="254"/>
      <c r="AS72" s="261"/>
      <c r="AT72" s="254"/>
      <c r="AU72" s="256"/>
      <c r="AV72" s="257"/>
      <c r="AW72" s="260"/>
      <c r="AX72" s="257"/>
      <c r="AY72" s="271"/>
      <c r="AZ72" s="257"/>
      <c r="BA72" s="260"/>
      <c r="BB72" s="257"/>
      <c r="BC72" s="260"/>
      <c r="BD72" s="257"/>
      <c r="BE72" s="261"/>
      <c r="BF72" s="257"/>
      <c r="BG72" s="260"/>
      <c r="BH72" s="257"/>
      <c r="BI72" s="262"/>
      <c r="BJ72" s="257"/>
      <c r="BK72" s="261"/>
      <c r="BL72" s="257"/>
    </row>
    <row r="73" spans="1:64" ht="16.5" customHeight="1">
      <c r="A73" s="250" t="s">
        <v>330</v>
      </c>
      <c r="C73" s="354"/>
      <c r="D73" s="476"/>
      <c r="E73" s="359"/>
      <c r="F73" s="421"/>
      <c r="G73" s="317"/>
      <c r="H73" s="323"/>
      <c r="I73" s="332"/>
      <c r="J73" s="331"/>
      <c r="K73" s="323"/>
      <c r="L73" s="323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260"/>
      <c r="AP73" s="254">
        <f t="shared" si="12"/>
        <v>0</v>
      </c>
      <c r="AQ73" s="260"/>
      <c r="AR73" s="254">
        <f t="shared" si="13"/>
        <v>0</v>
      </c>
      <c r="AS73" s="261"/>
      <c r="AT73" s="254">
        <f t="shared" si="14"/>
        <v>0</v>
      </c>
      <c r="AU73" s="256"/>
      <c r="AV73" s="257">
        <f t="shared" si="15"/>
        <v>0</v>
      </c>
      <c r="AW73" s="270"/>
      <c r="AX73" s="257">
        <f t="shared" si="16"/>
        <v>0</v>
      </c>
      <c r="AY73" s="270"/>
      <c r="AZ73" s="257">
        <f t="shared" si="17"/>
        <v>0</v>
      </c>
      <c r="BA73" s="268"/>
      <c r="BB73" s="257">
        <f t="shared" si="18"/>
        <v>0</v>
      </c>
      <c r="BC73" s="268"/>
      <c r="BD73" s="257">
        <f t="shared" si="19"/>
        <v>0</v>
      </c>
      <c r="BE73" s="59"/>
      <c r="BF73" s="257">
        <f t="shared" si="20"/>
        <v>0</v>
      </c>
      <c r="BG73" s="59"/>
      <c r="BH73" s="257">
        <f t="shared" si="21"/>
        <v>0</v>
      </c>
      <c r="BI73" s="59"/>
      <c r="BJ73" s="257">
        <f t="shared" si="22"/>
        <v>0</v>
      </c>
      <c r="BK73" s="59"/>
      <c r="BL73" s="257">
        <f t="shared" si="23"/>
        <v>0</v>
      </c>
    </row>
    <row r="74" spans="1:64" ht="16.5" customHeight="1">
      <c r="A74" s="250" t="s">
        <v>330</v>
      </c>
      <c r="C74" s="354"/>
      <c r="D74" s="476"/>
      <c r="E74" s="359"/>
      <c r="F74" s="421"/>
      <c r="G74" s="317"/>
      <c r="H74" s="323"/>
      <c r="I74" s="327"/>
      <c r="J74" s="331"/>
      <c r="K74" s="323"/>
      <c r="L74" s="323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  <c r="X74" s="303"/>
      <c r="Y74" s="303"/>
      <c r="Z74" s="303"/>
      <c r="AA74" s="303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260"/>
      <c r="AP74" s="254">
        <f t="shared" si="12"/>
        <v>0</v>
      </c>
      <c r="AQ74" s="260"/>
      <c r="AR74" s="254">
        <f t="shared" si="13"/>
        <v>0</v>
      </c>
      <c r="AS74" s="261"/>
      <c r="AT74" s="254">
        <f t="shared" si="14"/>
        <v>0</v>
      </c>
      <c r="AU74" s="256"/>
      <c r="AV74" s="257">
        <f t="shared" si="15"/>
        <v>0</v>
      </c>
      <c r="AW74" s="270"/>
      <c r="AX74" s="257">
        <f t="shared" si="16"/>
        <v>0</v>
      </c>
      <c r="AY74" s="270"/>
      <c r="AZ74" s="257">
        <f t="shared" si="17"/>
        <v>0</v>
      </c>
      <c r="BA74" s="268"/>
      <c r="BB74" s="257">
        <f t="shared" si="18"/>
        <v>0</v>
      </c>
      <c r="BC74" s="268"/>
      <c r="BD74" s="257">
        <f t="shared" si="19"/>
        <v>0</v>
      </c>
      <c r="BE74" s="59"/>
      <c r="BF74" s="257">
        <f t="shared" si="20"/>
        <v>0</v>
      </c>
      <c r="BG74" s="59"/>
      <c r="BH74" s="257">
        <f t="shared" si="21"/>
        <v>0</v>
      </c>
      <c r="BI74" s="59"/>
      <c r="BJ74" s="257">
        <f t="shared" si="22"/>
        <v>0</v>
      </c>
      <c r="BK74" s="59"/>
      <c r="BL74" s="257">
        <f t="shared" si="23"/>
        <v>0</v>
      </c>
    </row>
    <row r="75" spans="1:64" ht="16.5" customHeight="1">
      <c r="A75" s="250" t="s">
        <v>330</v>
      </c>
      <c r="C75" s="354"/>
      <c r="D75" s="476"/>
      <c r="E75" s="359"/>
      <c r="F75" s="421"/>
      <c r="G75" s="352"/>
      <c r="H75" s="333"/>
      <c r="I75" s="333"/>
      <c r="J75" s="334"/>
      <c r="K75" s="333"/>
      <c r="L75" s="333"/>
      <c r="M75" s="303"/>
      <c r="N75" s="303"/>
      <c r="O75" s="303"/>
      <c r="P75" s="303"/>
      <c r="Q75" s="303"/>
      <c r="R75" s="303"/>
      <c r="S75" s="303"/>
      <c r="T75" s="303"/>
      <c r="U75" s="303"/>
      <c r="V75" s="303"/>
      <c r="W75" s="303"/>
      <c r="X75" s="303"/>
      <c r="Y75" s="303"/>
      <c r="Z75" s="303"/>
      <c r="AA75" s="303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260"/>
      <c r="AP75" s="254">
        <f t="shared" si="12"/>
        <v>0</v>
      </c>
      <c r="AQ75" s="260"/>
      <c r="AR75" s="254">
        <f t="shared" si="13"/>
        <v>0</v>
      </c>
      <c r="AS75" s="261"/>
      <c r="AT75" s="254">
        <f t="shared" si="14"/>
        <v>0</v>
      </c>
      <c r="AU75" s="256"/>
      <c r="AV75" s="257">
        <f t="shared" si="15"/>
        <v>0</v>
      </c>
      <c r="AW75" s="270"/>
      <c r="AX75" s="257">
        <f t="shared" si="16"/>
        <v>0</v>
      </c>
      <c r="AY75" s="270"/>
      <c r="AZ75" s="257">
        <f t="shared" si="17"/>
        <v>0</v>
      </c>
      <c r="BA75" s="268"/>
      <c r="BB75" s="257">
        <f t="shared" si="18"/>
        <v>0</v>
      </c>
      <c r="BC75" s="268"/>
      <c r="BD75" s="257">
        <f t="shared" si="19"/>
        <v>0</v>
      </c>
      <c r="BE75" s="59"/>
      <c r="BF75" s="257">
        <f t="shared" si="20"/>
        <v>0</v>
      </c>
      <c r="BG75" s="59"/>
      <c r="BH75" s="257">
        <f t="shared" si="21"/>
        <v>0</v>
      </c>
      <c r="BI75" s="59"/>
      <c r="BJ75" s="257">
        <f t="shared" si="22"/>
        <v>0</v>
      </c>
      <c r="BK75" s="59"/>
      <c r="BL75" s="257">
        <f t="shared" si="23"/>
        <v>0</v>
      </c>
    </row>
    <row r="76" spans="1:64" ht="16.5" customHeight="1">
      <c r="A76" s="250" t="s">
        <v>330</v>
      </c>
      <c r="C76" s="354"/>
      <c r="D76" s="476"/>
      <c r="E76" s="359"/>
      <c r="F76" s="421"/>
      <c r="G76" s="352"/>
      <c r="H76" s="333"/>
      <c r="I76" s="333"/>
      <c r="J76" s="334"/>
      <c r="K76" s="333"/>
      <c r="L76" s="33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3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260"/>
      <c r="AP76" s="254">
        <f t="shared" si="12"/>
        <v>0</v>
      </c>
      <c r="AQ76" s="260"/>
      <c r="AR76" s="254">
        <f t="shared" si="13"/>
        <v>0</v>
      </c>
      <c r="AS76" s="261"/>
      <c r="AT76" s="254">
        <f t="shared" si="14"/>
        <v>0</v>
      </c>
      <c r="AU76" s="256"/>
      <c r="AV76" s="257">
        <f t="shared" si="15"/>
        <v>0</v>
      </c>
      <c r="AW76" s="270"/>
      <c r="AX76" s="257">
        <f t="shared" si="16"/>
        <v>0</v>
      </c>
      <c r="AY76" s="270"/>
      <c r="AZ76" s="257">
        <f t="shared" si="17"/>
        <v>0</v>
      </c>
      <c r="BA76" s="268"/>
      <c r="BB76" s="257">
        <f t="shared" si="18"/>
        <v>0</v>
      </c>
      <c r="BC76" s="268"/>
      <c r="BD76" s="257">
        <f t="shared" si="19"/>
        <v>0</v>
      </c>
      <c r="BE76" s="59"/>
      <c r="BF76" s="257">
        <f t="shared" si="20"/>
        <v>0</v>
      </c>
      <c r="BG76" s="59"/>
      <c r="BH76" s="257">
        <f t="shared" si="21"/>
        <v>0</v>
      </c>
      <c r="BI76" s="59"/>
      <c r="BJ76" s="257">
        <f t="shared" si="22"/>
        <v>0</v>
      </c>
      <c r="BK76" s="59"/>
      <c r="BL76" s="257">
        <f t="shared" si="23"/>
        <v>0</v>
      </c>
    </row>
    <row r="77" spans="1:64" ht="15" hidden="1" customHeight="1">
      <c r="A77" s="250" t="s">
        <v>330</v>
      </c>
      <c r="C77" s="354"/>
      <c r="D77" s="476"/>
      <c r="E77" s="359"/>
      <c r="F77" s="421" t="s">
        <v>188</v>
      </c>
      <c r="G77" s="319"/>
      <c r="H77" s="298"/>
      <c r="I77" s="298"/>
      <c r="J77" s="299"/>
      <c r="K77" s="298"/>
      <c r="L77" s="298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3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255"/>
      <c r="AP77" s="254">
        <f t="shared" si="12"/>
        <v>0</v>
      </c>
      <c r="AQ77" s="255"/>
      <c r="AR77" s="254">
        <f t="shared" si="13"/>
        <v>0</v>
      </c>
      <c r="AS77" s="255"/>
      <c r="AT77" s="254">
        <f t="shared" si="14"/>
        <v>0</v>
      </c>
      <c r="AU77" s="256"/>
      <c r="AV77" s="257">
        <f t="shared" si="15"/>
        <v>0</v>
      </c>
      <c r="AW77" s="270"/>
      <c r="AX77" s="257">
        <f t="shared" si="16"/>
        <v>0</v>
      </c>
      <c r="AY77" s="270"/>
      <c r="AZ77" s="257">
        <f t="shared" si="17"/>
        <v>0</v>
      </c>
      <c r="BA77" s="268"/>
      <c r="BB77" s="257">
        <f t="shared" si="18"/>
        <v>0</v>
      </c>
      <c r="BC77" s="268"/>
      <c r="BD77" s="257">
        <f t="shared" si="19"/>
        <v>0</v>
      </c>
      <c r="BE77" s="59"/>
      <c r="BF77" s="257">
        <f t="shared" si="20"/>
        <v>0</v>
      </c>
      <c r="BG77" s="59"/>
      <c r="BH77" s="257">
        <f t="shared" si="21"/>
        <v>0</v>
      </c>
      <c r="BI77" s="59"/>
      <c r="BJ77" s="257">
        <f t="shared" si="22"/>
        <v>0</v>
      </c>
      <c r="BK77" s="59"/>
      <c r="BL77" s="257">
        <f t="shared" si="23"/>
        <v>0</v>
      </c>
    </row>
    <row r="78" spans="1:64" ht="15" hidden="1" customHeight="1">
      <c r="A78" s="250" t="s">
        <v>330</v>
      </c>
      <c r="C78" s="354"/>
      <c r="D78" s="476"/>
      <c r="E78" s="359"/>
      <c r="F78" s="421"/>
      <c r="G78" s="59"/>
      <c r="H78" s="298"/>
      <c r="I78" s="298"/>
      <c r="J78" s="299"/>
      <c r="K78" s="298"/>
      <c r="L78" s="298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3"/>
      <c r="Y78" s="303"/>
      <c r="Z78" s="303"/>
      <c r="AA78" s="303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255"/>
      <c r="AP78" s="254">
        <f t="shared" si="12"/>
        <v>0</v>
      </c>
      <c r="AQ78" s="255"/>
      <c r="AR78" s="254">
        <f t="shared" si="13"/>
        <v>0</v>
      </c>
      <c r="AS78" s="255"/>
      <c r="AT78" s="254">
        <f t="shared" si="14"/>
        <v>0</v>
      </c>
      <c r="AU78" s="256"/>
      <c r="AV78" s="257">
        <f t="shared" si="15"/>
        <v>0</v>
      </c>
      <c r="AW78" s="270"/>
      <c r="AX78" s="257">
        <f t="shared" si="16"/>
        <v>0</v>
      </c>
      <c r="AY78" s="270"/>
      <c r="AZ78" s="257">
        <f t="shared" si="17"/>
        <v>0</v>
      </c>
      <c r="BA78" s="268"/>
      <c r="BB78" s="257">
        <f t="shared" si="18"/>
        <v>0</v>
      </c>
      <c r="BC78" s="268"/>
      <c r="BD78" s="257">
        <f t="shared" si="19"/>
        <v>0</v>
      </c>
      <c r="BE78" s="59"/>
      <c r="BF78" s="257">
        <f t="shared" si="20"/>
        <v>0</v>
      </c>
      <c r="BG78" s="59"/>
      <c r="BH78" s="257">
        <f t="shared" si="21"/>
        <v>0</v>
      </c>
      <c r="BI78" s="59"/>
      <c r="BJ78" s="257">
        <f t="shared" si="22"/>
        <v>0</v>
      </c>
      <c r="BK78" s="59"/>
      <c r="BL78" s="257">
        <f t="shared" si="23"/>
        <v>0</v>
      </c>
    </row>
    <row r="79" spans="1:64" ht="15" hidden="1" customHeight="1">
      <c r="A79" s="250" t="s">
        <v>330</v>
      </c>
      <c r="C79" s="354"/>
      <c r="D79" s="476"/>
      <c r="E79" s="359"/>
      <c r="F79" s="421"/>
      <c r="G79" s="59"/>
      <c r="H79" s="298"/>
      <c r="I79" s="298"/>
      <c r="J79" s="299"/>
      <c r="K79" s="298"/>
      <c r="L79" s="298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303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255"/>
      <c r="AP79" s="254">
        <f t="shared" si="12"/>
        <v>0</v>
      </c>
      <c r="AQ79" s="255"/>
      <c r="AR79" s="254">
        <f t="shared" si="13"/>
        <v>0</v>
      </c>
      <c r="AS79" s="255"/>
      <c r="AT79" s="254">
        <f t="shared" si="14"/>
        <v>0</v>
      </c>
      <c r="AU79" s="256"/>
      <c r="AV79" s="257">
        <f t="shared" si="15"/>
        <v>0</v>
      </c>
      <c r="AW79" s="270"/>
      <c r="AX79" s="257">
        <f t="shared" si="16"/>
        <v>0</v>
      </c>
      <c r="AY79" s="270"/>
      <c r="AZ79" s="257">
        <f t="shared" si="17"/>
        <v>0</v>
      </c>
      <c r="BA79" s="268"/>
      <c r="BB79" s="257">
        <f t="shared" si="18"/>
        <v>0</v>
      </c>
      <c r="BC79" s="268"/>
      <c r="BD79" s="257">
        <f t="shared" si="19"/>
        <v>0</v>
      </c>
      <c r="BE79" s="59"/>
      <c r="BF79" s="257">
        <f t="shared" si="20"/>
        <v>0</v>
      </c>
      <c r="BG79" s="59"/>
      <c r="BH79" s="257">
        <f t="shared" si="21"/>
        <v>0</v>
      </c>
      <c r="BI79" s="59"/>
      <c r="BJ79" s="257">
        <f t="shared" si="22"/>
        <v>0</v>
      </c>
      <c r="BK79" s="59"/>
      <c r="BL79" s="257">
        <f t="shared" si="23"/>
        <v>0</v>
      </c>
    </row>
    <row r="80" spans="1:64" ht="15" hidden="1" customHeight="1">
      <c r="A80" s="250" t="s">
        <v>330</v>
      </c>
      <c r="C80" s="354"/>
      <c r="D80" s="476"/>
      <c r="E80" s="359"/>
      <c r="F80" s="421"/>
      <c r="G80" s="59"/>
      <c r="H80" s="298"/>
      <c r="I80" s="298"/>
      <c r="J80" s="299"/>
      <c r="K80" s="298"/>
      <c r="L80" s="298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303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255"/>
      <c r="AP80" s="254">
        <f t="shared" si="12"/>
        <v>0</v>
      </c>
      <c r="AQ80" s="255"/>
      <c r="AR80" s="254">
        <f t="shared" si="13"/>
        <v>0</v>
      </c>
      <c r="AS80" s="255"/>
      <c r="AT80" s="254">
        <f t="shared" si="14"/>
        <v>0</v>
      </c>
      <c r="AU80" s="256"/>
      <c r="AV80" s="257">
        <f t="shared" si="15"/>
        <v>0</v>
      </c>
      <c r="AW80" s="270"/>
      <c r="AX80" s="257">
        <f t="shared" si="16"/>
        <v>0</v>
      </c>
      <c r="AY80" s="270"/>
      <c r="AZ80" s="257">
        <f t="shared" si="17"/>
        <v>0</v>
      </c>
      <c r="BA80" s="268"/>
      <c r="BB80" s="257">
        <f t="shared" si="18"/>
        <v>0</v>
      </c>
      <c r="BC80" s="268"/>
      <c r="BD80" s="257">
        <f t="shared" si="19"/>
        <v>0</v>
      </c>
      <c r="BE80" s="59"/>
      <c r="BF80" s="257">
        <f t="shared" si="20"/>
        <v>0</v>
      </c>
      <c r="BG80" s="59"/>
      <c r="BH80" s="257">
        <f t="shared" si="21"/>
        <v>0</v>
      </c>
      <c r="BI80" s="59"/>
      <c r="BJ80" s="257">
        <f t="shared" si="22"/>
        <v>0</v>
      </c>
      <c r="BK80" s="59"/>
      <c r="BL80" s="257">
        <f t="shared" si="23"/>
        <v>0</v>
      </c>
    </row>
    <row r="81" spans="1:64" ht="15" hidden="1" customHeight="1">
      <c r="A81" s="250" t="s">
        <v>330</v>
      </c>
      <c r="C81" s="354"/>
      <c r="D81" s="476"/>
      <c r="E81" s="359"/>
      <c r="F81" s="421"/>
      <c r="G81" s="59"/>
      <c r="H81" s="298"/>
      <c r="I81" s="298"/>
      <c r="J81" s="299"/>
      <c r="K81" s="298"/>
      <c r="L81" s="298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3"/>
      <c r="Y81" s="303"/>
      <c r="Z81" s="303"/>
      <c r="AA81" s="303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255"/>
      <c r="AP81" s="254">
        <f t="shared" si="12"/>
        <v>0</v>
      </c>
      <c r="AQ81" s="255"/>
      <c r="AR81" s="254">
        <f t="shared" si="13"/>
        <v>0</v>
      </c>
      <c r="AS81" s="255"/>
      <c r="AT81" s="254">
        <f t="shared" si="14"/>
        <v>0</v>
      </c>
      <c r="AU81" s="256"/>
      <c r="AV81" s="257">
        <f t="shared" si="15"/>
        <v>0</v>
      </c>
      <c r="AW81" s="270"/>
      <c r="AX81" s="257">
        <f t="shared" si="16"/>
        <v>0</v>
      </c>
      <c r="AY81" s="270"/>
      <c r="AZ81" s="257">
        <f t="shared" si="17"/>
        <v>0</v>
      </c>
      <c r="BA81" s="268"/>
      <c r="BB81" s="257">
        <f t="shared" si="18"/>
        <v>0</v>
      </c>
      <c r="BC81" s="268"/>
      <c r="BD81" s="257">
        <f t="shared" si="19"/>
        <v>0</v>
      </c>
      <c r="BE81" s="59"/>
      <c r="BF81" s="257">
        <f t="shared" si="20"/>
        <v>0</v>
      </c>
      <c r="BG81" s="59"/>
      <c r="BH81" s="257">
        <f t="shared" si="21"/>
        <v>0</v>
      </c>
      <c r="BI81" s="59"/>
      <c r="BJ81" s="257">
        <f t="shared" si="22"/>
        <v>0</v>
      </c>
      <c r="BK81" s="59"/>
      <c r="BL81" s="257">
        <f t="shared" si="23"/>
        <v>0</v>
      </c>
    </row>
    <row r="82" spans="1:64" ht="15" hidden="1" customHeight="1">
      <c r="A82" s="250" t="s">
        <v>330</v>
      </c>
      <c r="C82" s="354"/>
      <c r="D82" s="476"/>
      <c r="E82" s="359"/>
      <c r="F82" s="421"/>
      <c r="G82" s="59"/>
      <c r="H82" s="298"/>
      <c r="I82" s="298"/>
      <c r="J82" s="299"/>
      <c r="K82" s="298"/>
      <c r="L82" s="298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  <c r="X82" s="303"/>
      <c r="Y82" s="303"/>
      <c r="Z82" s="303"/>
      <c r="AA82" s="303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255"/>
      <c r="AP82" s="254">
        <f t="shared" si="12"/>
        <v>0</v>
      </c>
      <c r="AQ82" s="255"/>
      <c r="AR82" s="254">
        <f t="shared" si="13"/>
        <v>0</v>
      </c>
      <c r="AS82" s="255"/>
      <c r="AT82" s="254">
        <f t="shared" si="14"/>
        <v>0</v>
      </c>
      <c r="AU82" s="256"/>
      <c r="AV82" s="257">
        <f t="shared" si="15"/>
        <v>0</v>
      </c>
      <c r="AW82" s="270"/>
      <c r="AX82" s="257">
        <f t="shared" si="16"/>
        <v>0</v>
      </c>
      <c r="AY82" s="270"/>
      <c r="AZ82" s="257">
        <f t="shared" si="17"/>
        <v>0</v>
      </c>
      <c r="BA82" s="268"/>
      <c r="BB82" s="257">
        <f t="shared" si="18"/>
        <v>0</v>
      </c>
      <c r="BC82" s="268"/>
      <c r="BD82" s="257">
        <f t="shared" si="19"/>
        <v>0</v>
      </c>
      <c r="BE82" s="59"/>
      <c r="BF82" s="257">
        <f t="shared" si="20"/>
        <v>0</v>
      </c>
      <c r="BG82" s="59"/>
      <c r="BH82" s="257">
        <f t="shared" si="21"/>
        <v>0</v>
      </c>
      <c r="BI82" s="59"/>
      <c r="BJ82" s="257">
        <f t="shared" si="22"/>
        <v>0</v>
      </c>
      <c r="BK82" s="59"/>
      <c r="BL82" s="257">
        <f t="shared" si="23"/>
        <v>0</v>
      </c>
    </row>
    <row r="83" spans="1:64" ht="15" hidden="1" customHeight="1">
      <c r="A83" s="250" t="s">
        <v>330</v>
      </c>
      <c r="C83" s="354"/>
      <c r="D83" s="476"/>
      <c r="E83" s="359"/>
      <c r="F83" s="421"/>
      <c r="G83" s="59"/>
      <c r="H83" s="298"/>
      <c r="I83" s="298"/>
      <c r="J83" s="299"/>
      <c r="K83" s="298"/>
      <c r="L83" s="298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3"/>
      <c r="Y83" s="303"/>
      <c r="Z83" s="303"/>
      <c r="AA83" s="303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255"/>
      <c r="AP83" s="254">
        <f t="shared" si="12"/>
        <v>0</v>
      </c>
      <c r="AQ83" s="255"/>
      <c r="AR83" s="254">
        <f t="shared" si="13"/>
        <v>0</v>
      </c>
      <c r="AS83" s="255"/>
      <c r="AT83" s="254">
        <f t="shared" si="14"/>
        <v>0</v>
      </c>
      <c r="AU83" s="256"/>
      <c r="AV83" s="257">
        <f t="shared" si="15"/>
        <v>0</v>
      </c>
      <c r="AW83" s="270"/>
      <c r="AX83" s="257">
        <f t="shared" si="16"/>
        <v>0</v>
      </c>
      <c r="AY83" s="270"/>
      <c r="AZ83" s="257">
        <f t="shared" si="17"/>
        <v>0</v>
      </c>
      <c r="BA83" s="268"/>
      <c r="BB83" s="257">
        <f t="shared" si="18"/>
        <v>0</v>
      </c>
      <c r="BC83" s="268"/>
      <c r="BD83" s="257">
        <f t="shared" si="19"/>
        <v>0</v>
      </c>
      <c r="BE83" s="59"/>
      <c r="BF83" s="257">
        <f t="shared" si="20"/>
        <v>0</v>
      </c>
      <c r="BG83" s="59"/>
      <c r="BH83" s="257">
        <f t="shared" si="21"/>
        <v>0</v>
      </c>
      <c r="BI83" s="59"/>
      <c r="BJ83" s="257">
        <f t="shared" si="22"/>
        <v>0</v>
      </c>
      <c r="BK83" s="59"/>
      <c r="BL83" s="257">
        <f t="shared" si="23"/>
        <v>0</v>
      </c>
    </row>
    <row r="84" spans="1:64" ht="15" hidden="1" customHeight="1">
      <c r="A84" s="250" t="s">
        <v>330</v>
      </c>
      <c r="C84" s="354"/>
      <c r="D84" s="476"/>
      <c r="E84" s="359"/>
      <c r="F84" s="421"/>
      <c r="G84" s="59"/>
      <c r="H84" s="298"/>
      <c r="I84" s="298"/>
      <c r="J84" s="299"/>
      <c r="K84" s="298"/>
      <c r="L84" s="298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  <c r="X84" s="303"/>
      <c r="Y84" s="303"/>
      <c r="Z84" s="303"/>
      <c r="AA84" s="303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255"/>
      <c r="AP84" s="254">
        <f t="shared" si="12"/>
        <v>0</v>
      </c>
      <c r="AQ84" s="255"/>
      <c r="AR84" s="254">
        <f t="shared" si="13"/>
        <v>0</v>
      </c>
      <c r="AS84" s="255"/>
      <c r="AT84" s="254">
        <f t="shared" si="14"/>
        <v>0</v>
      </c>
      <c r="AU84" s="256"/>
      <c r="AV84" s="257">
        <f t="shared" si="15"/>
        <v>0</v>
      </c>
      <c r="AW84" s="270"/>
      <c r="AX84" s="257">
        <f t="shared" si="16"/>
        <v>0</v>
      </c>
      <c r="AY84" s="270"/>
      <c r="AZ84" s="257">
        <f t="shared" si="17"/>
        <v>0</v>
      </c>
      <c r="BA84" s="268"/>
      <c r="BB84" s="257">
        <f t="shared" si="18"/>
        <v>0</v>
      </c>
      <c r="BC84" s="268"/>
      <c r="BD84" s="257">
        <f t="shared" si="19"/>
        <v>0</v>
      </c>
      <c r="BE84" s="59"/>
      <c r="BF84" s="257">
        <f t="shared" si="20"/>
        <v>0</v>
      </c>
      <c r="BG84" s="59"/>
      <c r="BH84" s="257">
        <f t="shared" si="21"/>
        <v>0</v>
      </c>
      <c r="BI84" s="59"/>
      <c r="BJ84" s="257">
        <f t="shared" si="22"/>
        <v>0</v>
      </c>
      <c r="BK84" s="59"/>
      <c r="BL84" s="257">
        <f t="shared" si="23"/>
        <v>0</v>
      </c>
    </row>
    <row r="85" spans="1:64" ht="15" hidden="1" customHeight="1">
      <c r="A85" s="250" t="s">
        <v>330</v>
      </c>
      <c r="C85" s="354"/>
      <c r="D85" s="476"/>
      <c r="E85" s="359"/>
      <c r="F85" s="421"/>
      <c r="G85" s="59"/>
      <c r="H85" s="59"/>
      <c r="I85" s="59"/>
      <c r="J85" s="302"/>
      <c r="K85" s="59"/>
      <c r="L85" s="59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  <c r="X85" s="303"/>
      <c r="Y85" s="303"/>
      <c r="Z85" s="303"/>
      <c r="AA85" s="303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255"/>
      <c r="AP85" s="254">
        <f t="shared" si="12"/>
        <v>0</v>
      </c>
      <c r="AQ85" s="255"/>
      <c r="AR85" s="254">
        <f t="shared" si="13"/>
        <v>0</v>
      </c>
      <c r="AS85" s="255"/>
      <c r="AT85" s="254">
        <f t="shared" si="14"/>
        <v>0</v>
      </c>
      <c r="AU85" s="256"/>
      <c r="AV85" s="257">
        <f t="shared" si="15"/>
        <v>0</v>
      </c>
      <c r="AW85" s="270"/>
      <c r="AX85" s="257">
        <f t="shared" si="16"/>
        <v>0</v>
      </c>
      <c r="AY85" s="270"/>
      <c r="AZ85" s="257">
        <f t="shared" si="17"/>
        <v>0</v>
      </c>
      <c r="BA85" s="268"/>
      <c r="BB85" s="257">
        <f t="shared" si="18"/>
        <v>0</v>
      </c>
      <c r="BC85" s="268"/>
      <c r="BD85" s="257">
        <f t="shared" si="19"/>
        <v>0</v>
      </c>
      <c r="BE85" s="59"/>
      <c r="BF85" s="257">
        <f t="shared" si="20"/>
        <v>0</v>
      </c>
      <c r="BG85" s="59"/>
      <c r="BH85" s="257">
        <f t="shared" si="21"/>
        <v>0</v>
      </c>
      <c r="BI85" s="59"/>
      <c r="BJ85" s="257">
        <f t="shared" si="22"/>
        <v>0</v>
      </c>
      <c r="BK85" s="59"/>
      <c r="BL85" s="257">
        <f t="shared" si="23"/>
        <v>0</v>
      </c>
    </row>
    <row r="86" spans="1:64" ht="15" customHeight="1">
      <c r="A86" s="250" t="s">
        <v>330</v>
      </c>
      <c r="B86" s="59" t="s">
        <v>221</v>
      </c>
      <c r="C86" s="354" t="s">
        <v>172</v>
      </c>
      <c r="D86" s="476"/>
      <c r="E86" s="359"/>
      <c r="F86" s="421" t="s">
        <v>252</v>
      </c>
      <c r="G86" s="317">
        <v>2020</v>
      </c>
      <c r="H86" s="335" t="s">
        <v>368</v>
      </c>
      <c r="I86" s="332" t="s">
        <v>249</v>
      </c>
      <c r="J86" s="331">
        <v>15</v>
      </c>
      <c r="K86" s="335" t="s">
        <v>369</v>
      </c>
      <c r="L86" s="298" t="s">
        <v>344</v>
      </c>
      <c r="M86" s="303" t="s">
        <v>345</v>
      </c>
      <c r="N86" s="303">
        <v>8.6</v>
      </c>
      <c r="O86" s="303">
        <v>13.6</v>
      </c>
      <c r="P86" s="303">
        <v>13.6</v>
      </c>
      <c r="Q86" s="303">
        <v>13.6</v>
      </c>
      <c r="R86" s="303">
        <v>13.6</v>
      </c>
      <c r="S86" s="303">
        <v>13.6</v>
      </c>
      <c r="T86" s="303">
        <v>13.6</v>
      </c>
      <c r="U86" s="303">
        <v>13.6</v>
      </c>
      <c r="V86" s="303">
        <v>13.6</v>
      </c>
      <c r="W86" s="303">
        <v>13.6</v>
      </c>
      <c r="X86" s="303">
        <v>13.6</v>
      </c>
      <c r="Y86" s="303">
        <v>13.6</v>
      </c>
      <c r="Z86" s="303">
        <v>13.6</v>
      </c>
      <c r="AA86" s="303">
        <v>13.6</v>
      </c>
      <c r="AB86" s="304">
        <v>5</v>
      </c>
      <c r="AC86" s="304">
        <v>5</v>
      </c>
      <c r="AD86" s="304">
        <v>5</v>
      </c>
      <c r="AE86" s="304">
        <v>5</v>
      </c>
      <c r="AF86" s="304">
        <v>5</v>
      </c>
      <c r="AG86" s="304">
        <v>5</v>
      </c>
      <c r="AH86" s="304">
        <v>5</v>
      </c>
      <c r="AI86" s="304">
        <v>5</v>
      </c>
      <c r="AJ86" s="304">
        <v>5</v>
      </c>
      <c r="AK86" s="304">
        <v>5</v>
      </c>
      <c r="AL86" s="304">
        <v>5</v>
      </c>
      <c r="AM86" s="304">
        <v>5</v>
      </c>
      <c r="AN86" s="304">
        <v>5</v>
      </c>
      <c r="AO86" s="255">
        <v>640</v>
      </c>
      <c r="AP86" s="254">
        <f t="shared" si="12"/>
        <v>3200</v>
      </c>
      <c r="AQ86" s="255">
        <v>26044</v>
      </c>
      <c r="AR86" s="254">
        <f t="shared" si="13"/>
        <v>130220</v>
      </c>
      <c r="AS86" s="255">
        <v>18836</v>
      </c>
      <c r="AT86" s="254">
        <f t="shared" si="14"/>
        <v>94180</v>
      </c>
      <c r="AU86" s="256">
        <v>18558</v>
      </c>
      <c r="AV86" s="257">
        <f t="shared" si="15"/>
        <v>92790</v>
      </c>
      <c r="AW86" s="255">
        <v>23519</v>
      </c>
      <c r="AX86" s="257">
        <f t="shared" si="16"/>
        <v>117595</v>
      </c>
      <c r="AY86" s="255">
        <v>21272</v>
      </c>
      <c r="AZ86" s="257">
        <f t="shared" si="17"/>
        <v>106360</v>
      </c>
      <c r="BA86" s="255">
        <v>16560</v>
      </c>
      <c r="BB86" s="257">
        <f t="shared" si="18"/>
        <v>82800</v>
      </c>
      <c r="BC86" s="255">
        <v>11960</v>
      </c>
      <c r="BD86" s="257">
        <f t="shared" si="19"/>
        <v>59800</v>
      </c>
      <c r="BE86" s="255">
        <v>13640</v>
      </c>
      <c r="BF86" s="257">
        <f t="shared" si="20"/>
        <v>68200</v>
      </c>
      <c r="BG86" s="255">
        <v>15440</v>
      </c>
      <c r="BH86" s="257">
        <f t="shared" si="21"/>
        <v>77200</v>
      </c>
      <c r="BI86" s="255">
        <v>6760</v>
      </c>
      <c r="BJ86" s="257">
        <f t="shared" si="22"/>
        <v>33800</v>
      </c>
      <c r="BK86" s="255">
        <v>5600</v>
      </c>
      <c r="BL86" s="257">
        <f t="shared" si="23"/>
        <v>28000</v>
      </c>
    </row>
    <row r="87" spans="1:64" ht="15" customHeight="1">
      <c r="A87" s="250" t="s">
        <v>330</v>
      </c>
      <c r="B87" s="59" t="s">
        <v>221</v>
      </c>
      <c r="C87" s="354" t="s">
        <v>172</v>
      </c>
      <c r="D87" s="476"/>
      <c r="E87" s="359"/>
      <c r="F87" s="421"/>
      <c r="G87" s="317">
        <v>2020</v>
      </c>
      <c r="H87" s="335" t="s">
        <v>368</v>
      </c>
      <c r="I87" s="332" t="s">
        <v>175</v>
      </c>
      <c r="J87" s="331">
        <v>15</v>
      </c>
      <c r="K87" s="335" t="s">
        <v>369</v>
      </c>
      <c r="L87" s="323" t="s">
        <v>344</v>
      </c>
      <c r="M87" s="303" t="s">
        <v>345</v>
      </c>
      <c r="N87" s="303">
        <v>4.9000000000000004</v>
      </c>
      <c r="O87" s="303">
        <v>6.4</v>
      </c>
      <c r="P87" s="303">
        <v>6.4</v>
      </c>
      <c r="Q87" s="303">
        <v>6.4</v>
      </c>
      <c r="R87" s="303">
        <v>6.4</v>
      </c>
      <c r="S87" s="303">
        <v>6.4</v>
      </c>
      <c r="T87" s="303">
        <v>6.4</v>
      </c>
      <c r="U87" s="303">
        <v>6.4</v>
      </c>
      <c r="V87" s="303">
        <v>6.4</v>
      </c>
      <c r="W87" s="303">
        <v>6.4</v>
      </c>
      <c r="X87" s="303">
        <v>6.4</v>
      </c>
      <c r="Y87" s="303">
        <v>6.4</v>
      </c>
      <c r="Z87" s="303">
        <v>6.4</v>
      </c>
      <c r="AA87" s="303">
        <v>6.4</v>
      </c>
      <c r="AB87" s="304">
        <v>1.5</v>
      </c>
      <c r="AC87" s="304">
        <v>1.5</v>
      </c>
      <c r="AD87" s="304">
        <v>1.5</v>
      </c>
      <c r="AE87" s="304">
        <v>1.5</v>
      </c>
      <c r="AF87" s="304">
        <v>1.5</v>
      </c>
      <c r="AG87" s="304">
        <v>1.5</v>
      </c>
      <c r="AH87" s="304">
        <v>1.5</v>
      </c>
      <c r="AI87" s="304">
        <v>1.5</v>
      </c>
      <c r="AJ87" s="304">
        <v>1.5</v>
      </c>
      <c r="AK87" s="304">
        <v>1.5</v>
      </c>
      <c r="AL87" s="304">
        <v>1.5</v>
      </c>
      <c r="AM87" s="304">
        <v>1.5</v>
      </c>
      <c r="AN87" s="304">
        <v>1.5</v>
      </c>
      <c r="AO87" s="263"/>
      <c r="AP87" s="254">
        <f t="shared" si="12"/>
        <v>0</v>
      </c>
      <c r="AQ87" s="263"/>
      <c r="AR87" s="254">
        <f t="shared" si="13"/>
        <v>0</v>
      </c>
      <c r="AS87" s="261"/>
      <c r="AT87" s="254">
        <f t="shared" si="14"/>
        <v>0</v>
      </c>
      <c r="AU87" s="256"/>
      <c r="AV87" s="257">
        <f t="shared" si="15"/>
        <v>0</v>
      </c>
      <c r="AW87" s="263"/>
      <c r="AX87" s="257">
        <f t="shared" si="16"/>
        <v>0</v>
      </c>
      <c r="AY87" s="271"/>
      <c r="AZ87" s="257">
        <f t="shared" si="17"/>
        <v>0</v>
      </c>
      <c r="BA87" s="263"/>
      <c r="BB87" s="257">
        <f t="shared" si="18"/>
        <v>0</v>
      </c>
      <c r="BC87" s="263"/>
      <c r="BD87" s="257">
        <f t="shared" si="19"/>
        <v>0</v>
      </c>
      <c r="BE87" s="261"/>
      <c r="BF87" s="257">
        <f t="shared" si="20"/>
        <v>0</v>
      </c>
      <c r="BG87" s="263"/>
      <c r="BH87" s="257">
        <f t="shared" si="21"/>
        <v>0</v>
      </c>
      <c r="BI87" s="263"/>
      <c r="BJ87" s="257">
        <f t="shared" si="22"/>
        <v>0</v>
      </c>
      <c r="BK87" s="261"/>
      <c r="BL87" s="257">
        <f t="shared" si="23"/>
        <v>0</v>
      </c>
    </row>
    <row r="88" spans="1:64" ht="15" customHeight="1">
      <c r="A88" s="250" t="s">
        <v>330</v>
      </c>
      <c r="B88" s="59" t="s">
        <v>221</v>
      </c>
      <c r="C88" s="354" t="s">
        <v>172</v>
      </c>
      <c r="D88" s="476"/>
      <c r="E88" s="359" t="s">
        <v>173</v>
      </c>
      <c r="F88" s="421"/>
      <c r="G88" s="317">
        <v>2020</v>
      </c>
      <c r="H88" s="336" t="s">
        <v>368</v>
      </c>
      <c r="I88" s="332" t="s">
        <v>249</v>
      </c>
      <c r="J88" s="331">
        <v>15</v>
      </c>
      <c r="K88" s="336" t="s">
        <v>370</v>
      </c>
      <c r="L88" s="323" t="s">
        <v>344</v>
      </c>
      <c r="M88" s="303" t="s">
        <v>345</v>
      </c>
      <c r="N88" s="303">
        <v>8.8000000000000007</v>
      </c>
      <c r="O88" s="303">
        <v>14.3</v>
      </c>
      <c r="P88" s="303">
        <v>14.3</v>
      </c>
      <c r="Q88" s="303">
        <v>14.3</v>
      </c>
      <c r="R88" s="303">
        <v>14.3</v>
      </c>
      <c r="S88" s="303">
        <v>14.3</v>
      </c>
      <c r="T88" s="303">
        <v>14.3</v>
      </c>
      <c r="U88" s="303">
        <v>14.3</v>
      </c>
      <c r="V88" s="303">
        <v>14.3</v>
      </c>
      <c r="W88" s="303">
        <v>14.3</v>
      </c>
      <c r="X88" s="303">
        <v>14.3</v>
      </c>
      <c r="Y88" s="303">
        <v>14.3</v>
      </c>
      <c r="Z88" s="303">
        <v>14.3</v>
      </c>
      <c r="AA88" s="303">
        <v>14.3</v>
      </c>
      <c r="AB88" s="304">
        <v>5.5</v>
      </c>
      <c r="AC88" s="304">
        <v>5.5</v>
      </c>
      <c r="AD88" s="304">
        <v>5.5</v>
      </c>
      <c r="AE88" s="304">
        <v>5.5</v>
      </c>
      <c r="AF88" s="304">
        <v>5.5</v>
      </c>
      <c r="AG88" s="304">
        <v>5.5</v>
      </c>
      <c r="AH88" s="304">
        <v>5.5</v>
      </c>
      <c r="AI88" s="304">
        <v>5.5</v>
      </c>
      <c r="AJ88" s="304">
        <v>5.5</v>
      </c>
      <c r="AK88" s="304">
        <v>5.5</v>
      </c>
      <c r="AL88" s="304">
        <v>5.5</v>
      </c>
      <c r="AM88" s="304">
        <v>5.5</v>
      </c>
      <c r="AN88" s="304">
        <v>5.5</v>
      </c>
      <c r="AO88" s="263"/>
      <c r="AP88" s="254">
        <f t="shared" si="12"/>
        <v>0</v>
      </c>
      <c r="AQ88" s="263"/>
      <c r="AR88" s="254">
        <f t="shared" si="13"/>
        <v>0</v>
      </c>
      <c r="AS88" s="261"/>
      <c r="AT88" s="254">
        <f t="shared" si="14"/>
        <v>0</v>
      </c>
      <c r="AU88" s="256"/>
      <c r="AV88" s="257">
        <f t="shared" si="15"/>
        <v>0</v>
      </c>
      <c r="AW88" s="263"/>
      <c r="AX88" s="257">
        <f t="shared" si="16"/>
        <v>0</v>
      </c>
      <c r="AY88" s="271"/>
      <c r="AZ88" s="257">
        <f t="shared" si="17"/>
        <v>0</v>
      </c>
      <c r="BA88" s="263"/>
      <c r="BB88" s="257">
        <f t="shared" si="18"/>
        <v>0</v>
      </c>
      <c r="BC88" s="263"/>
      <c r="BD88" s="257">
        <f t="shared" si="19"/>
        <v>0</v>
      </c>
      <c r="BE88" s="261"/>
      <c r="BF88" s="257">
        <f t="shared" si="20"/>
        <v>0</v>
      </c>
      <c r="BG88" s="263"/>
      <c r="BH88" s="257">
        <f t="shared" si="21"/>
        <v>0</v>
      </c>
      <c r="BI88" s="263"/>
      <c r="BJ88" s="257">
        <f t="shared" si="22"/>
        <v>0</v>
      </c>
      <c r="BK88" s="261"/>
      <c r="BL88" s="257">
        <f t="shared" si="23"/>
        <v>0</v>
      </c>
    </row>
    <row r="89" spans="1:64" ht="16.5" customHeight="1">
      <c r="A89" s="250" t="s">
        <v>330</v>
      </c>
      <c r="B89" s="59" t="s">
        <v>221</v>
      </c>
      <c r="C89" s="354" t="s">
        <v>172</v>
      </c>
      <c r="D89" s="476"/>
      <c r="E89" s="359" t="s">
        <v>173</v>
      </c>
      <c r="F89" s="421"/>
      <c r="G89" s="317">
        <v>2020</v>
      </c>
      <c r="H89" s="336" t="s">
        <v>368</v>
      </c>
      <c r="I89" s="327" t="s">
        <v>175</v>
      </c>
      <c r="J89" s="331">
        <v>15</v>
      </c>
      <c r="K89" s="336" t="s">
        <v>370</v>
      </c>
      <c r="L89" s="323" t="s">
        <v>344</v>
      </c>
      <c r="M89" s="303" t="s">
        <v>345</v>
      </c>
      <c r="N89" s="303">
        <v>4.9000000000000004</v>
      </c>
      <c r="O89" s="303">
        <v>6.4</v>
      </c>
      <c r="P89" s="303">
        <v>6.4</v>
      </c>
      <c r="Q89" s="303">
        <v>6.4</v>
      </c>
      <c r="R89" s="303">
        <v>6.4</v>
      </c>
      <c r="S89" s="303">
        <v>6.4</v>
      </c>
      <c r="T89" s="303">
        <v>6.4</v>
      </c>
      <c r="U89" s="303">
        <v>6.4</v>
      </c>
      <c r="V89" s="303">
        <v>6.4</v>
      </c>
      <c r="W89" s="303">
        <v>6.4</v>
      </c>
      <c r="X89" s="303">
        <v>6.4</v>
      </c>
      <c r="Y89" s="303">
        <v>6.4</v>
      </c>
      <c r="Z89" s="303">
        <v>6.4</v>
      </c>
      <c r="AA89" s="303">
        <v>6.4</v>
      </c>
      <c r="AB89" s="304">
        <v>1.5</v>
      </c>
      <c r="AC89" s="304">
        <v>1.5</v>
      </c>
      <c r="AD89" s="304">
        <v>1.5</v>
      </c>
      <c r="AE89" s="304">
        <v>1.5</v>
      </c>
      <c r="AF89" s="304">
        <v>1.5</v>
      </c>
      <c r="AG89" s="304">
        <v>1.5</v>
      </c>
      <c r="AH89" s="304">
        <v>1.5</v>
      </c>
      <c r="AI89" s="304">
        <v>1.5</v>
      </c>
      <c r="AJ89" s="304">
        <v>1.5</v>
      </c>
      <c r="AK89" s="304">
        <v>1.5</v>
      </c>
      <c r="AL89" s="304">
        <v>1.5</v>
      </c>
      <c r="AM89" s="304">
        <v>1.5</v>
      </c>
      <c r="AN89" s="304">
        <v>1.5</v>
      </c>
      <c r="AO89" s="255"/>
      <c r="AP89" s="254">
        <f t="shared" si="12"/>
        <v>0</v>
      </c>
      <c r="AQ89" s="255"/>
      <c r="AR89" s="254">
        <f t="shared" si="13"/>
        <v>0</v>
      </c>
      <c r="AS89" s="255"/>
      <c r="AT89" s="254">
        <f t="shared" si="14"/>
        <v>0</v>
      </c>
      <c r="AU89" s="256"/>
      <c r="AV89" s="257">
        <f t="shared" si="15"/>
        <v>0</v>
      </c>
      <c r="AW89" s="255"/>
      <c r="AX89" s="257">
        <f t="shared" si="16"/>
        <v>0</v>
      </c>
      <c r="AY89" s="255"/>
      <c r="AZ89" s="257">
        <f t="shared" si="17"/>
        <v>0</v>
      </c>
      <c r="BA89" s="255"/>
      <c r="BB89" s="257">
        <f t="shared" si="18"/>
        <v>0</v>
      </c>
      <c r="BC89" s="255"/>
      <c r="BD89" s="257">
        <f t="shared" si="19"/>
        <v>0</v>
      </c>
      <c r="BE89" s="255"/>
      <c r="BF89" s="257">
        <f t="shared" si="20"/>
        <v>0</v>
      </c>
      <c r="BG89" s="255"/>
      <c r="BH89" s="257">
        <f t="shared" si="21"/>
        <v>0</v>
      </c>
      <c r="BI89" s="255"/>
      <c r="BJ89" s="257">
        <f t="shared" si="22"/>
        <v>0</v>
      </c>
      <c r="BK89" s="255"/>
      <c r="BL89" s="257">
        <f t="shared" si="23"/>
        <v>0</v>
      </c>
    </row>
    <row r="90" spans="1:64" ht="16.5" customHeight="1">
      <c r="A90" s="250" t="s">
        <v>330</v>
      </c>
      <c r="B90" s="59" t="s">
        <v>221</v>
      </c>
      <c r="C90" s="354" t="s">
        <v>172</v>
      </c>
      <c r="D90" s="476"/>
      <c r="E90" s="359" t="s">
        <v>173</v>
      </c>
      <c r="F90" s="421"/>
      <c r="G90" s="317">
        <v>2021</v>
      </c>
      <c r="H90" s="336" t="s">
        <v>371</v>
      </c>
      <c r="I90" s="332" t="s">
        <v>249</v>
      </c>
      <c r="J90" s="331">
        <v>14</v>
      </c>
      <c r="K90" s="335" t="s">
        <v>372</v>
      </c>
      <c r="L90" s="323" t="s">
        <v>344</v>
      </c>
      <c r="M90" s="303" t="s">
        <v>355</v>
      </c>
      <c r="N90" s="303">
        <v>9.75</v>
      </c>
      <c r="O90" s="303">
        <v>15.6</v>
      </c>
      <c r="P90" s="303">
        <v>15.6</v>
      </c>
      <c r="Q90" s="303">
        <v>15.6</v>
      </c>
      <c r="R90" s="303">
        <v>15.6</v>
      </c>
      <c r="S90" s="303">
        <v>15.6</v>
      </c>
      <c r="T90" s="303">
        <v>15.6</v>
      </c>
      <c r="U90" s="303">
        <v>15.6</v>
      </c>
      <c r="V90" s="303">
        <v>15.6</v>
      </c>
      <c r="W90" s="303">
        <v>15.6</v>
      </c>
      <c r="X90" s="303">
        <v>15.6</v>
      </c>
      <c r="Y90" s="303">
        <v>15.6</v>
      </c>
      <c r="Z90" s="303">
        <v>15.6</v>
      </c>
      <c r="AA90" s="303">
        <v>15.6</v>
      </c>
      <c r="AB90" s="304">
        <v>5.7</v>
      </c>
      <c r="AC90" s="304">
        <v>5.7</v>
      </c>
      <c r="AD90" s="304">
        <v>5.7</v>
      </c>
      <c r="AE90" s="304">
        <v>5.7</v>
      </c>
      <c r="AF90" s="304">
        <v>5.7</v>
      </c>
      <c r="AG90" s="304">
        <v>5.7</v>
      </c>
      <c r="AH90" s="304">
        <v>5.7</v>
      </c>
      <c r="AI90" s="304">
        <v>5.7</v>
      </c>
      <c r="AJ90" s="304">
        <v>5.7</v>
      </c>
      <c r="AK90" s="304">
        <v>5.7</v>
      </c>
      <c r="AL90" s="304">
        <v>5.7</v>
      </c>
      <c r="AM90" s="304">
        <v>5.7</v>
      </c>
      <c r="AN90" s="304">
        <v>5.7</v>
      </c>
      <c r="AO90" s="255"/>
      <c r="AP90" s="254">
        <f t="shared" si="12"/>
        <v>0</v>
      </c>
      <c r="AQ90" s="255"/>
      <c r="AR90" s="254">
        <f t="shared" si="13"/>
        <v>0</v>
      </c>
      <c r="AS90" s="255"/>
      <c r="AT90" s="254">
        <f t="shared" si="14"/>
        <v>0</v>
      </c>
      <c r="AU90" s="256"/>
      <c r="AV90" s="257">
        <f t="shared" si="15"/>
        <v>0</v>
      </c>
      <c r="AW90" s="255"/>
      <c r="AX90" s="257">
        <f t="shared" si="16"/>
        <v>0</v>
      </c>
      <c r="AY90" s="255"/>
      <c r="AZ90" s="257">
        <f t="shared" si="17"/>
        <v>0</v>
      </c>
      <c r="BA90" s="255"/>
      <c r="BB90" s="257">
        <f t="shared" si="18"/>
        <v>0</v>
      </c>
      <c r="BC90" s="255"/>
      <c r="BD90" s="257">
        <f t="shared" si="19"/>
        <v>0</v>
      </c>
      <c r="BE90" s="255"/>
      <c r="BF90" s="257">
        <f t="shared" si="20"/>
        <v>0</v>
      </c>
      <c r="BG90" s="255"/>
      <c r="BH90" s="257">
        <f t="shared" si="21"/>
        <v>0</v>
      </c>
      <c r="BI90" s="255"/>
      <c r="BJ90" s="257">
        <f t="shared" si="22"/>
        <v>0</v>
      </c>
      <c r="BK90" s="255"/>
      <c r="BL90" s="257">
        <f t="shared" si="23"/>
        <v>0</v>
      </c>
    </row>
    <row r="91" spans="1:64" ht="16.5" customHeight="1">
      <c r="A91" s="250" t="s">
        <v>330</v>
      </c>
      <c r="B91" s="59" t="s">
        <v>221</v>
      </c>
      <c r="C91" s="354" t="s">
        <v>172</v>
      </c>
      <c r="D91" s="476"/>
      <c r="E91" s="359" t="s">
        <v>173</v>
      </c>
      <c r="F91" s="421"/>
      <c r="G91" s="317">
        <v>2021</v>
      </c>
      <c r="H91" s="336" t="s">
        <v>371</v>
      </c>
      <c r="I91" s="327" t="s">
        <v>175</v>
      </c>
      <c r="J91" s="331">
        <v>14</v>
      </c>
      <c r="K91" s="335" t="s">
        <v>372</v>
      </c>
      <c r="L91" s="323" t="s">
        <v>344</v>
      </c>
      <c r="M91" s="303" t="s">
        <v>355</v>
      </c>
      <c r="N91" s="303">
        <v>5.3</v>
      </c>
      <c r="O91" s="303">
        <v>6.65</v>
      </c>
      <c r="P91" s="303">
        <v>6.65</v>
      </c>
      <c r="Q91" s="303">
        <v>6.65</v>
      </c>
      <c r="R91" s="303">
        <v>6.65</v>
      </c>
      <c r="S91" s="303">
        <v>6.65</v>
      </c>
      <c r="T91" s="303">
        <v>6.65</v>
      </c>
      <c r="U91" s="303">
        <v>6.65</v>
      </c>
      <c r="V91" s="303">
        <v>6.65</v>
      </c>
      <c r="W91" s="303">
        <v>6.65</v>
      </c>
      <c r="X91" s="303">
        <v>6.65</v>
      </c>
      <c r="Y91" s="303">
        <v>6.65</v>
      </c>
      <c r="Z91" s="303">
        <v>6.65</v>
      </c>
      <c r="AA91" s="303">
        <v>6.65</v>
      </c>
      <c r="AB91" s="304">
        <v>1.2</v>
      </c>
      <c r="AC91" s="304">
        <v>1.2</v>
      </c>
      <c r="AD91" s="304">
        <v>1.2</v>
      </c>
      <c r="AE91" s="304">
        <v>1.2</v>
      </c>
      <c r="AF91" s="304">
        <v>1.2</v>
      </c>
      <c r="AG91" s="304">
        <v>1.2</v>
      </c>
      <c r="AH91" s="304">
        <v>1.2</v>
      </c>
      <c r="AI91" s="304">
        <v>1.2</v>
      </c>
      <c r="AJ91" s="304">
        <v>1.2</v>
      </c>
      <c r="AK91" s="304">
        <v>1.2</v>
      </c>
      <c r="AL91" s="304">
        <v>1.2</v>
      </c>
      <c r="AM91" s="304">
        <v>1.2</v>
      </c>
      <c r="AN91" s="304">
        <v>1.2</v>
      </c>
      <c r="AO91" s="255"/>
      <c r="AP91" s="254">
        <f t="shared" si="12"/>
        <v>0</v>
      </c>
      <c r="AQ91" s="264"/>
      <c r="AR91" s="254">
        <f t="shared" si="13"/>
        <v>0</v>
      </c>
      <c r="AS91" s="261"/>
      <c r="AT91" s="254">
        <f t="shared" si="14"/>
        <v>0</v>
      </c>
      <c r="AU91" s="256"/>
      <c r="AV91" s="257">
        <f t="shared" si="15"/>
        <v>0</v>
      </c>
      <c r="AW91" s="255"/>
      <c r="AX91" s="257">
        <f t="shared" si="16"/>
        <v>0</v>
      </c>
      <c r="AY91" s="271"/>
      <c r="AZ91" s="257">
        <f t="shared" si="17"/>
        <v>0</v>
      </c>
      <c r="BA91" s="255"/>
      <c r="BB91" s="257">
        <f t="shared" si="18"/>
        <v>0</v>
      </c>
      <c r="BC91" s="255"/>
      <c r="BD91" s="257">
        <f t="shared" si="19"/>
        <v>0</v>
      </c>
      <c r="BE91" s="261"/>
      <c r="BF91" s="257">
        <f t="shared" si="20"/>
        <v>0</v>
      </c>
      <c r="BG91" s="255"/>
      <c r="BH91" s="257">
        <f t="shared" si="21"/>
        <v>0</v>
      </c>
      <c r="BI91" s="264"/>
      <c r="BJ91" s="257">
        <f t="shared" si="22"/>
        <v>0</v>
      </c>
      <c r="BK91" s="261"/>
      <c r="BL91" s="257">
        <f t="shared" si="23"/>
        <v>0</v>
      </c>
    </row>
    <row r="92" spans="1:64" ht="16.5" customHeight="1">
      <c r="A92" s="250" t="s">
        <v>330</v>
      </c>
      <c r="B92" s="59" t="s">
        <v>221</v>
      </c>
      <c r="C92" s="354" t="s">
        <v>172</v>
      </c>
      <c r="D92" s="476"/>
      <c r="E92" s="359" t="s">
        <v>173</v>
      </c>
      <c r="F92" s="421"/>
      <c r="G92" s="317">
        <v>2021</v>
      </c>
      <c r="H92" s="336" t="s">
        <v>371</v>
      </c>
      <c r="I92" s="332" t="s">
        <v>249</v>
      </c>
      <c r="J92" s="331">
        <v>14</v>
      </c>
      <c r="K92" s="326" t="s">
        <v>369</v>
      </c>
      <c r="L92" s="323" t="s">
        <v>344</v>
      </c>
      <c r="M92" s="303" t="s">
        <v>355</v>
      </c>
      <c r="N92" s="303">
        <v>9.75</v>
      </c>
      <c r="O92" s="303">
        <v>14.9</v>
      </c>
      <c r="P92" s="303">
        <v>14.9</v>
      </c>
      <c r="Q92" s="303">
        <v>14.9</v>
      </c>
      <c r="R92" s="303">
        <v>14.9</v>
      </c>
      <c r="S92" s="303">
        <v>14.9</v>
      </c>
      <c r="T92" s="303">
        <v>14.9</v>
      </c>
      <c r="U92" s="303">
        <v>14.9</v>
      </c>
      <c r="V92" s="303">
        <v>14.9</v>
      </c>
      <c r="W92" s="303">
        <v>14.9</v>
      </c>
      <c r="X92" s="303">
        <v>14.9</v>
      </c>
      <c r="Y92" s="303">
        <v>14.9</v>
      </c>
      <c r="Z92" s="303">
        <v>14.9</v>
      </c>
      <c r="AA92" s="303">
        <v>14.9</v>
      </c>
      <c r="AB92" s="304">
        <v>5</v>
      </c>
      <c r="AC92" s="304">
        <v>5</v>
      </c>
      <c r="AD92" s="304">
        <v>5</v>
      </c>
      <c r="AE92" s="304">
        <v>5</v>
      </c>
      <c r="AF92" s="304">
        <v>5</v>
      </c>
      <c r="AG92" s="304">
        <v>5</v>
      </c>
      <c r="AH92" s="304">
        <v>5</v>
      </c>
      <c r="AI92" s="304">
        <v>5</v>
      </c>
      <c r="AJ92" s="304">
        <v>5</v>
      </c>
      <c r="AK92" s="304">
        <v>5</v>
      </c>
      <c r="AL92" s="304">
        <v>5</v>
      </c>
      <c r="AM92" s="304">
        <v>5</v>
      </c>
      <c r="AN92" s="304">
        <v>5</v>
      </c>
      <c r="AO92" s="255"/>
      <c r="AP92" s="254">
        <f t="shared" ref="AP92:AP126" si="36">AC92*AO92</f>
        <v>0</v>
      </c>
      <c r="AQ92" s="264"/>
      <c r="AR92" s="254">
        <f t="shared" ref="AR92:AR126" si="37">AD92*AQ92</f>
        <v>0</v>
      </c>
      <c r="AS92" s="261"/>
      <c r="AT92" s="254">
        <f t="shared" ref="AT92:AT126" si="38">AE92*AS92</f>
        <v>0</v>
      </c>
      <c r="AU92" s="256"/>
      <c r="AV92" s="257">
        <f t="shared" ref="AV92:AV126" si="39">AF92*AU92</f>
        <v>0</v>
      </c>
      <c r="AW92" s="255"/>
      <c r="AX92" s="257">
        <f t="shared" ref="AX92:AX126" si="40">AG92*AW92</f>
        <v>0</v>
      </c>
      <c r="AY92" s="271"/>
      <c r="AZ92" s="257">
        <f t="shared" ref="AZ92:AZ126" si="41">AH92*AY92</f>
        <v>0</v>
      </c>
      <c r="BA92" s="255"/>
      <c r="BB92" s="257">
        <f t="shared" ref="BB92:BB126" si="42">AI92*BA92</f>
        <v>0</v>
      </c>
      <c r="BC92" s="255"/>
      <c r="BD92" s="257">
        <f t="shared" ref="BD92:BD126" si="43">AJ92*BC92</f>
        <v>0</v>
      </c>
      <c r="BE92" s="261"/>
      <c r="BF92" s="257">
        <f t="shared" ref="BF92:BF126" si="44">AK92*BE92</f>
        <v>0</v>
      </c>
      <c r="BG92" s="255"/>
      <c r="BH92" s="257">
        <f t="shared" ref="BH92:BH126" si="45">AL92*BG92</f>
        <v>0</v>
      </c>
      <c r="BI92" s="264"/>
      <c r="BJ92" s="257">
        <f t="shared" ref="BJ92:BJ126" si="46">AM92*BI92</f>
        <v>0</v>
      </c>
      <c r="BK92" s="261"/>
      <c r="BL92" s="257">
        <f t="shared" ref="BL92:BL126" si="47">AN92*BK92</f>
        <v>0</v>
      </c>
    </row>
    <row r="93" spans="1:64" ht="16.5" customHeight="1">
      <c r="A93" s="250" t="s">
        <v>330</v>
      </c>
      <c r="B93" s="59" t="s">
        <v>221</v>
      </c>
      <c r="C93" s="354" t="s">
        <v>172</v>
      </c>
      <c r="D93" s="476"/>
      <c r="E93" s="359" t="s">
        <v>173</v>
      </c>
      <c r="F93" s="421"/>
      <c r="G93" s="317">
        <v>2021</v>
      </c>
      <c r="H93" s="336" t="s">
        <v>371</v>
      </c>
      <c r="I93" s="327" t="s">
        <v>175</v>
      </c>
      <c r="J93" s="331">
        <v>14</v>
      </c>
      <c r="K93" s="326" t="s">
        <v>369</v>
      </c>
      <c r="L93" s="323" t="s">
        <v>344</v>
      </c>
      <c r="M93" s="303" t="s">
        <v>355</v>
      </c>
      <c r="N93" s="303">
        <v>5.3</v>
      </c>
      <c r="O93" s="303">
        <v>6.65</v>
      </c>
      <c r="P93" s="303">
        <v>6.65</v>
      </c>
      <c r="Q93" s="303">
        <v>6.65</v>
      </c>
      <c r="R93" s="303">
        <v>6.65</v>
      </c>
      <c r="S93" s="303">
        <v>6.65</v>
      </c>
      <c r="T93" s="303">
        <v>6.65</v>
      </c>
      <c r="U93" s="303">
        <v>6.65</v>
      </c>
      <c r="V93" s="303">
        <v>6.65</v>
      </c>
      <c r="W93" s="303">
        <v>6.65</v>
      </c>
      <c r="X93" s="303">
        <v>6.65</v>
      </c>
      <c r="Y93" s="303">
        <v>6.65</v>
      </c>
      <c r="Z93" s="303">
        <v>6.65</v>
      </c>
      <c r="AA93" s="303">
        <v>6.65</v>
      </c>
      <c r="AB93" s="304">
        <v>1.2</v>
      </c>
      <c r="AC93" s="304">
        <v>1.2</v>
      </c>
      <c r="AD93" s="304">
        <v>1.2</v>
      </c>
      <c r="AE93" s="304">
        <v>1.2</v>
      </c>
      <c r="AF93" s="304">
        <v>1.2</v>
      </c>
      <c r="AG93" s="304">
        <v>1.2</v>
      </c>
      <c r="AH93" s="304">
        <v>1.2</v>
      </c>
      <c r="AI93" s="304">
        <v>1.2</v>
      </c>
      <c r="AJ93" s="304">
        <v>1.2</v>
      </c>
      <c r="AK93" s="304">
        <v>1.2</v>
      </c>
      <c r="AL93" s="304">
        <v>1.2</v>
      </c>
      <c r="AM93" s="304">
        <v>1.2</v>
      </c>
      <c r="AN93" s="304">
        <v>1.2</v>
      </c>
      <c r="AO93" s="255"/>
      <c r="AP93" s="254">
        <f t="shared" si="36"/>
        <v>0</v>
      </c>
      <c r="AQ93" s="255"/>
      <c r="AR93" s="254">
        <f t="shared" si="37"/>
        <v>0</v>
      </c>
      <c r="AS93" s="255"/>
      <c r="AT93" s="254">
        <f t="shared" si="38"/>
        <v>0</v>
      </c>
      <c r="AU93" s="256"/>
      <c r="AV93" s="257">
        <f t="shared" si="39"/>
        <v>0</v>
      </c>
      <c r="AW93" s="255"/>
      <c r="AX93" s="257">
        <f t="shared" si="40"/>
        <v>0</v>
      </c>
      <c r="AY93" s="255"/>
      <c r="AZ93" s="257">
        <f t="shared" si="41"/>
        <v>0</v>
      </c>
      <c r="BA93" s="255"/>
      <c r="BB93" s="257">
        <f t="shared" si="42"/>
        <v>0</v>
      </c>
      <c r="BC93" s="255"/>
      <c r="BD93" s="257">
        <f t="shared" si="43"/>
        <v>0</v>
      </c>
      <c r="BE93" s="255"/>
      <c r="BF93" s="257">
        <f t="shared" si="44"/>
        <v>0</v>
      </c>
      <c r="BG93" s="255"/>
      <c r="BH93" s="257">
        <f t="shared" si="45"/>
        <v>0</v>
      </c>
      <c r="BI93" s="255"/>
      <c r="BJ93" s="257">
        <f t="shared" si="46"/>
        <v>0</v>
      </c>
      <c r="BK93" s="255"/>
      <c r="BL93" s="257">
        <f t="shared" si="47"/>
        <v>0</v>
      </c>
    </row>
    <row r="94" spans="1:64" ht="15" customHeight="1">
      <c r="A94" s="250" t="s">
        <v>330</v>
      </c>
      <c r="B94" s="59" t="s">
        <v>221</v>
      </c>
      <c r="C94" s="354" t="s">
        <v>172</v>
      </c>
      <c r="D94" s="476"/>
      <c r="E94" s="359" t="s">
        <v>173</v>
      </c>
      <c r="F94" s="421"/>
      <c r="G94" s="317">
        <v>2021</v>
      </c>
      <c r="H94" s="336" t="s">
        <v>371</v>
      </c>
      <c r="I94" s="332" t="s">
        <v>249</v>
      </c>
      <c r="J94" s="331">
        <v>14</v>
      </c>
      <c r="K94" s="323" t="s">
        <v>373</v>
      </c>
      <c r="L94" s="323" t="s">
        <v>344</v>
      </c>
      <c r="M94" s="303" t="s">
        <v>355</v>
      </c>
      <c r="N94" s="303">
        <v>10.15</v>
      </c>
      <c r="O94" s="303">
        <v>16.600000000000001</v>
      </c>
      <c r="P94" s="303">
        <v>16.600000000000001</v>
      </c>
      <c r="Q94" s="303">
        <v>16.600000000000001</v>
      </c>
      <c r="R94" s="303">
        <v>16.600000000000001</v>
      </c>
      <c r="S94" s="303">
        <v>16.600000000000001</v>
      </c>
      <c r="T94" s="303">
        <v>16.600000000000001</v>
      </c>
      <c r="U94" s="303">
        <v>16.600000000000001</v>
      </c>
      <c r="V94" s="303">
        <v>16.600000000000001</v>
      </c>
      <c r="W94" s="303">
        <v>16.600000000000001</v>
      </c>
      <c r="X94" s="303">
        <v>16.600000000000001</v>
      </c>
      <c r="Y94" s="303">
        <v>16.600000000000001</v>
      </c>
      <c r="Z94" s="303">
        <v>16.600000000000001</v>
      </c>
      <c r="AA94" s="303">
        <v>16.600000000000001</v>
      </c>
      <c r="AB94" s="304">
        <v>6.3</v>
      </c>
      <c r="AC94" s="304">
        <v>6.3</v>
      </c>
      <c r="AD94" s="304">
        <v>6.3</v>
      </c>
      <c r="AE94" s="304">
        <v>6.3</v>
      </c>
      <c r="AF94" s="304">
        <v>6.3</v>
      </c>
      <c r="AG94" s="304">
        <v>6.3</v>
      </c>
      <c r="AH94" s="304">
        <v>6.3</v>
      </c>
      <c r="AI94" s="304">
        <v>6.3</v>
      </c>
      <c r="AJ94" s="304">
        <v>6.3</v>
      </c>
      <c r="AK94" s="304">
        <v>6.3</v>
      </c>
      <c r="AL94" s="304">
        <v>6.3</v>
      </c>
      <c r="AM94" s="304">
        <v>6.3</v>
      </c>
      <c r="AN94" s="304">
        <v>6.3</v>
      </c>
      <c r="AO94" s="265"/>
      <c r="AP94" s="254">
        <f t="shared" si="36"/>
        <v>0</v>
      </c>
      <c r="AQ94" s="265"/>
      <c r="AR94" s="254">
        <f t="shared" si="37"/>
        <v>0</v>
      </c>
      <c r="AS94" s="261"/>
      <c r="AT94" s="254">
        <f t="shared" si="38"/>
        <v>0</v>
      </c>
      <c r="AU94" s="256"/>
      <c r="AV94" s="257">
        <f t="shared" si="39"/>
        <v>0</v>
      </c>
      <c r="AW94" s="265"/>
      <c r="AX94" s="257">
        <f t="shared" si="40"/>
        <v>0</v>
      </c>
      <c r="AY94" s="271"/>
      <c r="AZ94" s="257">
        <f t="shared" si="41"/>
        <v>0</v>
      </c>
      <c r="BA94" s="265"/>
      <c r="BB94" s="257">
        <f t="shared" si="42"/>
        <v>0</v>
      </c>
      <c r="BC94" s="265"/>
      <c r="BD94" s="257">
        <f t="shared" si="43"/>
        <v>0</v>
      </c>
      <c r="BE94" s="261"/>
      <c r="BF94" s="257">
        <f t="shared" si="44"/>
        <v>0</v>
      </c>
      <c r="BG94" s="265"/>
      <c r="BH94" s="257">
        <f t="shared" si="45"/>
        <v>0</v>
      </c>
      <c r="BI94" s="265"/>
      <c r="BJ94" s="257">
        <f t="shared" si="46"/>
        <v>0</v>
      </c>
      <c r="BK94" s="261"/>
      <c r="BL94" s="257">
        <f t="shared" si="47"/>
        <v>0</v>
      </c>
    </row>
    <row r="95" spans="1:64" ht="15" customHeight="1">
      <c r="A95" s="250" t="s">
        <v>330</v>
      </c>
      <c r="B95" s="59" t="s">
        <v>221</v>
      </c>
      <c r="C95" s="354" t="s">
        <v>172</v>
      </c>
      <c r="D95" s="476"/>
      <c r="E95" s="359" t="s">
        <v>173</v>
      </c>
      <c r="F95" s="421"/>
      <c r="G95" s="317">
        <v>2021</v>
      </c>
      <c r="H95" s="336" t="s">
        <v>371</v>
      </c>
      <c r="I95" s="327" t="s">
        <v>175</v>
      </c>
      <c r="J95" s="331">
        <v>14</v>
      </c>
      <c r="K95" s="323" t="s">
        <v>373</v>
      </c>
      <c r="L95" s="323" t="s">
        <v>344</v>
      </c>
      <c r="M95" s="303" t="s">
        <v>355</v>
      </c>
      <c r="N95" s="303">
        <v>5.7</v>
      </c>
      <c r="O95" s="303">
        <v>7.65</v>
      </c>
      <c r="P95" s="303">
        <v>7.65</v>
      </c>
      <c r="Q95" s="303">
        <v>7.65</v>
      </c>
      <c r="R95" s="303">
        <v>7.65</v>
      </c>
      <c r="S95" s="303">
        <v>7.65</v>
      </c>
      <c r="T95" s="303">
        <v>7.65</v>
      </c>
      <c r="U95" s="303">
        <v>7.65</v>
      </c>
      <c r="V95" s="303">
        <v>7.65</v>
      </c>
      <c r="W95" s="303">
        <v>7.65</v>
      </c>
      <c r="X95" s="303">
        <v>7.65</v>
      </c>
      <c r="Y95" s="303">
        <v>7.65</v>
      </c>
      <c r="Z95" s="303">
        <v>7.65</v>
      </c>
      <c r="AA95" s="303">
        <v>7.65</v>
      </c>
      <c r="AB95" s="304">
        <v>1.8</v>
      </c>
      <c r="AC95" s="304">
        <v>1.8</v>
      </c>
      <c r="AD95" s="304">
        <v>1.8</v>
      </c>
      <c r="AE95" s="304">
        <v>1.8</v>
      </c>
      <c r="AF95" s="304">
        <v>1.8</v>
      </c>
      <c r="AG95" s="304">
        <v>1.8</v>
      </c>
      <c r="AH95" s="304">
        <v>1.8</v>
      </c>
      <c r="AI95" s="304">
        <v>1.8</v>
      </c>
      <c r="AJ95" s="304">
        <v>1.8</v>
      </c>
      <c r="AK95" s="304">
        <v>1.8</v>
      </c>
      <c r="AL95" s="304">
        <v>1.8</v>
      </c>
      <c r="AM95" s="304">
        <v>1.8</v>
      </c>
      <c r="AN95" s="304">
        <v>1.8</v>
      </c>
      <c r="AO95" s="265"/>
      <c r="AP95" s="254">
        <f t="shared" si="36"/>
        <v>0</v>
      </c>
      <c r="AQ95" s="265"/>
      <c r="AR95" s="254">
        <f t="shared" si="37"/>
        <v>0</v>
      </c>
      <c r="AS95" s="261"/>
      <c r="AT95" s="254">
        <f t="shared" si="38"/>
        <v>0</v>
      </c>
      <c r="AU95" s="256"/>
      <c r="AV95" s="257">
        <f t="shared" si="39"/>
        <v>0</v>
      </c>
      <c r="AW95" s="265"/>
      <c r="AX95" s="257">
        <f t="shared" si="40"/>
        <v>0</v>
      </c>
      <c r="AY95" s="271"/>
      <c r="AZ95" s="257">
        <f t="shared" si="41"/>
        <v>0</v>
      </c>
      <c r="BA95" s="265"/>
      <c r="BB95" s="257">
        <f t="shared" si="42"/>
        <v>0</v>
      </c>
      <c r="BC95" s="265"/>
      <c r="BD95" s="257">
        <f t="shared" si="43"/>
        <v>0</v>
      </c>
      <c r="BE95" s="261"/>
      <c r="BF95" s="257">
        <f t="shared" si="44"/>
        <v>0</v>
      </c>
      <c r="BG95" s="265"/>
      <c r="BH95" s="257">
        <f t="shared" si="45"/>
        <v>0</v>
      </c>
      <c r="BI95" s="265"/>
      <c r="BJ95" s="257">
        <f t="shared" si="46"/>
        <v>0</v>
      </c>
      <c r="BK95" s="261"/>
      <c r="BL95" s="257">
        <f t="shared" si="47"/>
        <v>0</v>
      </c>
    </row>
    <row r="96" spans="1:64" ht="15" customHeight="1">
      <c r="A96" s="250" t="s">
        <v>330</v>
      </c>
      <c r="B96" s="59" t="s">
        <v>221</v>
      </c>
      <c r="C96" s="354" t="s">
        <v>172</v>
      </c>
      <c r="D96" s="476"/>
      <c r="E96" s="359" t="s">
        <v>173</v>
      </c>
      <c r="F96" s="421"/>
      <c r="G96" s="317">
        <v>2022</v>
      </c>
      <c r="H96" s="336" t="s">
        <v>374</v>
      </c>
      <c r="I96" s="332" t="s">
        <v>249</v>
      </c>
      <c r="J96" s="331">
        <v>14</v>
      </c>
      <c r="K96" s="323" t="s">
        <v>375</v>
      </c>
      <c r="L96" s="323" t="s">
        <v>344</v>
      </c>
      <c r="M96" s="303" t="s">
        <v>355</v>
      </c>
      <c r="N96" s="303">
        <v>8.9</v>
      </c>
      <c r="O96" s="303">
        <v>12.6</v>
      </c>
      <c r="P96" s="303">
        <v>14.4</v>
      </c>
      <c r="Q96" s="303">
        <v>14.4</v>
      </c>
      <c r="R96" s="303">
        <v>14.4</v>
      </c>
      <c r="S96" s="303">
        <v>14.4</v>
      </c>
      <c r="T96" s="303">
        <v>14.4</v>
      </c>
      <c r="U96" s="303">
        <v>14.4</v>
      </c>
      <c r="V96" s="303">
        <v>12.6</v>
      </c>
      <c r="W96" s="303">
        <v>12.6</v>
      </c>
      <c r="X96" s="303">
        <v>12.6</v>
      </c>
      <c r="Y96" s="303">
        <v>12.6</v>
      </c>
      <c r="Z96" s="303">
        <v>12.6</v>
      </c>
      <c r="AA96" s="303">
        <v>12.6</v>
      </c>
      <c r="AB96" s="304">
        <v>3.7</v>
      </c>
      <c r="AC96" s="304">
        <v>4</v>
      </c>
      <c r="AD96" s="304">
        <v>5.5</v>
      </c>
      <c r="AE96" s="304">
        <v>5.5</v>
      </c>
      <c r="AF96" s="304">
        <v>5.5</v>
      </c>
      <c r="AG96" s="304">
        <v>5.5</v>
      </c>
      <c r="AH96" s="304">
        <v>5.5</v>
      </c>
      <c r="AI96" s="304">
        <v>3.7</v>
      </c>
      <c r="AJ96" s="304">
        <v>3.7</v>
      </c>
      <c r="AK96" s="304">
        <v>3.7</v>
      </c>
      <c r="AL96" s="304">
        <v>3.7</v>
      </c>
      <c r="AM96" s="304">
        <v>3.7</v>
      </c>
      <c r="AN96" s="304">
        <v>3.7</v>
      </c>
      <c r="AO96" s="265">
        <v>8165</v>
      </c>
      <c r="AP96" s="254">
        <f t="shared" si="36"/>
        <v>32660</v>
      </c>
      <c r="AQ96" s="265">
        <v>12160</v>
      </c>
      <c r="AR96" s="254">
        <f t="shared" si="37"/>
        <v>66880</v>
      </c>
      <c r="AS96" s="261">
        <v>3628</v>
      </c>
      <c r="AT96" s="254">
        <f t="shared" si="38"/>
        <v>19954</v>
      </c>
      <c r="AU96" s="256">
        <v>5960</v>
      </c>
      <c r="AV96" s="257">
        <f t="shared" si="39"/>
        <v>32780</v>
      </c>
      <c r="AW96" s="265">
        <v>12320</v>
      </c>
      <c r="AX96" s="257">
        <f t="shared" si="40"/>
        <v>67760</v>
      </c>
      <c r="AY96" s="271">
        <v>4598</v>
      </c>
      <c r="AZ96" s="257">
        <f t="shared" si="41"/>
        <v>25289</v>
      </c>
      <c r="BA96" s="265">
        <v>6155</v>
      </c>
      <c r="BB96" s="257">
        <f t="shared" si="42"/>
        <v>22773.5</v>
      </c>
      <c r="BC96" s="265">
        <v>9378</v>
      </c>
      <c r="BD96" s="257">
        <f t="shared" si="43"/>
        <v>34698.6</v>
      </c>
      <c r="BE96" s="261">
        <v>4920</v>
      </c>
      <c r="BF96" s="257">
        <f t="shared" si="44"/>
        <v>18204</v>
      </c>
      <c r="BG96" s="265">
        <v>7596</v>
      </c>
      <c r="BH96" s="257">
        <f t="shared" si="45"/>
        <v>28105.200000000001</v>
      </c>
      <c r="BI96" s="265">
        <v>5387</v>
      </c>
      <c r="BJ96" s="257">
        <f t="shared" si="46"/>
        <v>19931.900000000001</v>
      </c>
      <c r="BK96" s="261">
        <v>3159</v>
      </c>
      <c r="BL96" s="257">
        <f t="shared" si="47"/>
        <v>11688.300000000001</v>
      </c>
    </row>
    <row r="97" spans="1:64" ht="15" customHeight="1">
      <c r="A97" s="250" t="s">
        <v>330</v>
      </c>
      <c r="B97" s="59" t="s">
        <v>221</v>
      </c>
      <c r="C97" s="354" t="s">
        <v>172</v>
      </c>
      <c r="D97" s="476"/>
      <c r="E97" s="359" t="s">
        <v>173</v>
      </c>
      <c r="F97" s="421"/>
      <c r="G97" s="317">
        <v>2021</v>
      </c>
      <c r="H97" s="336" t="s">
        <v>376</v>
      </c>
      <c r="I97" s="327" t="s">
        <v>249</v>
      </c>
      <c r="J97" s="331">
        <v>15</v>
      </c>
      <c r="K97" s="323" t="s">
        <v>369</v>
      </c>
      <c r="L97" s="323" t="s">
        <v>344</v>
      </c>
      <c r="M97" s="303" t="s">
        <v>355</v>
      </c>
      <c r="N97" s="303">
        <v>8.4</v>
      </c>
      <c r="O97" s="303">
        <v>13.6</v>
      </c>
      <c r="P97" s="303">
        <v>13.6</v>
      </c>
      <c r="Q97" s="303">
        <v>13.6</v>
      </c>
      <c r="R97" s="303">
        <v>13.6</v>
      </c>
      <c r="S97" s="303">
        <v>13.6</v>
      </c>
      <c r="T97" s="303">
        <v>13.6</v>
      </c>
      <c r="U97" s="303">
        <v>13.6</v>
      </c>
      <c r="V97" s="303">
        <v>13.6</v>
      </c>
      <c r="W97" s="303">
        <v>13.6</v>
      </c>
      <c r="X97" s="303">
        <v>13.6</v>
      </c>
      <c r="Y97" s="303">
        <v>13.6</v>
      </c>
      <c r="Z97" s="303">
        <v>13.6</v>
      </c>
      <c r="AA97" s="303">
        <v>13.6</v>
      </c>
      <c r="AB97" s="304">
        <v>5.05</v>
      </c>
      <c r="AC97" s="304">
        <v>5.05</v>
      </c>
      <c r="AD97" s="304">
        <v>5.05</v>
      </c>
      <c r="AE97" s="304">
        <v>5.05</v>
      </c>
      <c r="AF97" s="304">
        <v>5.05</v>
      </c>
      <c r="AG97" s="304">
        <v>5.05</v>
      </c>
      <c r="AH97" s="304">
        <v>5.05</v>
      </c>
      <c r="AI97" s="304">
        <v>5.05</v>
      </c>
      <c r="AJ97" s="304">
        <v>5.05</v>
      </c>
      <c r="AK97" s="304">
        <v>5.05</v>
      </c>
      <c r="AL97" s="304">
        <v>5.05</v>
      </c>
      <c r="AM97" s="304">
        <v>5.05</v>
      </c>
      <c r="AN97" s="304">
        <v>5.05</v>
      </c>
      <c r="AO97" s="265"/>
      <c r="AP97" s="254">
        <f t="shared" si="36"/>
        <v>0</v>
      </c>
      <c r="AQ97" s="265"/>
      <c r="AR97" s="254">
        <f t="shared" si="37"/>
        <v>0</v>
      </c>
      <c r="AS97" s="261"/>
      <c r="AT97" s="254">
        <f t="shared" si="38"/>
        <v>0</v>
      </c>
      <c r="AU97" s="256"/>
      <c r="AV97" s="257">
        <f t="shared" si="39"/>
        <v>0</v>
      </c>
      <c r="AW97" s="265"/>
      <c r="AX97" s="257">
        <f t="shared" si="40"/>
        <v>0</v>
      </c>
      <c r="AY97" s="271"/>
      <c r="AZ97" s="257">
        <f t="shared" si="41"/>
        <v>0</v>
      </c>
      <c r="BA97" s="265"/>
      <c r="BB97" s="257">
        <f t="shared" si="42"/>
        <v>0</v>
      </c>
      <c r="BC97" s="265"/>
      <c r="BD97" s="257">
        <f t="shared" si="43"/>
        <v>0</v>
      </c>
      <c r="BE97" s="261"/>
      <c r="BF97" s="257">
        <f t="shared" si="44"/>
        <v>0</v>
      </c>
      <c r="BG97" s="265"/>
      <c r="BH97" s="257">
        <f t="shared" si="45"/>
        <v>0</v>
      </c>
      <c r="BI97" s="265"/>
      <c r="BJ97" s="257">
        <f t="shared" si="46"/>
        <v>0</v>
      </c>
      <c r="BK97" s="261"/>
      <c r="BL97" s="257">
        <f t="shared" si="47"/>
        <v>0</v>
      </c>
    </row>
    <row r="98" spans="1:64" ht="15" customHeight="1">
      <c r="A98" s="250" t="s">
        <v>330</v>
      </c>
      <c r="B98" s="59" t="s">
        <v>221</v>
      </c>
      <c r="C98" s="354" t="s">
        <v>172</v>
      </c>
      <c r="D98" s="476"/>
      <c r="E98" s="359" t="s">
        <v>173</v>
      </c>
      <c r="F98" s="421"/>
      <c r="G98" s="317">
        <v>2021</v>
      </c>
      <c r="H98" s="323" t="s">
        <v>376</v>
      </c>
      <c r="I98" s="332" t="s">
        <v>175</v>
      </c>
      <c r="J98" s="331">
        <v>15</v>
      </c>
      <c r="K98" s="323" t="s">
        <v>369</v>
      </c>
      <c r="L98" s="323" t="s">
        <v>344</v>
      </c>
      <c r="M98" s="303" t="s">
        <v>355</v>
      </c>
      <c r="N98" s="303">
        <v>4.4000000000000004</v>
      </c>
      <c r="O98" s="303">
        <v>6.4</v>
      </c>
      <c r="P98" s="303">
        <v>6.4</v>
      </c>
      <c r="Q98" s="303">
        <v>6.4</v>
      </c>
      <c r="R98" s="303">
        <v>6.4</v>
      </c>
      <c r="S98" s="303">
        <v>6.4</v>
      </c>
      <c r="T98" s="303">
        <v>6.4</v>
      </c>
      <c r="U98" s="303">
        <v>6.4</v>
      </c>
      <c r="V98" s="303">
        <v>6.4</v>
      </c>
      <c r="W98" s="303">
        <v>6.4</v>
      </c>
      <c r="X98" s="303">
        <v>6.4</v>
      </c>
      <c r="Y98" s="303">
        <v>6.4</v>
      </c>
      <c r="Z98" s="303">
        <v>6.4</v>
      </c>
      <c r="AA98" s="303">
        <v>6.4</v>
      </c>
      <c r="AB98" s="304">
        <v>1.85</v>
      </c>
      <c r="AC98" s="304">
        <v>1.85</v>
      </c>
      <c r="AD98" s="304">
        <v>1.85</v>
      </c>
      <c r="AE98" s="304">
        <v>1.85</v>
      </c>
      <c r="AF98" s="304">
        <v>1.85</v>
      </c>
      <c r="AG98" s="304">
        <v>1.85</v>
      </c>
      <c r="AH98" s="304">
        <v>1.85</v>
      </c>
      <c r="AI98" s="304">
        <v>1.85</v>
      </c>
      <c r="AJ98" s="304">
        <v>1.85</v>
      </c>
      <c r="AK98" s="304">
        <v>1.85</v>
      </c>
      <c r="AL98" s="304">
        <v>1.85</v>
      </c>
      <c r="AM98" s="304">
        <v>1.85</v>
      </c>
      <c r="AN98" s="304">
        <v>1.85</v>
      </c>
      <c r="AO98" s="265"/>
      <c r="AP98" s="254">
        <f t="shared" si="36"/>
        <v>0</v>
      </c>
      <c r="AQ98" s="265"/>
      <c r="AR98" s="254">
        <f t="shared" si="37"/>
        <v>0</v>
      </c>
      <c r="AS98" s="265"/>
      <c r="AT98" s="254">
        <f t="shared" si="38"/>
        <v>0</v>
      </c>
      <c r="AU98" s="265"/>
      <c r="AV98" s="257">
        <f t="shared" si="39"/>
        <v>0</v>
      </c>
      <c r="AW98" s="265"/>
      <c r="AX98" s="257">
        <f t="shared" si="40"/>
        <v>0</v>
      </c>
      <c r="AY98" s="265"/>
      <c r="AZ98" s="257">
        <f t="shared" si="41"/>
        <v>0</v>
      </c>
      <c r="BA98" s="265"/>
      <c r="BB98" s="257">
        <f t="shared" si="42"/>
        <v>0</v>
      </c>
      <c r="BC98" s="265"/>
      <c r="BD98" s="257">
        <f t="shared" si="43"/>
        <v>0</v>
      </c>
      <c r="BE98" s="261"/>
      <c r="BF98" s="257">
        <f t="shared" si="44"/>
        <v>0</v>
      </c>
      <c r="BG98" s="261"/>
      <c r="BH98" s="257">
        <f t="shared" si="45"/>
        <v>0</v>
      </c>
      <c r="BI98" s="261"/>
      <c r="BJ98" s="257">
        <f t="shared" si="46"/>
        <v>0</v>
      </c>
      <c r="BK98" s="261"/>
      <c r="BL98" s="257">
        <f t="shared" si="47"/>
        <v>0</v>
      </c>
    </row>
    <row r="99" spans="1:64" ht="15" customHeight="1">
      <c r="A99" s="250" t="s">
        <v>330</v>
      </c>
      <c r="B99" s="59" t="s">
        <v>221</v>
      </c>
      <c r="C99" s="354" t="s">
        <v>172</v>
      </c>
      <c r="D99" s="476"/>
      <c r="E99" s="359" t="s">
        <v>173</v>
      </c>
      <c r="F99" s="421"/>
      <c r="G99" s="317">
        <v>2023</v>
      </c>
      <c r="H99" s="323" t="s">
        <v>377</v>
      </c>
      <c r="I99" s="332" t="s">
        <v>249</v>
      </c>
      <c r="J99" s="331">
        <v>16</v>
      </c>
      <c r="K99" s="323" t="s">
        <v>378</v>
      </c>
      <c r="L99" s="323" t="s">
        <v>344</v>
      </c>
      <c r="M99" s="303" t="s">
        <v>355</v>
      </c>
      <c r="N99" s="303">
        <v>8.6</v>
      </c>
      <c r="O99" s="303">
        <v>12.5</v>
      </c>
      <c r="P99" s="303">
        <v>14.3</v>
      </c>
      <c r="Q99" s="303">
        <v>14.3</v>
      </c>
      <c r="R99" s="303">
        <v>14.3</v>
      </c>
      <c r="S99" s="303">
        <v>14.3</v>
      </c>
      <c r="T99" s="303">
        <v>14.3</v>
      </c>
      <c r="U99" s="303">
        <v>14.3</v>
      </c>
      <c r="V99" s="303">
        <v>12.5</v>
      </c>
      <c r="W99" s="303">
        <v>12.5</v>
      </c>
      <c r="X99" s="303">
        <v>12.5</v>
      </c>
      <c r="Y99" s="303">
        <v>12.5</v>
      </c>
      <c r="Z99" s="303">
        <v>12.5</v>
      </c>
      <c r="AA99" s="303">
        <v>12.5</v>
      </c>
      <c r="AB99" s="304">
        <v>1.5</v>
      </c>
      <c r="AC99" s="304">
        <v>1.5</v>
      </c>
      <c r="AD99" s="304">
        <v>3</v>
      </c>
      <c r="AE99" s="304">
        <v>3</v>
      </c>
      <c r="AF99" s="304">
        <v>3</v>
      </c>
      <c r="AG99" s="304">
        <v>3</v>
      </c>
      <c r="AH99" s="304">
        <v>3</v>
      </c>
      <c r="AI99" s="304">
        <v>3.1</v>
      </c>
      <c r="AJ99" s="304">
        <v>3.1</v>
      </c>
      <c r="AK99" s="304">
        <v>3.1</v>
      </c>
      <c r="AL99" s="304">
        <v>3.1</v>
      </c>
      <c r="AM99" s="304">
        <v>3.1</v>
      </c>
      <c r="AN99" s="304">
        <v>3.1</v>
      </c>
      <c r="AO99" s="265">
        <v>17120</v>
      </c>
      <c r="AP99" s="254">
        <f t="shared" si="36"/>
        <v>25680</v>
      </c>
      <c r="AQ99" s="265">
        <v>5760</v>
      </c>
      <c r="AR99" s="254">
        <f t="shared" si="37"/>
        <v>17280</v>
      </c>
      <c r="AS99" s="261">
        <v>2240</v>
      </c>
      <c r="AT99" s="254">
        <f t="shared" si="38"/>
        <v>6720</v>
      </c>
      <c r="AU99" s="256">
        <v>1080</v>
      </c>
      <c r="AV99" s="257">
        <f t="shared" si="39"/>
        <v>3240</v>
      </c>
      <c r="AW99" s="265">
        <v>5120</v>
      </c>
      <c r="AX99" s="257">
        <f t="shared" si="40"/>
        <v>15360</v>
      </c>
      <c r="AY99" s="271">
        <v>5078</v>
      </c>
      <c r="AZ99" s="257">
        <f t="shared" si="41"/>
        <v>15234</v>
      </c>
      <c r="BA99" s="265">
        <v>4640</v>
      </c>
      <c r="BB99" s="257">
        <f t="shared" si="42"/>
        <v>14384</v>
      </c>
      <c r="BC99" s="265">
        <v>2600</v>
      </c>
      <c r="BD99" s="257">
        <f t="shared" si="43"/>
        <v>8060</v>
      </c>
      <c r="BE99" s="261">
        <v>4320</v>
      </c>
      <c r="BF99" s="257">
        <f t="shared" si="44"/>
        <v>13392</v>
      </c>
      <c r="BG99" s="265">
        <v>6060</v>
      </c>
      <c r="BH99" s="257">
        <f t="shared" si="45"/>
        <v>18786</v>
      </c>
      <c r="BI99" s="265">
        <v>10400</v>
      </c>
      <c r="BJ99" s="257">
        <f t="shared" si="46"/>
        <v>32240</v>
      </c>
      <c r="BK99" s="265">
        <v>7120</v>
      </c>
      <c r="BL99" s="257">
        <f t="shared" si="47"/>
        <v>22072</v>
      </c>
    </row>
    <row r="100" spans="1:64" ht="15" customHeight="1">
      <c r="A100" s="250" t="s">
        <v>330</v>
      </c>
      <c r="B100" s="59" t="s">
        <v>221</v>
      </c>
      <c r="C100" s="354" t="s">
        <v>172</v>
      </c>
      <c r="D100" s="476"/>
      <c r="E100" s="359" t="s">
        <v>173</v>
      </c>
      <c r="F100" s="421"/>
      <c r="G100" s="317">
        <v>2023</v>
      </c>
      <c r="H100" s="323" t="s">
        <v>377</v>
      </c>
      <c r="I100" s="327" t="s">
        <v>249</v>
      </c>
      <c r="J100" s="331">
        <v>16</v>
      </c>
      <c r="K100" s="323" t="s">
        <v>379</v>
      </c>
      <c r="L100" s="323" t="s">
        <v>344</v>
      </c>
      <c r="M100" s="303" t="s">
        <v>355</v>
      </c>
      <c r="N100" s="303">
        <v>9</v>
      </c>
      <c r="O100" s="303">
        <v>13.4</v>
      </c>
      <c r="P100" s="303">
        <v>15.2</v>
      </c>
      <c r="Q100" s="303">
        <v>15.2</v>
      </c>
      <c r="R100" s="303">
        <v>15.2</v>
      </c>
      <c r="S100" s="303">
        <v>15.2</v>
      </c>
      <c r="T100" s="303">
        <v>15.2</v>
      </c>
      <c r="U100" s="303">
        <v>15.2</v>
      </c>
      <c r="V100" s="303">
        <v>13.4</v>
      </c>
      <c r="W100" s="303">
        <v>13.4</v>
      </c>
      <c r="X100" s="303">
        <v>13.4</v>
      </c>
      <c r="Y100" s="303">
        <v>13.4</v>
      </c>
      <c r="Z100" s="303">
        <v>13.4</v>
      </c>
      <c r="AA100" s="303">
        <v>13.4</v>
      </c>
      <c r="AB100" s="304">
        <v>1.5</v>
      </c>
      <c r="AC100" s="304">
        <v>1.5</v>
      </c>
      <c r="AD100" s="304">
        <v>3</v>
      </c>
      <c r="AE100" s="304">
        <v>3</v>
      </c>
      <c r="AF100" s="304">
        <v>3</v>
      </c>
      <c r="AG100" s="304">
        <v>3</v>
      </c>
      <c r="AH100" s="304">
        <v>3</v>
      </c>
      <c r="AI100" s="304">
        <v>4</v>
      </c>
      <c r="AJ100" s="304">
        <v>4</v>
      </c>
      <c r="AK100" s="304">
        <v>4</v>
      </c>
      <c r="AL100" s="304">
        <v>4</v>
      </c>
      <c r="AM100" s="304">
        <v>4</v>
      </c>
      <c r="AN100" s="304">
        <v>4</v>
      </c>
      <c r="AO100" s="265"/>
      <c r="AP100" s="254">
        <f t="shared" si="36"/>
        <v>0</v>
      </c>
      <c r="AQ100" s="265"/>
      <c r="AR100" s="254">
        <f t="shared" si="37"/>
        <v>0</v>
      </c>
      <c r="AS100" s="261"/>
      <c r="AT100" s="254">
        <f t="shared" si="38"/>
        <v>0</v>
      </c>
      <c r="AU100" s="256">
        <v>40</v>
      </c>
      <c r="AV100" s="257">
        <f t="shared" si="39"/>
        <v>120</v>
      </c>
      <c r="AW100" s="265"/>
      <c r="AX100" s="257">
        <f t="shared" si="40"/>
        <v>0</v>
      </c>
      <c r="AY100" s="271">
        <v>200</v>
      </c>
      <c r="AZ100" s="257">
        <f t="shared" si="41"/>
        <v>600</v>
      </c>
      <c r="BA100" s="265"/>
      <c r="BB100" s="257">
        <f t="shared" si="42"/>
        <v>0</v>
      </c>
      <c r="BC100" s="265"/>
      <c r="BD100" s="257">
        <f t="shared" si="43"/>
        <v>0</v>
      </c>
      <c r="BE100" s="261"/>
      <c r="BF100" s="257">
        <f t="shared" si="44"/>
        <v>0</v>
      </c>
      <c r="BG100" s="265">
        <v>40</v>
      </c>
      <c r="BH100" s="257">
        <f t="shared" si="45"/>
        <v>160</v>
      </c>
      <c r="BI100" s="265"/>
      <c r="BJ100" s="257">
        <f t="shared" si="46"/>
        <v>0</v>
      </c>
      <c r="BK100" s="265"/>
      <c r="BL100" s="257">
        <f t="shared" si="47"/>
        <v>0</v>
      </c>
    </row>
    <row r="101" spans="1:64" ht="15" customHeight="1">
      <c r="A101" s="250" t="s">
        <v>330</v>
      </c>
      <c r="B101" s="59" t="s">
        <v>221</v>
      </c>
      <c r="C101" s="354" t="s">
        <v>172</v>
      </c>
      <c r="D101" s="476"/>
      <c r="E101" s="359" t="s">
        <v>173</v>
      </c>
      <c r="F101" s="421"/>
      <c r="G101" s="317">
        <v>2024</v>
      </c>
      <c r="H101" s="323" t="s">
        <v>380</v>
      </c>
      <c r="I101" s="327" t="s">
        <v>249</v>
      </c>
      <c r="J101" s="331">
        <v>16</v>
      </c>
      <c r="K101" s="323" t="s">
        <v>381</v>
      </c>
      <c r="L101" s="323" t="s">
        <v>382</v>
      </c>
      <c r="M101" s="303" t="s">
        <v>383</v>
      </c>
      <c r="N101" s="303">
        <v>8.6</v>
      </c>
      <c r="O101" s="303">
        <v>12.5</v>
      </c>
      <c r="P101" s="303">
        <v>14.3</v>
      </c>
      <c r="Q101" s="303">
        <v>14.3</v>
      </c>
      <c r="R101" s="303">
        <v>14.3</v>
      </c>
      <c r="S101" s="303">
        <v>14.3</v>
      </c>
      <c r="T101" s="303">
        <v>14.3</v>
      </c>
      <c r="U101" s="303">
        <v>14.3</v>
      </c>
      <c r="V101" s="303">
        <v>14.3</v>
      </c>
      <c r="W101" s="303">
        <v>14.3</v>
      </c>
      <c r="X101" s="303">
        <v>12.5</v>
      </c>
      <c r="Y101" s="303">
        <v>12.5</v>
      </c>
      <c r="Z101" s="303">
        <v>12.5</v>
      </c>
      <c r="AA101" s="303">
        <v>12.5</v>
      </c>
      <c r="AB101" s="59">
        <v>0</v>
      </c>
      <c r="AC101" s="59">
        <v>0</v>
      </c>
      <c r="AD101" s="59">
        <v>0</v>
      </c>
      <c r="AE101" s="59">
        <v>0</v>
      </c>
      <c r="AF101" s="59">
        <v>0</v>
      </c>
      <c r="AG101" s="59">
        <v>5.7</v>
      </c>
      <c r="AH101" s="59">
        <v>5.7</v>
      </c>
      <c r="AI101" s="59">
        <v>5.7</v>
      </c>
      <c r="AJ101" s="59">
        <v>5.7</v>
      </c>
      <c r="AK101" s="59">
        <v>3.9</v>
      </c>
      <c r="AL101" s="59">
        <v>3.9</v>
      </c>
      <c r="AM101" s="59">
        <v>3.9</v>
      </c>
      <c r="AN101" s="59">
        <v>3.9</v>
      </c>
      <c r="AO101" s="265"/>
      <c r="AP101" s="254">
        <f t="shared" si="36"/>
        <v>0</v>
      </c>
      <c r="AQ101" s="265"/>
      <c r="AR101" s="254">
        <f t="shared" si="37"/>
        <v>0</v>
      </c>
      <c r="AS101" s="261"/>
      <c r="AT101" s="254">
        <f t="shared" si="38"/>
        <v>0</v>
      </c>
      <c r="AU101" s="256"/>
      <c r="AV101" s="257">
        <f t="shared" si="39"/>
        <v>0</v>
      </c>
      <c r="AW101" s="270">
        <v>9760</v>
      </c>
      <c r="AX101" s="257">
        <f t="shared" si="40"/>
        <v>55632</v>
      </c>
      <c r="AY101" s="270">
        <v>9592</v>
      </c>
      <c r="AZ101" s="257">
        <f t="shared" si="41"/>
        <v>54674.400000000001</v>
      </c>
      <c r="BA101" s="270">
        <v>4993</v>
      </c>
      <c r="BB101" s="257">
        <f t="shared" si="42"/>
        <v>28460.100000000002</v>
      </c>
      <c r="BC101" s="270">
        <v>6954</v>
      </c>
      <c r="BD101" s="257">
        <f t="shared" si="43"/>
        <v>39637.800000000003</v>
      </c>
      <c r="BE101" s="270">
        <v>5999</v>
      </c>
      <c r="BF101" s="257">
        <f t="shared" si="44"/>
        <v>23396.1</v>
      </c>
      <c r="BG101" s="270">
        <v>10237</v>
      </c>
      <c r="BH101" s="257">
        <f t="shared" si="45"/>
        <v>39924.299999999996</v>
      </c>
      <c r="BI101" s="268">
        <v>8228</v>
      </c>
      <c r="BJ101" s="257">
        <f t="shared" si="46"/>
        <v>32089.200000000001</v>
      </c>
      <c r="BK101" s="256">
        <v>6753</v>
      </c>
      <c r="BL101" s="257">
        <f t="shared" si="47"/>
        <v>26336.7</v>
      </c>
    </row>
    <row r="102" spans="1:64" ht="15" customHeight="1">
      <c r="A102" s="250" t="s">
        <v>330</v>
      </c>
      <c r="B102" s="59" t="s">
        <v>221</v>
      </c>
      <c r="C102" s="354" t="s">
        <v>172</v>
      </c>
      <c r="D102" s="476"/>
      <c r="E102" s="359" t="s">
        <v>173</v>
      </c>
      <c r="F102" s="421"/>
      <c r="G102" s="317">
        <v>2024</v>
      </c>
      <c r="H102" s="323" t="s">
        <v>380</v>
      </c>
      <c r="I102" s="327" t="s">
        <v>249</v>
      </c>
      <c r="J102" s="331">
        <v>16</v>
      </c>
      <c r="K102" s="323" t="s">
        <v>384</v>
      </c>
      <c r="L102" s="323" t="s">
        <v>382</v>
      </c>
      <c r="M102" s="303" t="s">
        <v>383</v>
      </c>
      <c r="N102" s="303">
        <v>9</v>
      </c>
      <c r="O102" s="303">
        <v>13.4</v>
      </c>
      <c r="P102" s="303">
        <v>15.2</v>
      </c>
      <c r="Q102" s="303">
        <v>15.2</v>
      </c>
      <c r="R102" s="303">
        <v>15.2</v>
      </c>
      <c r="S102" s="303">
        <v>15.2</v>
      </c>
      <c r="T102" s="303">
        <v>15.2</v>
      </c>
      <c r="U102" s="303">
        <v>15.2</v>
      </c>
      <c r="V102" s="303">
        <v>15.2</v>
      </c>
      <c r="W102" s="303">
        <v>15.2</v>
      </c>
      <c r="X102" s="303">
        <v>13.4</v>
      </c>
      <c r="Y102" s="303">
        <v>13.4</v>
      </c>
      <c r="Z102" s="303">
        <v>13.4</v>
      </c>
      <c r="AA102" s="303">
        <v>13.4</v>
      </c>
      <c r="AB102" s="59">
        <v>0</v>
      </c>
      <c r="AC102" s="59">
        <v>0</v>
      </c>
      <c r="AD102" s="59">
        <v>0</v>
      </c>
      <c r="AE102" s="59">
        <v>0</v>
      </c>
      <c r="AF102" s="59">
        <v>0</v>
      </c>
      <c r="AG102" s="59">
        <v>6.2</v>
      </c>
      <c r="AH102" s="59">
        <v>6.2</v>
      </c>
      <c r="AI102" s="59">
        <v>6.2</v>
      </c>
      <c r="AJ102" s="59">
        <v>6.2</v>
      </c>
      <c r="AK102" s="59">
        <v>4.4000000000000004</v>
      </c>
      <c r="AL102" s="59">
        <v>4.4000000000000004</v>
      </c>
      <c r="AM102" s="59">
        <v>4.4000000000000004</v>
      </c>
      <c r="AN102" s="59">
        <v>4.4000000000000004</v>
      </c>
      <c r="AO102" s="265"/>
      <c r="AP102" s="254">
        <f t="shared" si="36"/>
        <v>0</v>
      </c>
      <c r="AQ102" s="265"/>
      <c r="AR102" s="254">
        <f t="shared" si="37"/>
        <v>0</v>
      </c>
      <c r="AS102" s="261"/>
      <c r="AT102" s="254">
        <f t="shared" si="38"/>
        <v>0</v>
      </c>
      <c r="AU102" s="256"/>
      <c r="AV102" s="257">
        <f t="shared" si="39"/>
        <v>0</v>
      </c>
      <c r="AW102" s="270">
        <v>1200</v>
      </c>
      <c r="AX102" s="257">
        <f t="shared" si="40"/>
        <v>7440</v>
      </c>
      <c r="AY102" s="270">
        <v>2278</v>
      </c>
      <c r="AZ102" s="257">
        <f t="shared" si="41"/>
        <v>14123.6</v>
      </c>
      <c r="BA102" s="268">
        <v>3798</v>
      </c>
      <c r="BB102" s="257">
        <f t="shared" si="42"/>
        <v>23547.600000000002</v>
      </c>
      <c r="BC102" s="268">
        <v>1598</v>
      </c>
      <c r="BD102" s="257">
        <f t="shared" si="43"/>
        <v>9907.6</v>
      </c>
      <c r="BE102" s="268">
        <v>1999</v>
      </c>
      <c r="BF102" s="257">
        <f t="shared" si="44"/>
        <v>8795.6</v>
      </c>
      <c r="BG102" s="268">
        <v>3318</v>
      </c>
      <c r="BH102" s="257">
        <f t="shared" si="45"/>
        <v>14599.2</v>
      </c>
      <c r="BI102" s="268">
        <v>3879</v>
      </c>
      <c r="BJ102" s="257">
        <f t="shared" si="46"/>
        <v>17067.600000000002</v>
      </c>
      <c r="BK102" s="59">
        <v>2032</v>
      </c>
      <c r="BL102" s="257">
        <f t="shared" si="47"/>
        <v>8940.8000000000011</v>
      </c>
    </row>
    <row r="103" spans="1:64" ht="15" customHeight="1">
      <c r="A103" s="250" t="s">
        <v>330</v>
      </c>
      <c r="C103" s="354"/>
      <c r="D103" s="476"/>
      <c r="E103" s="359"/>
      <c r="F103" s="421"/>
      <c r="G103" s="59"/>
      <c r="H103" s="333"/>
      <c r="I103" s="333"/>
      <c r="J103" s="334"/>
      <c r="K103" s="333"/>
      <c r="L103" s="33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303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265"/>
      <c r="AP103" s="254">
        <f t="shared" si="36"/>
        <v>0</v>
      </c>
      <c r="AQ103" s="265"/>
      <c r="AR103" s="254">
        <f t="shared" si="37"/>
        <v>0</v>
      </c>
      <c r="AS103" s="261"/>
      <c r="AT103" s="254">
        <f t="shared" si="38"/>
        <v>0</v>
      </c>
      <c r="AU103" s="256"/>
      <c r="AV103" s="257">
        <f t="shared" si="39"/>
        <v>0</v>
      </c>
      <c r="AW103" s="270"/>
      <c r="AX103" s="257">
        <f t="shared" si="40"/>
        <v>0</v>
      </c>
      <c r="AY103" s="270"/>
      <c r="AZ103" s="257">
        <f t="shared" si="41"/>
        <v>0</v>
      </c>
      <c r="BA103" s="268"/>
      <c r="BB103" s="257">
        <f t="shared" si="42"/>
        <v>0</v>
      </c>
      <c r="BC103" s="268"/>
      <c r="BD103" s="257">
        <f t="shared" si="43"/>
        <v>0</v>
      </c>
      <c r="BE103" s="59"/>
      <c r="BF103" s="257">
        <f t="shared" si="44"/>
        <v>0</v>
      </c>
      <c r="BG103" s="59"/>
      <c r="BH103" s="257">
        <f t="shared" si="45"/>
        <v>0</v>
      </c>
      <c r="BI103" s="268"/>
      <c r="BJ103" s="257">
        <f t="shared" si="46"/>
        <v>0</v>
      </c>
      <c r="BK103" s="59"/>
      <c r="BL103" s="257">
        <f t="shared" si="47"/>
        <v>0</v>
      </c>
    </row>
    <row r="104" spans="1:64" ht="16.5" customHeight="1">
      <c r="A104" s="250" t="s">
        <v>330</v>
      </c>
      <c r="C104" s="354"/>
      <c r="D104" s="476"/>
      <c r="E104" s="359"/>
      <c r="F104" s="421"/>
      <c r="G104" s="59"/>
      <c r="H104" s="333"/>
      <c r="I104" s="333"/>
      <c r="J104" s="334"/>
      <c r="K104" s="333"/>
      <c r="L104" s="33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  <c r="AA104" s="303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255"/>
      <c r="AP104" s="254">
        <f t="shared" si="36"/>
        <v>0</v>
      </c>
      <c r="AQ104" s="264"/>
      <c r="AR104" s="254">
        <f t="shared" si="37"/>
        <v>0</v>
      </c>
      <c r="AS104" s="261"/>
      <c r="AT104" s="254">
        <f t="shared" si="38"/>
        <v>0</v>
      </c>
      <c r="AU104" s="256"/>
      <c r="AV104" s="257">
        <f t="shared" si="39"/>
        <v>0</v>
      </c>
      <c r="AW104" s="270"/>
      <c r="AX104" s="257">
        <f t="shared" si="40"/>
        <v>0</v>
      </c>
      <c r="AY104" s="270"/>
      <c r="AZ104" s="257">
        <f t="shared" si="41"/>
        <v>0</v>
      </c>
      <c r="BA104" s="268"/>
      <c r="BB104" s="257">
        <f t="shared" si="42"/>
        <v>0</v>
      </c>
      <c r="BC104" s="268"/>
      <c r="BD104" s="257">
        <f t="shared" si="43"/>
        <v>0</v>
      </c>
      <c r="BE104" s="59"/>
      <c r="BF104" s="257">
        <f t="shared" si="44"/>
        <v>0</v>
      </c>
      <c r="BG104" s="59"/>
      <c r="BH104" s="257">
        <f t="shared" si="45"/>
        <v>0</v>
      </c>
      <c r="BI104" s="268"/>
      <c r="BJ104" s="257">
        <f t="shared" si="46"/>
        <v>0</v>
      </c>
      <c r="BK104" s="59"/>
      <c r="BL104" s="257">
        <f t="shared" si="47"/>
        <v>0</v>
      </c>
    </row>
    <row r="105" spans="1:64" ht="16.5" customHeight="1">
      <c r="A105" s="250" t="s">
        <v>330</v>
      </c>
      <c r="C105" s="354"/>
      <c r="D105" s="476"/>
      <c r="E105" s="359"/>
      <c r="F105" s="421"/>
      <c r="G105" s="59"/>
      <c r="H105" s="333"/>
      <c r="I105" s="333"/>
      <c r="J105" s="334"/>
      <c r="K105" s="333"/>
      <c r="L105" s="33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255"/>
      <c r="AP105" s="254">
        <f t="shared" si="36"/>
        <v>0</v>
      </c>
      <c r="AQ105" s="264"/>
      <c r="AR105" s="254">
        <f t="shared" si="37"/>
        <v>0</v>
      </c>
      <c r="AS105" s="261"/>
      <c r="AT105" s="254">
        <f t="shared" si="38"/>
        <v>0</v>
      </c>
      <c r="AU105" s="256"/>
      <c r="AV105" s="257">
        <f t="shared" si="39"/>
        <v>0</v>
      </c>
      <c r="AW105" s="270"/>
      <c r="AX105" s="257">
        <f t="shared" si="40"/>
        <v>0</v>
      </c>
      <c r="AY105" s="270"/>
      <c r="AZ105" s="257">
        <f t="shared" si="41"/>
        <v>0</v>
      </c>
      <c r="BA105" s="268"/>
      <c r="BB105" s="257">
        <f t="shared" si="42"/>
        <v>0</v>
      </c>
      <c r="BC105" s="268"/>
      <c r="BD105" s="257">
        <f t="shared" si="43"/>
        <v>0</v>
      </c>
      <c r="BE105" s="59"/>
      <c r="BF105" s="257">
        <f t="shared" si="44"/>
        <v>0</v>
      </c>
      <c r="BG105" s="59"/>
      <c r="BH105" s="257">
        <f t="shared" si="45"/>
        <v>0</v>
      </c>
      <c r="BI105" s="268"/>
      <c r="BJ105" s="257">
        <f t="shared" si="46"/>
        <v>0</v>
      </c>
      <c r="BK105" s="59"/>
      <c r="BL105" s="257">
        <f t="shared" si="47"/>
        <v>0</v>
      </c>
    </row>
    <row r="106" spans="1:64" ht="15" customHeight="1">
      <c r="A106" s="250" t="s">
        <v>330</v>
      </c>
      <c r="B106" s="59" t="s">
        <v>221</v>
      </c>
      <c r="C106" s="354" t="s">
        <v>172</v>
      </c>
      <c r="D106" s="476"/>
      <c r="E106" s="359"/>
      <c r="F106" s="421" t="s">
        <v>77</v>
      </c>
      <c r="G106" s="317">
        <v>2023</v>
      </c>
      <c r="H106" s="298" t="s">
        <v>385</v>
      </c>
      <c r="I106" s="330" t="s">
        <v>359</v>
      </c>
      <c r="J106" s="337">
        <v>14</v>
      </c>
      <c r="K106" s="59" t="s">
        <v>266</v>
      </c>
      <c r="L106" s="298" t="s">
        <v>336</v>
      </c>
      <c r="M106" s="303" t="s">
        <v>386</v>
      </c>
      <c r="N106" s="303">
        <v>10.199999999999999</v>
      </c>
      <c r="O106" s="303">
        <v>17.2</v>
      </c>
      <c r="P106" s="303">
        <v>17.2</v>
      </c>
      <c r="Q106" s="303">
        <v>17.2</v>
      </c>
      <c r="R106" s="303">
        <v>17.2</v>
      </c>
      <c r="S106" s="303">
        <v>17.2</v>
      </c>
      <c r="T106" s="303">
        <v>17.2</v>
      </c>
      <c r="U106" s="303">
        <v>17.2</v>
      </c>
      <c r="V106" s="303">
        <v>17.2</v>
      </c>
      <c r="W106" s="303">
        <v>17.2</v>
      </c>
      <c r="X106" s="303">
        <v>17.2</v>
      </c>
      <c r="Y106" s="303">
        <v>17.2</v>
      </c>
      <c r="Z106" s="303">
        <v>17.2</v>
      </c>
      <c r="AA106" s="303">
        <v>17.2</v>
      </c>
      <c r="AB106" s="59">
        <v>0</v>
      </c>
      <c r="AC106" s="59">
        <v>0</v>
      </c>
      <c r="AD106" s="59">
        <v>2.6</v>
      </c>
      <c r="AE106" s="59">
        <v>2.6</v>
      </c>
      <c r="AF106" s="59">
        <v>7</v>
      </c>
      <c r="AG106" s="59">
        <v>7</v>
      </c>
      <c r="AH106" s="59">
        <v>7</v>
      </c>
      <c r="AI106" s="59">
        <v>7</v>
      </c>
      <c r="AJ106" s="59">
        <v>7</v>
      </c>
      <c r="AK106" s="59">
        <v>7</v>
      </c>
      <c r="AL106" s="59">
        <v>7</v>
      </c>
      <c r="AM106" s="59">
        <v>7</v>
      </c>
      <c r="AN106" s="59">
        <v>7</v>
      </c>
      <c r="AO106" s="255"/>
      <c r="AP106" s="254">
        <f t="shared" si="36"/>
        <v>0</v>
      </c>
      <c r="AQ106" s="255"/>
      <c r="AR106" s="254">
        <f t="shared" si="37"/>
        <v>0</v>
      </c>
      <c r="AS106" s="255"/>
      <c r="AT106" s="254">
        <f t="shared" si="38"/>
        <v>0</v>
      </c>
      <c r="AU106" s="256"/>
      <c r="AV106" s="257">
        <f t="shared" si="39"/>
        <v>0</v>
      </c>
      <c r="AW106" s="270">
        <v>80</v>
      </c>
      <c r="AX106" s="257">
        <f t="shared" si="40"/>
        <v>560</v>
      </c>
      <c r="AY106" s="270"/>
      <c r="AZ106" s="257">
        <f t="shared" si="41"/>
        <v>0</v>
      </c>
      <c r="BA106" s="268">
        <v>120</v>
      </c>
      <c r="BB106" s="257">
        <f t="shared" si="42"/>
        <v>840</v>
      </c>
      <c r="BC106" s="268"/>
      <c r="BD106" s="257">
        <f t="shared" si="43"/>
        <v>0</v>
      </c>
      <c r="BE106" s="256">
        <v>320</v>
      </c>
      <c r="BF106" s="257">
        <f t="shared" si="44"/>
        <v>2240</v>
      </c>
      <c r="BG106" s="256">
        <v>240</v>
      </c>
      <c r="BH106" s="257">
        <f t="shared" si="45"/>
        <v>1680</v>
      </c>
      <c r="BI106" s="268">
        <v>200</v>
      </c>
      <c r="BJ106" s="257">
        <f t="shared" si="46"/>
        <v>1400</v>
      </c>
      <c r="BK106" s="59">
        <v>200</v>
      </c>
      <c r="BL106" s="257">
        <f t="shared" si="47"/>
        <v>1400</v>
      </c>
    </row>
    <row r="107" spans="1:64" ht="15.75" customHeight="1">
      <c r="A107" s="250" t="s">
        <v>330</v>
      </c>
      <c r="B107" s="59" t="s">
        <v>221</v>
      </c>
      <c r="C107" s="354" t="s">
        <v>172</v>
      </c>
      <c r="D107" s="476"/>
      <c r="E107" s="359"/>
      <c r="F107" s="421"/>
      <c r="G107" s="317">
        <v>2023</v>
      </c>
      <c r="H107" s="298" t="s">
        <v>385</v>
      </c>
      <c r="I107" s="330" t="s">
        <v>359</v>
      </c>
      <c r="J107" s="337">
        <v>14</v>
      </c>
      <c r="K107" s="59" t="s">
        <v>387</v>
      </c>
      <c r="L107" s="59" t="s">
        <v>336</v>
      </c>
      <c r="M107" s="303" t="s">
        <v>386</v>
      </c>
      <c r="N107" s="303">
        <v>9.5</v>
      </c>
      <c r="O107" s="303">
        <v>16.2</v>
      </c>
      <c r="P107" s="303">
        <v>16.2</v>
      </c>
      <c r="Q107" s="303">
        <v>16.2</v>
      </c>
      <c r="R107" s="303">
        <v>16.2</v>
      </c>
      <c r="S107" s="303">
        <v>16.2</v>
      </c>
      <c r="T107" s="303">
        <v>16.2</v>
      </c>
      <c r="U107" s="303">
        <v>16.2</v>
      </c>
      <c r="V107" s="303">
        <v>16.2</v>
      </c>
      <c r="W107" s="303">
        <v>16.2</v>
      </c>
      <c r="X107" s="303">
        <v>16.2</v>
      </c>
      <c r="Y107" s="303">
        <v>16.2</v>
      </c>
      <c r="Z107" s="303">
        <v>16.2</v>
      </c>
      <c r="AA107" s="303">
        <v>16.2</v>
      </c>
      <c r="AB107" s="59">
        <v>0</v>
      </c>
      <c r="AC107" s="59">
        <v>0</v>
      </c>
      <c r="AD107" s="59">
        <v>2.6</v>
      </c>
      <c r="AE107" s="59">
        <v>2.6</v>
      </c>
      <c r="AF107" s="59">
        <v>6.7</v>
      </c>
      <c r="AG107" s="59">
        <v>6.7</v>
      </c>
      <c r="AH107" s="59">
        <v>6.7</v>
      </c>
      <c r="AI107" s="59">
        <v>6.7</v>
      </c>
      <c r="AJ107" s="59">
        <v>6.7</v>
      </c>
      <c r="AK107" s="59">
        <v>6.7</v>
      </c>
      <c r="AL107" s="59">
        <v>6.7</v>
      </c>
      <c r="AM107" s="59">
        <v>6.7</v>
      </c>
      <c r="AN107" s="59">
        <v>6.7</v>
      </c>
      <c r="AO107" s="255"/>
      <c r="AP107" s="254">
        <f t="shared" si="36"/>
        <v>0</v>
      </c>
      <c r="AQ107" s="255"/>
      <c r="AR107" s="254">
        <f t="shared" si="37"/>
        <v>0</v>
      </c>
      <c r="AS107" s="261">
        <v>5034</v>
      </c>
      <c r="AT107" s="254">
        <f t="shared" si="38"/>
        <v>13088.4</v>
      </c>
      <c r="AU107" s="256">
        <v>5000</v>
      </c>
      <c r="AV107" s="257">
        <f t="shared" si="39"/>
        <v>33500</v>
      </c>
      <c r="AW107" s="270">
        <v>6240</v>
      </c>
      <c r="AX107" s="257">
        <f t="shared" si="40"/>
        <v>41808</v>
      </c>
      <c r="AY107" s="270">
        <v>9951</v>
      </c>
      <c r="AZ107" s="257">
        <f t="shared" si="41"/>
        <v>66671.7</v>
      </c>
      <c r="BA107" s="268">
        <v>5440</v>
      </c>
      <c r="BB107" s="257">
        <f t="shared" si="42"/>
        <v>36448</v>
      </c>
      <c r="BC107" s="268">
        <v>6200</v>
      </c>
      <c r="BD107" s="257">
        <f t="shared" si="43"/>
        <v>41540</v>
      </c>
      <c r="BE107" s="256">
        <v>7160</v>
      </c>
      <c r="BF107" s="257">
        <f t="shared" si="44"/>
        <v>47972</v>
      </c>
      <c r="BG107" s="256">
        <v>4920</v>
      </c>
      <c r="BH107" s="257">
        <f t="shared" si="45"/>
        <v>32964</v>
      </c>
      <c r="BI107" s="268">
        <v>4160</v>
      </c>
      <c r="BJ107" s="257">
        <f t="shared" si="46"/>
        <v>27872</v>
      </c>
      <c r="BK107" s="59">
        <v>4200</v>
      </c>
      <c r="BL107" s="257">
        <f t="shared" si="47"/>
        <v>28140</v>
      </c>
    </row>
    <row r="108" spans="1:64" ht="15.75" customHeight="1">
      <c r="A108" s="250" t="s">
        <v>330</v>
      </c>
      <c r="C108" s="354"/>
      <c r="D108" s="476"/>
      <c r="E108" s="359"/>
      <c r="F108" s="421"/>
      <c r="G108" s="317"/>
      <c r="H108" s="298"/>
      <c r="I108" s="330"/>
      <c r="J108" s="337"/>
      <c r="K108" s="338"/>
      <c r="L108" s="338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3"/>
      <c r="Y108" s="303"/>
      <c r="Z108" s="303"/>
      <c r="AA108" s="303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255"/>
      <c r="AP108" s="254">
        <f t="shared" si="36"/>
        <v>0</v>
      </c>
      <c r="AQ108" s="255"/>
      <c r="AR108" s="254">
        <f t="shared" si="37"/>
        <v>0</v>
      </c>
      <c r="AS108" s="261"/>
      <c r="AT108" s="254">
        <f t="shared" si="38"/>
        <v>0</v>
      </c>
      <c r="AU108" s="256"/>
      <c r="AV108" s="257">
        <f t="shared" si="39"/>
        <v>0</v>
      </c>
      <c r="AW108" s="270"/>
      <c r="AX108" s="257">
        <f t="shared" si="40"/>
        <v>0</v>
      </c>
      <c r="AY108" s="270"/>
      <c r="AZ108" s="257">
        <f t="shared" si="41"/>
        <v>0</v>
      </c>
      <c r="BA108" s="268"/>
      <c r="BB108" s="257">
        <f t="shared" si="42"/>
        <v>0</v>
      </c>
      <c r="BC108" s="268"/>
      <c r="BD108" s="257">
        <f t="shared" si="43"/>
        <v>0</v>
      </c>
      <c r="BE108" s="59"/>
      <c r="BF108" s="257">
        <f t="shared" si="44"/>
        <v>0</v>
      </c>
      <c r="BG108" s="59"/>
      <c r="BH108" s="257">
        <f t="shared" si="45"/>
        <v>0</v>
      </c>
      <c r="BI108" s="268"/>
      <c r="BJ108" s="257">
        <f t="shared" si="46"/>
        <v>0</v>
      </c>
      <c r="BK108" s="59"/>
      <c r="BL108" s="257">
        <f t="shared" si="47"/>
        <v>0</v>
      </c>
    </row>
    <row r="109" spans="1:64" ht="21" customHeight="1">
      <c r="A109" s="250" t="s">
        <v>330</v>
      </c>
      <c r="B109" s="59" t="s">
        <v>221</v>
      </c>
      <c r="C109" s="354" t="s">
        <v>172</v>
      </c>
      <c r="D109" s="476"/>
      <c r="E109" s="359"/>
      <c r="F109" s="417" t="s">
        <v>267</v>
      </c>
      <c r="G109" s="317">
        <v>2022</v>
      </c>
      <c r="H109" s="335" t="s">
        <v>388</v>
      </c>
      <c r="I109" s="332" t="s">
        <v>249</v>
      </c>
      <c r="J109" s="337">
        <v>15</v>
      </c>
      <c r="K109" s="335" t="s">
        <v>375</v>
      </c>
      <c r="L109" s="298" t="s">
        <v>389</v>
      </c>
      <c r="M109" s="303" t="s">
        <v>390</v>
      </c>
      <c r="N109" s="303">
        <v>9.25</v>
      </c>
      <c r="O109" s="303">
        <v>12.6</v>
      </c>
      <c r="P109" s="303">
        <v>14.4</v>
      </c>
      <c r="Q109" s="303">
        <v>14.4</v>
      </c>
      <c r="R109" s="303">
        <v>14.4</v>
      </c>
      <c r="S109" s="303">
        <v>14.4</v>
      </c>
      <c r="T109" s="303">
        <v>14.4</v>
      </c>
      <c r="U109" s="303">
        <v>14.4</v>
      </c>
      <c r="V109" s="303">
        <v>12.6</v>
      </c>
      <c r="W109" s="303">
        <v>12.6</v>
      </c>
      <c r="X109" s="303">
        <v>12.6</v>
      </c>
      <c r="Y109" s="303">
        <v>12.6</v>
      </c>
      <c r="Z109" s="303">
        <v>12.6</v>
      </c>
      <c r="AA109" s="303">
        <v>12.6</v>
      </c>
      <c r="AB109" s="304">
        <v>3.35</v>
      </c>
      <c r="AC109" s="304">
        <v>4</v>
      </c>
      <c r="AD109" s="304">
        <v>5.15</v>
      </c>
      <c r="AE109" s="304">
        <v>5.15</v>
      </c>
      <c r="AF109" s="304">
        <v>5.15</v>
      </c>
      <c r="AG109" s="304">
        <v>5.15</v>
      </c>
      <c r="AH109" s="304">
        <v>5.15</v>
      </c>
      <c r="AI109" s="304">
        <v>3.35</v>
      </c>
      <c r="AJ109" s="304">
        <v>3.35</v>
      </c>
      <c r="AK109" s="304">
        <v>3.35</v>
      </c>
      <c r="AL109" s="304">
        <v>3.35</v>
      </c>
      <c r="AM109" s="304">
        <v>3.35</v>
      </c>
      <c r="AN109" s="304">
        <v>3.35</v>
      </c>
      <c r="AO109" s="255"/>
      <c r="AP109" s="254">
        <f t="shared" si="36"/>
        <v>0</v>
      </c>
      <c r="AQ109" s="255"/>
      <c r="AR109" s="254">
        <f t="shared" si="37"/>
        <v>0</v>
      </c>
      <c r="AS109" s="255"/>
      <c r="AT109" s="254">
        <f t="shared" si="38"/>
        <v>0</v>
      </c>
      <c r="AU109" s="256"/>
      <c r="AV109" s="257">
        <f t="shared" si="39"/>
        <v>0</v>
      </c>
      <c r="AW109" s="255"/>
      <c r="AX109" s="257">
        <f t="shared" si="40"/>
        <v>0</v>
      </c>
      <c r="AY109" s="255"/>
      <c r="AZ109" s="257">
        <f t="shared" si="41"/>
        <v>0</v>
      </c>
      <c r="BA109" s="255"/>
      <c r="BB109" s="257">
        <f t="shared" si="42"/>
        <v>0</v>
      </c>
      <c r="BC109" s="255"/>
      <c r="BD109" s="257">
        <f t="shared" si="43"/>
        <v>0</v>
      </c>
      <c r="BE109" s="255"/>
      <c r="BF109" s="257">
        <f t="shared" si="44"/>
        <v>0</v>
      </c>
      <c r="BG109" s="59"/>
      <c r="BH109" s="257">
        <f t="shared" si="45"/>
        <v>0</v>
      </c>
      <c r="BI109" s="268"/>
      <c r="BJ109" s="257">
        <f t="shared" si="46"/>
        <v>0</v>
      </c>
      <c r="BK109" s="59"/>
      <c r="BL109" s="257">
        <f t="shared" si="47"/>
        <v>0</v>
      </c>
    </row>
    <row r="110" spans="1:64" ht="15.75" customHeight="1">
      <c r="A110" s="250" t="s">
        <v>330</v>
      </c>
      <c r="B110" s="59" t="s">
        <v>221</v>
      </c>
      <c r="C110" s="354" t="s">
        <v>172</v>
      </c>
      <c r="D110" s="476"/>
      <c r="E110" s="359"/>
      <c r="F110" s="417"/>
      <c r="G110" s="317">
        <v>2023</v>
      </c>
      <c r="H110" s="335" t="s">
        <v>391</v>
      </c>
      <c r="I110" s="332" t="s">
        <v>249</v>
      </c>
      <c r="J110" s="337">
        <v>15</v>
      </c>
      <c r="K110" s="335" t="s">
        <v>378</v>
      </c>
      <c r="L110" s="323" t="s">
        <v>389</v>
      </c>
      <c r="M110" s="303" t="s">
        <v>390</v>
      </c>
      <c r="N110" s="303">
        <v>9.65</v>
      </c>
      <c r="O110" s="303">
        <v>13.3</v>
      </c>
      <c r="P110" s="303">
        <v>15.1</v>
      </c>
      <c r="Q110" s="303">
        <v>15.1</v>
      </c>
      <c r="R110" s="303">
        <v>15.1</v>
      </c>
      <c r="S110" s="303">
        <v>15.1</v>
      </c>
      <c r="T110" s="303">
        <v>15.1</v>
      </c>
      <c r="U110" s="303">
        <v>15.1</v>
      </c>
      <c r="V110" s="303">
        <v>13.3</v>
      </c>
      <c r="W110" s="303">
        <v>13.3</v>
      </c>
      <c r="X110" s="303">
        <v>13.3</v>
      </c>
      <c r="Y110" s="303">
        <v>13.3</v>
      </c>
      <c r="Z110" s="303">
        <v>13.3</v>
      </c>
      <c r="AA110" s="303">
        <v>13.3</v>
      </c>
      <c r="AB110" s="304">
        <v>1.5</v>
      </c>
      <c r="AC110" s="304">
        <v>1.5</v>
      </c>
      <c r="AD110" s="304">
        <v>3</v>
      </c>
      <c r="AE110" s="304">
        <v>3</v>
      </c>
      <c r="AF110" s="304">
        <v>3</v>
      </c>
      <c r="AG110" s="304">
        <v>3</v>
      </c>
      <c r="AH110" s="304">
        <v>3</v>
      </c>
      <c r="AI110" s="304">
        <v>2</v>
      </c>
      <c r="AJ110" s="304">
        <v>2</v>
      </c>
      <c r="AK110" s="304">
        <v>2</v>
      </c>
      <c r="AL110" s="304">
        <v>2</v>
      </c>
      <c r="AM110" s="304">
        <v>2</v>
      </c>
      <c r="AN110" s="304">
        <v>2</v>
      </c>
      <c r="AO110" s="263">
        <v>14080</v>
      </c>
      <c r="AP110" s="254">
        <f t="shared" si="36"/>
        <v>21120</v>
      </c>
      <c r="AQ110" s="263">
        <v>6600</v>
      </c>
      <c r="AR110" s="254">
        <f t="shared" si="37"/>
        <v>19800</v>
      </c>
      <c r="AS110" s="265">
        <v>1423</v>
      </c>
      <c r="AT110" s="254">
        <f t="shared" si="38"/>
        <v>4269</v>
      </c>
      <c r="AU110" s="256">
        <v>3000</v>
      </c>
      <c r="AV110" s="257">
        <f t="shared" si="39"/>
        <v>9000</v>
      </c>
      <c r="AW110" s="263">
        <v>1111</v>
      </c>
      <c r="AX110" s="257">
        <f t="shared" si="40"/>
        <v>3333</v>
      </c>
      <c r="AY110" s="265">
        <v>1440</v>
      </c>
      <c r="AZ110" s="257">
        <f t="shared" si="41"/>
        <v>4320</v>
      </c>
      <c r="BA110" s="263">
        <v>920</v>
      </c>
      <c r="BB110" s="257">
        <f t="shared" si="42"/>
        <v>1840</v>
      </c>
      <c r="BC110" s="263">
        <v>359</v>
      </c>
      <c r="BD110" s="257">
        <f t="shared" si="43"/>
        <v>718</v>
      </c>
      <c r="BE110" s="265">
        <v>1557</v>
      </c>
      <c r="BF110" s="257">
        <f t="shared" si="44"/>
        <v>3114</v>
      </c>
      <c r="BG110" s="256">
        <v>598</v>
      </c>
      <c r="BH110" s="257">
        <f t="shared" si="45"/>
        <v>1196</v>
      </c>
      <c r="BI110" s="268">
        <v>120</v>
      </c>
      <c r="BJ110" s="257">
        <f t="shared" si="46"/>
        <v>240</v>
      </c>
      <c r="BK110" s="256">
        <v>120</v>
      </c>
      <c r="BL110" s="257">
        <f t="shared" si="47"/>
        <v>240</v>
      </c>
    </row>
    <row r="111" spans="1:64" ht="15.75" customHeight="1">
      <c r="A111" s="250" t="s">
        <v>330</v>
      </c>
      <c r="B111" s="59" t="s">
        <v>221</v>
      </c>
      <c r="C111" s="354" t="s">
        <v>172</v>
      </c>
      <c r="D111" s="476"/>
      <c r="E111" s="359"/>
      <c r="F111" s="417"/>
      <c r="G111" s="317">
        <v>2023</v>
      </c>
      <c r="H111" s="335" t="s">
        <v>391</v>
      </c>
      <c r="I111" s="332" t="s">
        <v>249</v>
      </c>
      <c r="J111" s="337">
        <v>15</v>
      </c>
      <c r="K111" s="335" t="s">
        <v>392</v>
      </c>
      <c r="L111" s="323" t="s">
        <v>389</v>
      </c>
      <c r="M111" s="303" t="s">
        <v>390</v>
      </c>
      <c r="N111" s="303">
        <v>9.65</v>
      </c>
      <c r="O111" s="303">
        <v>13.3</v>
      </c>
      <c r="P111" s="303">
        <v>15.1</v>
      </c>
      <c r="Q111" s="303">
        <v>15.1</v>
      </c>
      <c r="R111" s="303">
        <v>15.1</v>
      </c>
      <c r="S111" s="303">
        <v>15.1</v>
      </c>
      <c r="T111" s="303">
        <v>15.1</v>
      </c>
      <c r="U111" s="303">
        <v>15.1</v>
      </c>
      <c r="V111" s="303">
        <v>13.3</v>
      </c>
      <c r="W111" s="303">
        <v>13.3</v>
      </c>
      <c r="X111" s="303">
        <v>13.3</v>
      </c>
      <c r="Y111" s="303">
        <v>13.3</v>
      </c>
      <c r="Z111" s="303">
        <v>13.3</v>
      </c>
      <c r="AA111" s="303">
        <v>13.3</v>
      </c>
      <c r="AB111" s="304">
        <v>1.5</v>
      </c>
      <c r="AC111" s="304">
        <v>1.5</v>
      </c>
      <c r="AD111" s="304">
        <v>3</v>
      </c>
      <c r="AE111" s="304">
        <v>3</v>
      </c>
      <c r="AF111" s="304">
        <v>3</v>
      </c>
      <c r="AG111" s="304">
        <v>3</v>
      </c>
      <c r="AH111" s="304">
        <v>3</v>
      </c>
      <c r="AI111" s="304">
        <v>2</v>
      </c>
      <c r="AJ111" s="304">
        <v>2</v>
      </c>
      <c r="AK111" s="304">
        <v>2</v>
      </c>
      <c r="AL111" s="304">
        <v>2</v>
      </c>
      <c r="AM111" s="304">
        <v>2</v>
      </c>
      <c r="AN111" s="304">
        <v>2</v>
      </c>
      <c r="AO111" s="263">
        <v>7000</v>
      </c>
      <c r="AP111" s="254">
        <f t="shared" si="36"/>
        <v>10500</v>
      </c>
      <c r="AQ111" s="263">
        <v>10160</v>
      </c>
      <c r="AR111" s="254">
        <f t="shared" si="37"/>
        <v>30480</v>
      </c>
      <c r="AS111" s="265">
        <v>3262</v>
      </c>
      <c r="AT111" s="254">
        <f t="shared" si="38"/>
        <v>9786</v>
      </c>
      <c r="AU111" s="256">
        <v>6240</v>
      </c>
      <c r="AV111" s="257">
        <f t="shared" si="39"/>
        <v>18720</v>
      </c>
      <c r="AW111" s="263">
        <v>12052</v>
      </c>
      <c r="AX111" s="257">
        <f t="shared" si="40"/>
        <v>36156</v>
      </c>
      <c r="AY111" s="265">
        <v>9774</v>
      </c>
      <c r="AZ111" s="257">
        <f t="shared" si="41"/>
        <v>29322</v>
      </c>
      <c r="BA111" s="263">
        <v>3042</v>
      </c>
      <c r="BB111" s="257">
        <f t="shared" si="42"/>
        <v>6084</v>
      </c>
      <c r="BC111" s="263">
        <v>3865</v>
      </c>
      <c r="BD111" s="257">
        <f t="shared" si="43"/>
        <v>7730</v>
      </c>
      <c r="BE111" s="265">
        <v>3072</v>
      </c>
      <c r="BF111" s="257">
        <f t="shared" si="44"/>
        <v>6144</v>
      </c>
      <c r="BG111" s="256">
        <v>4435</v>
      </c>
      <c r="BH111" s="257">
        <f t="shared" si="45"/>
        <v>8870</v>
      </c>
      <c r="BI111" s="268">
        <v>5552</v>
      </c>
      <c r="BJ111" s="257">
        <f t="shared" si="46"/>
        <v>11104</v>
      </c>
      <c r="BK111" s="256">
        <v>6474</v>
      </c>
      <c r="BL111" s="257">
        <f t="shared" si="47"/>
        <v>12948</v>
      </c>
    </row>
    <row r="112" spans="1:64" ht="15.75" customHeight="1">
      <c r="A112" s="250" t="s">
        <v>330</v>
      </c>
      <c r="B112" s="59" t="s">
        <v>221</v>
      </c>
      <c r="C112" s="354" t="s">
        <v>172</v>
      </c>
      <c r="D112" s="476"/>
      <c r="E112" s="359" t="s">
        <v>173</v>
      </c>
      <c r="F112" s="417"/>
      <c r="G112" s="317">
        <v>2023</v>
      </c>
      <c r="H112" s="335" t="s">
        <v>393</v>
      </c>
      <c r="I112" s="332" t="s">
        <v>249</v>
      </c>
      <c r="J112" s="337">
        <v>14</v>
      </c>
      <c r="K112" s="335" t="s">
        <v>378</v>
      </c>
      <c r="L112" s="323" t="s">
        <v>344</v>
      </c>
      <c r="M112" s="303" t="s">
        <v>355</v>
      </c>
      <c r="N112" s="303">
        <v>9.65</v>
      </c>
      <c r="O112" s="303">
        <v>13.3</v>
      </c>
      <c r="P112" s="303">
        <v>15.1</v>
      </c>
      <c r="Q112" s="303">
        <v>15.1</v>
      </c>
      <c r="R112" s="303">
        <v>15.1</v>
      </c>
      <c r="S112" s="303">
        <v>15.1</v>
      </c>
      <c r="T112" s="303">
        <v>15.1</v>
      </c>
      <c r="U112" s="303">
        <v>15.1</v>
      </c>
      <c r="V112" s="303">
        <v>13.3</v>
      </c>
      <c r="W112" s="303">
        <v>13.3</v>
      </c>
      <c r="X112" s="303">
        <v>13.3</v>
      </c>
      <c r="Y112" s="303">
        <v>13.3</v>
      </c>
      <c r="Z112" s="303">
        <v>13.3</v>
      </c>
      <c r="AA112" s="303">
        <v>13.3</v>
      </c>
      <c r="AB112" s="304">
        <v>1.5</v>
      </c>
      <c r="AC112" s="304">
        <v>1.5</v>
      </c>
      <c r="AD112" s="304">
        <v>3</v>
      </c>
      <c r="AE112" s="304">
        <v>3</v>
      </c>
      <c r="AF112" s="304">
        <v>3</v>
      </c>
      <c r="AG112" s="304">
        <v>3</v>
      </c>
      <c r="AH112" s="304">
        <v>3</v>
      </c>
      <c r="AI112" s="304">
        <v>2.7</v>
      </c>
      <c r="AJ112" s="304">
        <v>2.7</v>
      </c>
      <c r="AK112" s="304">
        <v>2.7</v>
      </c>
      <c r="AL112" s="304">
        <v>2.7</v>
      </c>
      <c r="AM112" s="304">
        <v>2.7</v>
      </c>
      <c r="AN112" s="304">
        <v>2.7</v>
      </c>
      <c r="AO112" s="263">
        <v>12040</v>
      </c>
      <c r="AP112" s="254">
        <f t="shared" si="36"/>
        <v>18060</v>
      </c>
      <c r="AQ112" s="263">
        <v>14200</v>
      </c>
      <c r="AR112" s="254">
        <f t="shared" si="37"/>
        <v>42600</v>
      </c>
      <c r="AS112" s="265">
        <v>15080</v>
      </c>
      <c r="AT112" s="254">
        <f t="shared" si="38"/>
        <v>45240</v>
      </c>
      <c r="AU112" s="256">
        <v>14800</v>
      </c>
      <c r="AV112" s="257">
        <f t="shared" si="39"/>
        <v>44400</v>
      </c>
      <c r="AW112" s="263">
        <v>24360</v>
      </c>
      <c r="AX112" s="257">
        <f t="shared" si="40"/>
        <v>73080</v>
      </c>
      <c r="AY112" s="265">
        <v>6440</v>
      </c>
      <c r="AZ112" s="257">
        <f t="shared" si="41"/>
        <v>19320</v>
      </c>
      <c r="BA112" s="263">
        <v>8040</v>
      </c>
      <c r="BB112" s="257">
        <f t="shared" si="42"/>
        <v>21708</v>
      </c>
      <c r="BC112" s="263">
        <v>6640</v>
      </c>
      <c r="BD112" s="257">
        <f t="shared" si="43"/>
        <v>17928</v>
      </c>
      <c r="BE112" s="265">
        <v>4040</v>
      </c>
      <c r="BF112" s="257">
        <f t="shared" si="44"/>
        <v>10908</v>
      </c>
      <c r="BG112" s="256">
        <v>3760</v>
      </c>
      <c r="BH112" s="257">
        <f t="shared" si="45"/>
        <v>10152</v>
      </c>
      <c r="BI112" s="268">
        <v>20360</v>
      </c>
      <c r="BJ112" s="257">
        <f t="shared" si="46"/>
        <v>54972</v>
      </c>
      <c r="BK112" s="256">
        <v>4000</v>
      </c>
      <c r="BL112" s="257">
        <f t="shared" si="47"/>
        <v>10800</v>
      </c>
    </row>
    <row r="113" spans="1:64" ht="15.75" customHeight="1">
      <c r="A113" s="250" t="s">
        <v>330</v>
      </c>
      <c r="C113" s="354"/>
      <c r="D113" s="476"/>
      <c r="E113" s="359"/>
      <c r="F113" s="417"/>
      <c r="G113" s="317"/>
      <c r="H113" s="323"/>
      <c r="I113" s="332"/>
      <c r="J113" s="337"/>
      <c r="K113" s="323"/>
      <c r="L113" s="32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263"/>
      <c r="AP113" s="254">
        <f t="shared" si="36"/>
        <v>0</v>
      </c>
      <c r="AQ113" s="263"/>
      <c r="AR113" s="254">
        <f t="shared" si="37"/>
        <v>0</v>
      </c>
      <c r="AS113" s="263"/>
      <c r="AT113" s="254">
        <f t="shared" si="38"/>
        <v>0</v>
      </c>
      <c r="AU113" s="263"/>
      <c r="AV113" s="257">
        <f t="shared" si="39"/>
        <v>0</v>
      </c>
      <c r="AW113" s="263"/>
      <c r="AX113" s="257">
        <f t="shared" si="40"/>
        <v>0</v>
      </c>
      <c r="AY113" s="270"/>
      <c r="AZ113" s="257">
        <f t="shared" si="41"/>
        <v>0</v>
      </c>
      <c r="BA113" s="270"/>
      <c r="BB113" s="257">
        <f t="shared" si="42"/>
        <v>0</v>
      </c>
      <c r="BC113" s="270"/>
      <c r="BD113" s="257">
        <f t="shared" si="43"/>
        <v>0</v>
      </c>
      <c r="BE113" s="270"/>
      <c r="BF113" s="257">
        <f t="shared" si="44"/>
        <v>0</v>
      </c>
      <c r="BG113" s="270"/>
      <c r="BH113" s="257">
        <f t="shared" si="45"/>
        <v>0</v>
      </c>
      <c r="BI113" s="270"/>
      <c r="BJ113" s="257">
        <f t="shared" si="46"/>
        <v>0</v>
      </c>
      <c r="BK113" s="270"/>
      <c r="BL113" s="257">
        <f t="shared" si="47"/>
        <v>0</v>
      </c>
    </row>
    <row r="114" spans="1:64" ht="15.75" customHeight="1">
      <c r="A114" s="250" t="s">
        <v>330</v>
      </c>
      <c r="C114" s="354"/>
      <c r="D114" s="476"/>
      <c r="E114" s="359"/>
      <c r="F114" s="417"/>
      <c r="G114" s="317"/>
      <c r="H114" s="323"/>
      <c r="I114" s="332"/>
      <c r="J114" s="337"/>
      <c r="K114" s="323"/>
      <c r="L114" s="32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3"/>
      <c r="Y114" s="303"/>
      <c r="Z114" s="303"/>
      <c r="AA114" s="303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263"/>
      <c r="AP114" s="254">
        <f t="shared" si="36"/>
        <v>0</v>
      </c>
      <c r="AQ114" s="263"/>
      <c r="AR114" s="254">
        <f t="shared" si="37"/>
        <v>0</v>
      </c>
      <c r="AS114" s="263"/>
      <c r="AT114" s="254">
        <f t="shared" si="38"/>
        <v>0</v>
      </c>
      <c r="AU114" s="263"/>
      <c r="AV114" s="257">
        <f t="shared" si="39"/>
        <v>0</v>
      </c>
      <c r="AW114" s="263"/>
      <c r="AX114" s="257">
        <f t="shared" si="40"/>
        <v>0</v>
      </c>
      <c r="AY114" s="270"/>
      <c r="AZ114" s="257">
        <f t="shared" si="41"/>
        <v>0</v>
      </c>
      <c r="BA114" s="270"/>
      <c r="BB114" s="257">
        <f t="shared" si="42"/>
        <v>0</v>
      </c>
      <c r="BC114" s="270"/>
      <c r="BD114" s="257">
        <f t="shared" si="43"/>
        <v>0</v>
      </c>
      <c r="BE114" s="270"/>
      <c r="BF114" s="257">
        <f t="shared" si="44"/>
        <v>0</v>
      </c>
      <c r="BG114" s="270"/>
      <c r="BH114" s="257">
        <f t="shared" si="45"/>
        <v>0</v>
      </c>
      <c r="BI114" s="270"/>
      <c r="BJ114" s="257">
        <f t="shared" si="46"/>
        <v>0</v>
      </c>
      <c r="BK114" s="270"/>
      <c r="BL114" s="257">
        <f t="shared" si="47"/>
        <v>0</v>
      </c>
    </row>
    <row r="115" spans="1:64" ht="15.75" customHeight="1">
      <c r="A115" s="250" t="s">
        <v>330</v>
      </c>
      <c r="C115" s="354"/>
      <c r="D115" s="476"/>
      <c r="E115" s="359"/>
      <c r="F115" s="417"/>
      <c r="G115" s="59"/>
      <c r="H115" s="333"/>
      <c r="I115" s="333"/>
      <c r="J115" s="334"/>
      <c r="K115" s="333"/>
      <c r="L115" s="33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3"/>
      <c r="Y115" s="303"/>
      <c r="Z115" s="303"/>
      <c r="AA115" s="303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263"/>
      <c r="AP115" s="254">
        <f t="shared" si="36"/>
        <v>0</v>
      </c>
      <c r="AQ115" s="263"/>
      <c r="AR115" s="254">
        <f t="shared" si="37"/>
        <v>0</v>
      </c>
      <c r="AS115" s="265"/>
      <c r="AT115" s="254">
        <f t="shared" si="38"/>
        <v>0</v>
      </c>
      <c r="AU115" s="256"/>
      <c r="AV115" s="257">
        <f t="shared" si="39"/>
        <v>0</v>
      </c>
      <c r="AW115" s="270"/>
      <c r="AX115" s="257">
        <f t="shared" si="40"/>
        <v>0</v>
      </c>
      <c r="AY115" s="270"/>
      <c r="AZ115" s="257">
        <f t="shared" si="41"/>
        <v>0</v>
      </c>
      <c r="BA115" s="268"/>
      <c r="BB115" s="257">
        <f t="shared" si="42"/>
        <v>0</v>
      </c>
      <c r="BC115" s="268"/>
      <c r="BD115" s="257">
        <f t="shared" si="43"/>
        <v>0</v>
      </c>
      <c r="BE115" s="59"/>
      <c r="BF115" s="257">
        <f t="shared" si="44"/>
        <v>0</v>
      </c>
      <c r="BG115" s="59"/>
      <c r="BH115" s="257">
        <f t="shared" si="45"/>
        <v>0</v>
      </c>
      <c r="BI115" s="59"/>
      <c r="BJ115" s="257">
        <f t="shared" si="46"/>
        <v>0</v>
      </c>
      <c r="BK115" s="59"/>
      <c r="BL115" s="257">
        <f t="shared" si="47"/>
        <v>0</v>
      </c>
    </row>
    <row r="116" spans="1:64" ht="19.5" customHeight="1">
      <c r="A116" s="250" t="s">
        <v>330</v>
      </c>
      <c r="C116" s="354"/>
      <c r="D116" s="476"/>
      <c r="E116" s="359"/>
      <c r="F116" s="417"/>
      <c r="G116" s="59"/>
      <c r="H116" s="339"/>
      <c r="I116" s="339"/>
      <c r="J116" s="340"/>
      <c r="K116" s="339"/>
      <c r="L116" s="339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3"/>
      <c r="Y116" s="303"/>
      <c r="Z116" s="303"/>
      <c r="AA116" s="303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263"/>
      <c r="AP116" s="254">
        <f t="shared" si="36"/>
        <v>0</v>
      </c>
      <c r="AQ116" s="263"/>
      <c r="AR116" s="254">
        <f t="shared" si="37"/>
        <v>0</v>
      </c>
      <c r="AS116" s="265"/>
      <c r="AT116" s="254">
        <f t="shared" si="38"/>
        <v>0</v>
      </c>
      <c r="AU116" s="256"/>
      <c r="AV116" s="257">
        <f t="shared" si="39"/>
        <v>0</v>
      </c>
      <c r="AW116" s="270"/>
      <c r="AX116" s="257">
        <f t="shared" si="40"/>
        <v>0</v>
      </c>
      <c r="AY116" s="270"/>
      <c r="AZ116" s="257">
        <f t="shared" si="41"/>
        <v>0</v>
      </c>
      <c r="BA116" s="268"/>
      <c r="BB116" s="257">
        <f t="shared" si="42"/>
        <v>0</v>
      </c>
      <c r="BC116" s="268"/>
      <c r="BD116" s="257">
        <f t="shared" si="43"/>
        <v>0</v>
      </c>
      <c r="BE116" s="59"/>
      <c r="BF116" s="257">
        <f t="shared" si="44"/>
        <v>0</v>
      </c>
      <c r="BG116" s="59"/>
      <c r="BH116" s="257">
        <f t="shared" si="45"/>
        <v>0</v>
      </c>
      <c r="BI116" s="59"/>
      <c r="BJ116" s="257">
        <f t="shared" si="46"/>
        <v>0</v>
      </c>
      <c r="BK116" s="59"/>
      <c r="BL116" s="257">
        <f t="shared" si="47"/>
        <v>0</v>
      </c>
    </row>
    <row r="117" spans="1:64" ht="17.25" customHeight="1">
      <c r="A117" s="250" t="s">
        <v>330</v>
      </c>
      <c r="B117" s="59" t="s">
        <v>221</v>
      </c>
      <c r="C117" s="354" t="s">
        <v>172</v>
      </c>
      <c r="D117" s="476"/>
      <c r="E117" s="359" t="s">
        <v>173</v>
      </c>
      <c r="F117" s="421" t="s">
        <v>79</v>
      </c>
      <c r="G117" s="317">
        <v>2019</v>
      </c>
      <c r="H117" s="59" t="s">
        <v>274</v>
      </c>
      <c r="I117" s="315" t="s">
        <v>190</v>
      </c>
      <c r="J117" s="317">
        <v>11</v>
      </c>
      <c r="K117" s="59" t="s">
        <v>275</v>
      </c>
      <c r="L117" s="298" t="s">
        <v>177</v>
      </c>
      <c r="M117" s="303" t="s">
        <v>192</v>
      </c>
      <c r="N117" s="303">
        <v>3.3</v>
      </c>
      <c r="O117" s="303">
        <v>4</v>
      </c>
      <c r="P117" s="303">
        <v>4</v>
      </c>
      <c r="Q117" s="303">
        <v>4</v>
      </c>
      <c r="R117" s="303">
        <v>4</v>
      </c>
      <c r="S117" s="303">
        <v>4</v>
      </c>
      <c r="T117" s="303">
        <v>4</v>
      </c>
      <c r="U117" s="303">
        <v>4</v>
      </c>
      <c r="V117" s="303">
        <v>4</v>
      </c>
      <c r="W117" s="303">
        <v>4</v>
      </c>
      <c r="X117" s="303">
        <v>4</v>
      </c>
      <c r="Y117" s="303">
        <v>4</v>
      </c>
      <c r="Z117" s="303">
        <v>4</v>
      </c>
      <c r="AA117" s="303">
        <v>4</v>
      </c>
      <c r="AB117" s="304">
        <v>0.7</v>
      </c>
      <c r="AC117" s="304">
        <v>0.7</v>
      </c>
      <c r="AD117" s="304">
        <v>0.7</v>
      </c>
      <c r="AE117" s="304">
        <v>0.7</v>
      </c>
      <c r="AF117" s="304">
        <v>0.7</v>
      </c>
      <c r="AG117" s="304">
        <v>0.7</v>
      </c>
      <c r="AH117" s="304">
        <v>0.7</v>
      </c>
      <c r="AI117" s="304">
        <v>0.7</v>
      </c>
      <c r="AJ117" s="304">
        <v>0.7</v>
      </c>
      <c r="AK117" s="304">
        <v>0.7</v>
      </c>
      <c r="AL117" s="304">
        <v>0.7</v>
      </c>
      <c r="AM117" s="304">
        <v>0.7</v>
      </c>
      <c r="AN117" s="304">
        <v>0.7</v>
      </c>
      <c r="AO117" s="255">
        <v>13280</v>
      </c>
      <c r="AP117" s="254">
        <f t="shared" si="36"/>
        <v>9296</v>
      </c>
      <c r="AQ117" s="255">
        <v>4760</v>
      </c>
      <c r="AR117" s="254">
        <f t="shared" si="37"/>
        <v>3332</v>
      </c>
      <c r="AS117" s="255">
        <v>6680</v>
      </c>
      <c r="AT117" s="254">
        <f t="shared" si="38"/>
        <v>4676</v>
      </c>
      <c r="AU117" s="255">
        <v>5280</v>
      </c>
      <c r="AV117" s="257">
        <f t="shared" si="39"/>
        <v>3695.9999999999995</v>
      </c>
      <c r="AW117" s="255">
        <v>16440</v>
      </c>
      <c r="AX117" s="257">
        <f t="shared" si="40"/>
        <v>11508</v>
      </c>
      <c r="AY117" s="255">
        <v>2160</v>
      </c>
      <c r="AZ117" s="257">
        <f t="shared" si="41"/>
        <v>1512</v>
      </c>
      <c r="BA117" s="255"/>
      <c r="BB117" s="257">
        <f t="shared" si="42"/>
        <v>0</v>
      </c>
      <c r="BC117" s="255"/>
      <c r="BD117" s="257">
        <f t="shared" si="43"/>
        <v>0</v>
      </c>
      <c r="BE117" s="255"/>
      <c r="BF117" s="257">
        <f t="shared" si="44"/>
        <v>0</v>
      </c>
      <c r="BG117" s="255"/>
      <c r="BH117" s="257">
        <f t="shared" si="45"/>
        <v>0</v>
      </c>
      <c r="BI117" s="255"/>
      <c r="BJ117" s="257">
        <f t="shared" si="46"/>
        <v>0</v>
      </c>
      <c r="BK117" s="255"/>
      <c r="BL117" s="257">
        <f t="shared" si="47"/>
        <v>0</v>
      </c>
    </row>
    <row r="118" spans="1:64" ht="14.85" customHeight="1">
      <c r="A118" s="250" t="s">
        <v>330</v>
      </c>
      <c r="C118" s="354"/>
      <c r="D118" s="476"/>
      <c r="E118" s="359"/>
      <c r="F118" s="421"/>
      <c r="G118" s="59"/>
      <c r="H118" s="59"/>
      <c r="I118" s="59"/>
      <c r="J118" s="302"/>
      <c r="K118" s="59"/>
      <c r="L118" s="59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  <c r="AA118" s="303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255"/>
      <c r="AP118" s="254">
        <f t="shared" si="36"/>
        <v>0</v>
      </c>
      <c r="AQ118" s="255"/>
      <c r="AR118" s="254">
        <f t="shared" si="37"/>
        <v>0</v>
      </c>
      <c r="AS118" s="255"/>
      <c r="AT118" s="254">
        <f t="shared" si="38"/>
        <v>0</v>
      </c>
      <c r="AU118" s="256"/>
      <c r="AV118" s="257">
        <f t="shared" si="39"/>
        <v>0</v>
      </c>
      <c r="AW118" s="270"/>
      <c r="AX118" s="257">
        <f t="shared" si="40"/>
        <v>0</v>
      </c>
      <c r="AY118" s="270"/>
      <c r="AZ118" s="257">
        <f t="shared" si="41"/>
        <v>0</v>
      </c>
      <c r="BA118" s="268"/>
      <c r="BB118" s="257">
        <f t="shared" si="42"/>
        <v>0</v>
      </c>
      <c r="BC118" s="268"/>
      <c r="BD118" s="257">
        <f t="shared" si="43"/>
        <v>0</v>
      </c>
      <c r="BE118" s="59"/>
      <c r="BF118" s="257">
        <f t="shared" si="44"/>
        <v>0</v>
      </c>
      <c r="BG118" s="59"/>
      <c r="BH118" s="257">
        <f t="shared" si="45"/>
        <v>0</v>
      </c>
      <c r="BI118" s="59"/>
      <c r="BJ118" s="257">
        <f t="shared" si="46"/>
        <v>0</v>
      </c>
      <c r="BK118" s="59"/>
      <c r="BL118" s="257">
        <f t="shared" si="47"/>
        <v>0</v>
      </c>
    </row>
    <row r="119" spans="1:64" ht="15" customHeight="1">
      <c r="A119" s="250" t="s">
        <v>330</v>
      </c>
      <c r="B119" s="59" t="s">
        <v>221</v>
      </c>
      <c r="C119" s="354" t="s">
        <v>172</v>
      </c>
      <c r="D119" s="476"/>
      <c r="E119" s="359" t="s">
        <v>332</v>
      </c>
      <c r="F119" s="421" t="s">
        <v>276</v>
      </c>
      <c r="G119" s="317">
        <v>2023</v>
      </c>
      <c r="H119" s="336" t="s">
        <v>394</v>
      </c>
      <c r="I119" s="332" t="s">
        <v>249</v>
      </c>
      <c r="J119" s="337">
        <v>16</v>
      </c>
      <c r="K119" s="336" t="s">
        <v>395</v>
      </c>
      <c r="L119" s="298" t="s">
        <v>389</v>
      </c>
      <c r="M119" s="303" t="s">
        <v>390</v>
      </c>
      <c r="N119" s="303">
        <v>10.4</v>
      </c>
      <c r="O119" s="303">
        <v>15.4</v>
      </c>
      <c r="P119" s="303">
        <v>17.2</v>
      </c>
      <c r="Q119" s="303">
        <v>17.2</v>
      </c>
      <c r="R119" s="303">
        <v>17.2</v>
      </c>
      <c r="S119" s="303">
        <v>17.2</v>
      </c>
      <c r="T119" s="303">
        <v>17.2</v>
      </c>
      <c r="U119" s="303">
        <v>17.2</v>
      </c>
      <c r="V119" s="303">
        <v>15.4</v>
      </c>
      <c r="W119" s="303">
        <v>15.4</v>
      </c>
      <c r="X119" s="303">
        <v>15.4</v>
      </c>
      <c r="Y119" s="303">
        <v>15.4</v>
      </c>
      <c r="Z119" s="303">
        <v>15.4</v>
      </c>
      <c r="AA119" s="303">
        <v>15.4</v>
      </c>
      <c r="AB119" s="304">
        <v>2.5</v>
      </c>
      <c r="AC119" s="304">
        <v>2.5</v>
      </c>
      <c r="AD119" s="304">
        <v>3.5</v>
      </c>
      <c r="AE119" s="304">
        <v>3.5</v>
      </c>
      <c r="AF119" s="304">
        <v>3.5</v>
      </c>
      <c r="AG119" s="304">
        <v>3.5</v>
      </c>
      <c r="AH119" s="304">
        <v>3.5</v>
      </c>
      <c r="AI119" s="304">
        <v>5.9</v>
      </c>
      <c r="AJ119" s="304">
        <v>5.9</v>
      </c>
      <c r="AK119" s="304">
        <v>5.9</v>
      </c>
      <c r="AL119" s="304">
        <v>5.9</v>
      </c>
      <c r="AM119" s="304">
        <v>5.9</v>
      </c>
      <c r="AN119" s="304">
        <v>5.9</v>
      </c>
      <c r="AO119" s="255">
        <v>2560</v>
      </c>
      <c r="AP119" s="254">
        <f t="shared" si="36"/>
        <v>6400</v>
      </c>
      <c r="AQ119" s="255">
        <v>1560</v>
      </c>
      <c r="AR119" s="254">
        <f t="shared" si="37"/>
        <v>5460</v>
      </c>
      <c r="AS119" s="255">
        <v>15143</v>
      </c>
      <c r="AT119" s="254">
        <f t="shared" si="38"/>
        <v>53000.5</v>
      </c>
      <c r="AU119" s="256">
        <v>320</v>
      </c>
      <c r="AV119" s="257">
        <f t="shared" si="39"/>
        <v>1120</v>
      </c>
      <c r="AW119" s="255">
        <v>554</v>
      </c>
      <c r="AX119" s="257">
        <f t="shared" si="40"/>
        <v>1939</v>
      </c>
      <c r="AY119" s="255">
        <v>40</v>
      </c>
      <c r="AZ119" s="257">
        <f t="shared" si="41"/>
        <v>140</v>
      </c>
      <c r="BA119" s="255"/>
      <c r="BB119" s="257">
        <f t="shared" si="42"/>
        <v>0</v>
      </c>
      <c r="BC119" s="255">
        <v>1510</v>
      </c>
      <c r="BD119" s="257">
        <f t="shared" si="43"/>
        <v>8909</v>
      </c>
      <c r="BE119" s="255">
        <v>348</v>
      </c>
      <c r="BF119" s="257">
        <f t="shared" si="44"/>
        <v>2053.2000000000003</v>
      </c>
      <c r="BG119" s="268">
        <v>240</v>
      </c>
      <c r="BH119" s="257">
        <f t="shared" si="45"/>
        <v>1416</v>
      </c>
      <c r="BI119" s="256">
        <v>319</v>
      </c>
      <c r="BJ119" s="257">
        <f t="shared" si="46"/>
        <v>1882.1000000000001</v>
      </c>
      <c r="BK119" s="256">
        <v>704</v>
      </c>
      <c r="BL119" s="257">
        <f t="shared" si="47"/>
        <v>4153.6000000000004</v>
      </c>
    </row>
    <row r="120" spans="1:64" ht="18" customHeight="1">
      <c r="A120" s="250" t="s">
        <v>330</v>
      </c>
      <c r="B120" s="59" t="s">
        <v>221</v>
      </c>
      <c r="C120" s="354" t="s">
        <v>172</v>
      </c>
      <c r="D120" s="476"/>
      <c r="E120" s="359" t="s">
        <v>332</v>
      </c>
      <c r="F120" s="421"/>
      <c r="G120" s="317">
        <v>2023</v>
      </c>
      <c r="H120" s="336" t="s">
        <v>394</v>
      </c>
      <c r="I120" s="332" t="s">
        <v>249</v>
      </c>
      <c r="J120" s="337">
        <v>16</v>
      </c>
      <c r="K120" s="59" t="s">
        <v>396</v>
      </c>
      <c r="L120" s="341" t="s">
        <v>389</v>
      </c>
      <c r="M120" s="303" t="s">
        <v>390</v>
      </c>
      <c r="N120" s="303">
        <v>15.8</v>
      </c>
      <c r="O120" s="303">
        <v>22.55</v>
      </c>
      <c r="P120" s="303">
        <v>25.35</v>
      </c>
      <c r="Q120" s="303">
        <v>25.35</v>
      </c>
      <c r="R120" s="303">
        <v>25.35</v>
      </c>
      <c r="S120" s="303">
        <v>25.35</v>
      </c>
      <c r="T120" s="303">
        <v>25.35</v>
      </c>
      <c r="U120" s="303">
        <v>25.35</v>
      </c>
      <c r="V120" s="303">
        <v>22.55</v>
      </c>
      <c r="W120" s="303">
        <v>22.55</v>
      </c>
      <c r="X120" s="303">
        <v>22.55</v>
      </c>
      <c r="Y120" s="303">
        <v>22.55</v>
      </c>
      <c r="Z120" s="303">
        <v>22.55</v>
      </c>
      <c r="AA120" s="303">
        <v>22.55</v>
      </c>
      <c r="AB120" s="304">
        <v>3.5</v>
      </c>
      <c r="AC120" s="304">
        <v>3.5</v>
      </c>
      <c r="AD120" s="304">
        <v>4.5</v>
      </c>
      <c r="AE120" s="304">
        <v>4.5</v>
      </c>
      <c r="AF120" s="304">
        <v>4.5</v>
      </c>
      <c r="AG120" s="304">
        <v>4.5</v>
      </c>
      <c r="AH120" s="304">
        <v>4.5</v>
      </c>
      <c r="AI120" s="304">
        <v>7.35</v>
      </c>
      <c r="AJ120" s="304">
        <v>7.35</v>
      </c>
      <c r="AK120" s="304">
        <v>7.35</v>
      </c>
      <c r="AL120" s="304">
        <v>7.35</v>
      </c>
      <c r="AM120" s="304">
        <v>7.35</v>
      </c>
      <c r="AN120" s="304">
        <v>7.35</v>
      </c>
      <c r="AO120" s="255">
        <v>5157</v>
      </c>
      <c r="AP120" s="254">
        <f t="shared" si="36"/>
        <v>18049.5</v>
      </c>
      <c r="AQ120" s="255">
        <v>7678</v>
      </c>
      <c r="AR120" s="254">
        <f t="shared" si="37"/>
        <v>34551</v>
      </c>
      <c r="AS120" s="261">
        <v>7927</v>
      </c>
      <c r="AT120" s="254">
        <f t="shared" si="38"/>
        <v>35671.5</v>
      </c>
      <c r="AU120" s="256">
        <v>6120</v>
      </c>
      <c r="AV120" s="257">
        <f t="shared" si="39"/>
        <v>27540</v>
      </c>
      <c r="AW120" s="255">
        <v>6817</v>
      </c>
      <c r="AX120" s="257">
        <f t="shared" si="40"/>
        <v>30676.5</v>
      </c>
      <c r="AY120" s="271">
        <v>3346</v>
      </c>
      <c r="AZ120" s="257">
        <f t="shared" si="41"/>
        <v>15057</v>
      </c>
      <c r="BA120" s="255">
        <v>4692</v>
      </c>
      <c r="BB120" s="257">
        <f t="shared" si="42"/>
        <v>34486.199999999997</v>
      </c>
      <c r="BC120" s="255">
        <v>12627</v>
      </c>
      <c r="BD120" s="257">
        <f t="shared" si="43"/>
        <v>92808.45</v>
      </c>
      <c r="BE120" s="261">
        <v>6632</v>
      </c>
      <c r="BF120" s="257">
        <f t="shared" si="44"/>
        <v>48745.2</v>
      </c>
      <c r="BG120" s="268">
        <v>7256</v>
      </c>
      <c r="BH120" s="257">
        <f t="shared" si="45"/>
        <v>53331.6</v>
      </c>
      <c r="BI120" s="256">
        <v>6299</v>
      </c>
      <c r="BJ120" s="257">
        <f t="shared" si="46"/>
        <v>46297.649999999994</v>
      </c>
      <c r="BK120" s="256">
        <v>2952</v>
      </c>
      <c r="BL120" s="257">
        <f t="shared" si="47"/>
        <v>21697.200000000001</v>
      </c>
    </row>
    <row r="121" spans="1:64" ht="18" customHeight="1">
      <c r="A121" s="250" t="s">
        <v>330</v>
      </c>
      <c r="B121" s="59" t="s">
        <v>221</v>
      </c>
      <c r="C121" s="354" t="s">
        <v>172</v>
      </c>
      <c r="D121" s="476"/>
      <c r="E121" s="359" t="s">
        <v>332</v>
      </c>
      <c r="F121" s="421"/>
      <c r="G121" s="317">
        <v>2023</v>
      </c>
      <c r="H121" s="336" t="s">
        <v>394</v>
      </c>
      <c r="I121" s="332" t="s">
        <v>249</v>
      </c>
      <c r="J121" s="337">
        <v>16</v>
      </c>
      <c r="K121" s="336" t="s">
        <v>397</v>
      </c>
      <c r="L121" s="341" t="s">
        <v>389</v>
      </c>
      <c r="M121" s="303" t="s">
        <v>390</v>
      </c>
      <c r="N121" s="303">
        <v>15.8</v>
      </c>
      <c r="O121" s="303">
        <v>22.55</v>
      </c>
      <c r="P121" s="303">
        <v>25.35</v>
      </c>
      <c r="Q121" s="303">
        <v>25.35</v>
      </c>
      <c r="R121" s="303">
        <v>25.35</v>
      </c>
      <c r="S121" s="303">
        <v>25.35</v>
      </c>
      <c r="T121" s="303">
        <v>25.35</v>
      </c>
      <c r="U121" s="303">
        <v>25.35</v>
      </c>
      <c r="V121" s="303">
        <v>22.55</v>
      </c>
      <c r="W121" s="303">
        <v>22.55</v>
      </c>
      <c r="X121" s="303">
        <v>22.55</v>
      </c>
      <c r="Y121" s="303">
        <v>22.55</v>
      </c>
      <c r="Z121" s="303">
        <v>22.55</v>
      </c>
      <c r="AA121" s="303">
        <v>22.55</v>
      </c>
      <c r="AB121" s="304">
        <v>3.5</v>
      </c>
      <c r="AC121" s="304">
        <v>3.5</v>
      </c>
      <c r="AD121" s="304">
        <v>4.5</v>
      </c>
      <c r="AE121" s="304">
        <v>4.5</v>
      </c>
      <c r="AF121" s="304">
        <v>4.5</v>
      </c>
      <c r="AG121" s="304">
        <v>4.5</v>
      </c>
      <c r="AH121" s="304">
        <v>4.5</v>
      </c>
      <c r="AI121" s="304">
        <v>7.35</v>
      </c>
      <c r="AJ121" s="304">
        <v>7.35</v>
      </c>
      <c r="AK121" s="304">
        <v>7.35</v>
      </c>
      <c r="AL121" s="304">
        <v>7.35</v>
      </c>
      <c r="AM121" s="304">
        <v>7.35</v>
      </c>
      <c r="AN121" s="304">
        <v>7.35</v>
      </c>
      <c r="AO121" s="255"/>
      <c r="AP121" s="254">
        <f t="shared" si="36"/>
        <v>0</v>
      </c>
      <c r="AQ121" s="255"/>
      <c r="AR121" s="254">
        <f t="shared" si="37"/>
        <v>0</v>
      </c>
      <c r="AS121" s="255"/>
      <c r="AT121" s="254">
        <f t="shared" si="38"/>
        <v>0</v>
      </c>
      <c r="AU121" s="256"/>
      <c r="AV121" s="257">
        <f t="shared" si="39"/>
        <v>0</v>
      </c>
      <c r="AW121" s="255"/>
      <c r="AX121" s="257">
        <f t="shared" si="40"/>
        <v>0</v>
      </c>
      <c r="AY121" s="255"/>
      <c r="AZ121" s="257">
        <f t="shared" si="41"/>
        <v>0</v>
      </c>
      <c r="BA121" s="255"/>
      <c r="BB121" s="257">
        <f t="shared" si="42"/>
        <v>0</v>
      </c>
      <c r="BC121" s="255"/>
      <c r="BD121" s="257">
        <f t="shared" si="43"/>
        <v>0</v>
      </c>
      <c r="BE121" s="255"/>
      <c r="BF121" s="257">
        <f t="shared" si="44"/>
        <v>0</v>
      </c>
      <c r="BG121" s="268"/>
      <c r="BH121" s="257">
        <f t="shared" si="45"/>
        <v>0</v>
      </c>
      <c r="BI121" s="256"/>
      <c r="BJ121" s="257">
        <f t="shared" si="46"/>
        <v>0</v>
      </c>
      <c r="BK121" s="256"/>
      <c r="BL121" s="257">
        <f t="shared" si="47"/>
        <v>0</v>
      </c>
    </row>
    <row r="122" spans="1:64" ht="18" customHeight="1">
      <c r="A122" s="250" t="s">
        <v>330</v>
      </c>
      <c r="B122" s="59" t="s">
        <v>221</v>
      </c>
      <c r="C122" s="354" t="s">
        <v>172</v>
      </c>
      <c r="D122" s="476"/>
      <c r="E122" s="359" t="s">
        <v>332</v>
      </c>
      <c r="F122" s="421"/>
      <c r="G122" s="317">
        <v>2023</v>
      </c>
      <c r="H122" s="336" t="s">
        <v>394</v>
      </c>
      <c r="I122" s="332" t="s">
        <v>249</v>
      </c>
      <c r="J122" s="337">
        <v>16</v>
      </c>
      <c r="K122" s="336" t="s">
        <v>398</v>
      </c>
      <c r="L122" s="341" t="s">
        <v>389</v>
      </c>
      <c r="M122" s="303" t="s">
        <v>390</v>
      </c>
      <c r="N122" s="303">
        <v>10.4</v>
      </c>
      <c r="O122" s="303">
        <v>15.4</v>
      </c>
      <c r="P122" s="303">
        <v>17.2</v>
      </c>
      <c r="Q122" s="303">
        <v>17.2</v>
      </c>
      <c r="R122" s="303">
        <v>17.2</v>
      </c>
      <c r="S122" s="303">
        <v>17.2</v>
      </c>
      <c r="T122" s="303">
        <v>17.2</v>
      </c>
      <c r="U122" s="303">
        <v>17.2</v>
      </c>
      <c r="V122" s="303">
        <v>15.4</v>
      </c>
      <c r="W122" s="303">
        <v>15.4</v>
      </c>
      <c r="X122" s="303">
        <v>15.4</v>
      </c>
      <c r="Y122" s="303">
        <v>15.4</v>
      </c>
      <c r="Z122" s="303">
        <v>15.4</v>
      </c>
      <c r="AA122" s="303">
        <v>15.4</v>
      </c>
      <c r="AB122" s="304">
        <v>2.5</v>
      </c>
      <c r="AC122" s="304">
        <v>2.5</v>
      </c>
      <c r="AD122" s="304">
        <v>3.5</v>
      </c>
      <c r="AE122" s="304">
        <v>3.5</v>
      </c>
      <c r="AF122" s="304">
        <v>3.5</v>
      </c>
      <c r="AG122" s="304">
        <v>3.5</v>
      </c>
      <c r="AH122" s="304">
        <v>3.5</v>
      </c>
      <c r="AI122" s="304">
        <v>5.9</v>
      </c>
      <c r="AJ122" s="304">
        <v>5.9</v>
      </c>
      <c r="AK122" s="304">
        <v>5.9</v>
      </c>
      <c r="AL122" s="304">
        <v>5.9</v>
      </c>
      <c r="AM122" s="304">
        <v>5.9</v>
      </c>
      <c r="AN122" s="304">
        <v>5.9</v>
      </c>
      <c r="AO122" s="255">
        <v>2594</v>
      </c>
      <c r="AP122" s="254">
        <f t="shared" si="36"/>
        <v>6485</v>
      </c>
      <c r="AQ122" s="255">
        <v>4146</v>
      </c>
      <c r="AR122" s="254">
        <f t="shared" si="37"/>
        <v>14511</v>
      </c>
      <c r="AS122" s="261">
        <v>8472</v>
      </c>
      <c r="AT122" s="254">
        <f t="shared" si="38"/>
        <v>29652</v>
      </c>
      <c r="AU122" s="256"/>
      <c r="AV122" s="257">
        <f t="shared" si="39"/>
        <v>0</v>
      </c>
      <c r="AW122" s="255">
        <v>2058</v>
      </c>
      <c r="AX122" s="257">
        <f t="shared" si="40"/>
        <v>7203</v>
      </c>
      <c r="AY122" s="271">
        <v>1313</v>
      </c>
      <c r="AZ122" s="257">
        <f t="shared" si="41"/>
        <v>4595.5</v>
      </c>
      <c r="BA122" s="255">
        <v>5301</v>
      </c>
      <c r="BB122" s="257">
        <f t="shared" si="42"/>
        <v>31275.9</v>
      </c>
      <c r="BC122" s="255">
        <v>304</v>
      </c>
      <c r="BD122" s="257">
        <f t="shared" si="43"/>
        <v>1793.6000000000001</v>
      </c>
      <c r="BE122" s="261">
        <v>4037</v>
      </c>
      <c r="BF122" s="257">
        <f t="shared" si="44"/>
        <v>23818.300000000003</v>
      </c>
      <c r="BG122" s="268">
        <v>2470</v>
      </c>
      <c r="BH122" s="257">
        <f t="shared" si="45"/>
        <v>14573</v>
      </c>
      <c r="BI122" s="256">
        <v>9156</v>
      </c>
      <c r="BJ122" s="257">
        <f t="shared" si="46"/>
        <v>54020.4</v>
      </c>
      <c r="BK122" s="256">
        <v>8038</v>
      </c>
      <c r="BL122" s="257">
        <f t="shared" si="47"/>
        <v>47424.200000000004</v>
      </c>
    </row>
    <row r="123" spans="1:64" ht="18" customHeight="1">
      <c r="A123" s="250" t="s">
        <v>330</v>
      </c>
      <c r="B123" s="59" t="s">
        <v>221</v>
      </c>
      <c r="C123" s="354" t="s">
        <v>172</v>
      </c>
      <c r="D123" s="476"/>
      <c r="E123" s="359" t="s">
        <v>332</v>
      </c>
      <c r="F123" s="421"/>
      <c r="G123" s="317">
        <v>2023</v>
      </c>
      <c r="H123" s="336" t="s">
        <v>394</v>
      </c>
      <c r="I123" s="332" t="s">
        <v>249</v>
      </c>
      <c r="J123" s="337">
        <v>16</v>
      </c>
      <c r="K123" s="326" t="s">
        <v>399</v>
      </c>
      <c r="L123" s="341" t="s">
        <v>389</v>
      </c>
      <c r="M123" s="303" t="s">
        <v>390</v>
      </c>
      <c r="N123" s="303">
        <v>15.8</v>
      </c>
      <c r="O123" s="303">
        <v>22.55</v>
      </c>
      <c r="P123" s="303">
        <v>25.35</v>
      </c>
      <c r="Q123" s="303">
        <v>25.35</v>
      </c>
      <c r="R123" s="303">
        <v>25.35</v>
      </c>
      <c r="S123" s="303">
        <v>25.35</v>
      </c>
      <c r="T123" s="303">
        <v>25.35</v>
      </c>
      <c r="U123" s="303">
        <v>25.35</v>
      </c>
      <c r="V123" s="303">
        <v>22.55</v>
      </c>
      <c r="W123" s="303">
        <v>22.55</v>
      </c>
      <c r="X123" s="303">
        <v>22.55</v>
      </c>
      <c r="Y123" s="303">
        <v>22.55</v>
      </c>
      <c r="Z123" s="303">
        <v>22.55</v>
      </c>
      <c r="AA123" s="303">
        <v>22.55</v>
      </c>
      <c r="AB123" s="304">
        <v>3.5</v>
      </c>
      <c r="AC123" s="304">
        <v>3.5</v>
      </c>
      <c r="AD123" s="304">
        <v>4.5</v>
      </c>
      <c r="AE123" s="304">
        <v>4.5</v>
      </c>
      <c r="AF123" s="304">
        <v>4.5</v>
      </c>
      <c r="AG123" s="304">
        <v>4.5</v>
      </c>
      <c r="AH123" s="304">
        <v>4.5</v>
      </c>
      <c r="AI123" s="304">
        <v>7.35</v>
      </c>
      <c r="AJ123" s="304">
        <v>7.35</v>
      </c>
      <c r="AK123" s="304">
        <v>7.35</v>
      </c>
      <c r="AL123" s="304">
        <v>7.35</v>
      </c>
      <c r="AM123" s="304">
        <v>7.35</v>
      </c>
      <c r="AN123" s="304">
        <v>7.35</v>
      </c>
      <c r="AO123" s="255">
        <v>1640</v>
      </c>
      <c r="AP123" s="254">
        <f t="shared" si="36"/>
        <v>5740</v>
      </c>
      <c r="AQ123" s="255">
        <v>8236</v>
      </c>
      <c r="AR123" s="254">
        <f t="shared" si="37"/>
        <v>37062</v>
      </c>
      <c r="AS123" s="261">
        <v>3107</v>
      </c>
      <c r="AT123" s="254">
        <f t="shared" si="38"/>
        <v>13981.5</v>
      </c>
      <c r="AU123" s="256">
        <v>1200</v>
      </c>
      <c r="AV123" s="257">
        <f t="shared" si="39"/>
        <v>5400</v>
      </c>
      <c r="AW123" s="255">
        <v>554</v>
      </c>
      <c r="AX123" s="257">
        <f t="shared" si="40"/>
        <v>2493</v>
      </c>
      <c r="AY123" s="271">
        <v>1663</v>
      </c>
      <c r="AZ123" s="257">
        <f t="shared" si="41"/>
        <v>7483.5</v>
      </c>
      <c r="BA123" s="255">
        <v>3714</v>
      </c>
      <c r="BB123" s="257">
        <f t="shared" si="42"/>
        <v>27297.899999999998</v>
      </c>
      <c r="BC123" s="255">
        <v>3387</v>
      </c>
      <c r="BD123" s="257">
        <f t="shared" si="43"/>
        <v>24894.449999999997</v>
      </c>
      <c r="BE123" s="261">
        <v>5384</v>
      </c>
      <c r="BF123" s="257">
        <f t="shared" si="44"/>
        <v>39572.400000000001</v>
      </c>
      <c r="BG123" s="268">
        <v>4302</v>
      </c>
      <c r="BH123" s="257">
        <f t="shared" si="45"/>
        <v>31619.699999999997</v>
      </c>
      <c r="BI123" s="256">
        <v>7635</v>
      </c>
      <c r="BJ123" s="257">
        <f t="shared" si="46"/>
        <v>56117.25</v>
      </c>
      <c r="BK123" s="256">
        <v>3717</v>
      </c>
      <c r="BL123" s="257">
        <f t="shared" si="47"/>
        <v>27319.949999999997</v>
      </c>
    </row>
    <row r="124" spans="1:64" ht="18" customHeight="1">
      <c r="A124" s="250" t="s">
        <v>330</v>
      </c>
      <c r="B124" s="59" t="s">
        <v>221</v>
      </c>
      <c r="C124" s="354" t="s">
        <v>172</v>
      </c>
      <c r="D124" s="476"/>
      <c r="E124" s="359" t="s">
        <v>332</v>
      </c>
      <c r="F124" s="421"/>
      <c r="G124" s="317">
        <v>2023</v>
      </c>
      <c r="H124" s="336" t="s">
        <v>400</v>
      </c>
      <c r="I124" s="332" t="s">
        <v>249</v>
      </c>
      <c r="J124" s="337">
        <v>16</v>
      </c>
      <c r="K124" s="326" t="s">
        <v>396</v>
      </c>
      <c r="L124" s="341" t="s">
        <v>389</v>
      </c>
      <c r="M124" s="303" t="s">
        <v>390</v>
      </c>
      <c r="N124" s="303">
        <v>15.8</v>
      </c>
      <c r="O124" s="303">
        <v>22.55</v>
      </c>
      <c r="P124" s="303">
        <v>25.35</v>
      </c>
      <c r="Q124" s="303">
        <v>25.35</v>
      </c>
      <c r="R124" s="303">
        <v>25.35</v>
      </c>
      <c r="S124" s="303">
        <v>25.35</v>
      </c>
      <c r="T124" s="303">
        <v>25.35</v>
      </c>
      <c r="U124" s="303">
        <v>25.35</v>
      </c>
      <c r="V124" s="303">
        <v>22.55</v>
      </c>
      <c r="W124" s="303">
        <v>22.55</v>
      </c>
      <c r="X124" s="303">
        <v>22.55</v>
      </c>
      <c r="Y124" s="303">
        <v>22.55</v>
      </c>
      <c r="Z124" s="303">
        <v>22.55</v>
      </c>
      <c r="AA124" s="303">
        <v>22.55</v>
      </c>
      <c r="AB124" s="304">
        <v>3.5</v>
      </c>
      <c r="AC124" s="304">
        <v>3.5</v>
      </c>
      <c r="AD124" s="304">
        <v>4.5</v>
      </c>
      <c r="AE124" s="304">
        <v>4.5</v>
      </c>
      <c r="AF124" s="304">
        <v>4.5</v>
      </c>
      <c r="AG124" s="304">
        <v>4.5</v>
      </c>
      <c r="AH124" s="304">
        <v>4.5</v>
      </c>
      <c r="AI124" s="304">
        <v>7.35</v>
      </c>
      <c r="AJ124" s="304">
        <v>7.35</v>
      </c>
      <c r="AK124" s="304">
        <v>7.35</v>
      </c>
      <c r="AL124" s="304">
        <v>7.35</v>
      </c>
      <c r="AM124" s="304">
        <v>7.35</v>
      </c>
      <c r="AN124" s="304">
        <v>7.35</v>
      </c>
      <c r="AO124" s="255">
        <v>1120</v>
      </c>
      <c r="AP124" s="254">
        <f t="shared" si="36"/>
        <v>3920</v>
      </c>
      <c r="AQ124" s="255">
        <v>760</v>
      </c>
      <c r="AR124" s="254">
        <f t="shared" si="37"/>
        <v>3420</v>
      </c>
      <c r="AS124" s="261">
        <v>597</v>
      </c>
      <c r="AT124" s="254">
        <f t="shared" si="38"/>
        <v>2686.5</v>
      </c>
      <c r="AU124" s="256">
        <v>520</v>
      </c>
      <c r="AV124" s="257">
        <f t="shared" si="39"/>
        <v>2340</v>
      </c>
      <c r="AW124" s="255">
        <v>400</v>
      </c>
      <c r="AX124" s="257">
        <f t="shared" si="40"/>
        <v>1800</v>
      </c>
      <c r="AY124" s="271">
        <v>560</v>
      </c>
      <c r="AZ124" s="257">
        <f t="shared" si="41"/>
        <v>2520</v>
      </c>
      <c r="BA124" s="255">
        <v>239</v>
      </c>
      <c r="BB124" s="257">
        <f t="shared" si="42"/>
        <v>1756.6499999999999</v>
      </c>
      <c r="BC124" s="255">
        <v>359</v>
      </c>
      <c r="BD124" s="257">
        <f t="shared" si="43"/>
        <v>2638.65</v>
      </c>
      <c r="BE124" s="261">
        <v>277</v>
      </c>
      <c r="BF124" s="257">
        <f t="shared" si="44"/>
        <v>2035.9499999999998</v>
      </c>
      <c r="BG124" s="268">
        <v>519</v>
      </c>
      <c r="BH124" s="257">
        <f t="shared" si="45"/>
        <v>3814.6499999999996</v>
      </c>
      <c r="BI124" s="256">
        <v>400</v>
      </c>
      <c r="BJ124" s="257">
        <f t="shared" si="46"/>
        <v>2940</v>
      </c>
      <c r="BK124" s="256">
        <v>197</v>
      </c>
      <c r="BL124" s="257">
        <f t="shared" si="47"/>
        <v>1447.9499999999998</v>
      </c>
    </row>
    <row r="125" spans="1:64" ht="18" customHeight="1">
      <c r="A125" s="250" t="s">
        <v>330</v>
      </c>
      <c r="B125" s="59" t="s">
        <v>221</v>
      </c>
      <c r="C125" s="354" t="s">
        <v>172</v>
      </c>
      <c r="D125" s="476"/>
      <c r="E125" s="359" t="s">
        <v>332</v>
      </c>
      <c r="F125" s="421"/>
      <c r="G125" s="317">
        <v>2023</v>
      </c>
      <c r="H125" s="59" t="s">
        <v>400</v>
      </c>
      <c r="I125" s="332" t="s">
        <v>249</v>
      </c>
      <c r="J125" s="337">
        <v>16</v>
      </c>
      <c r="K125" s="59" t="s">
        <v>397</v>
      </c>
      <c r="L125" s="341" t="s">
        <v>389</v>
      </c>
      <c r="M125" s="303" t="s">
        <v>390</v>
      </c>
      <c r="N125" s="303">
        <v>15.8</v>
      </c>
      <c r="O125" s="303">
        <v>22.55</v>
      </c>
      <c r="P125" s="303">
        <v>25.35</v>
      </c>
      <c r="Q125" s="303">
        <v>25.35</v>
      </c>
      <c r="R125" s="303">
        <v>25.35</v>
      </c>
      <c r="S125" s="303">
        <v>25.35</v>
      </c>
      <c r="T125" s="303">
        <v>25.35</v>
      </c>
      <c r="U125" s="303">
        <v>25.35</v>
      </c>
      <c r="V125" s="303">
        <v>22.55</v>
      </c>
      <c r="W125" s="303">
        <v>22.55</v>
      </c>
      <c r="X125" s="303">
        <v>22.55</v>
      </c>
      <c r="Y125" s="303">
        <v>22.55</v>
      </c>
      <c r="Z125" s="303">
        <v>22.55</v>
      </c>
      <c r="AA125" s="303">
        <v>22.55</v>
      </c>
      <c r="AB125" s="304">
        <v>3.5</v>
      </c>
      <c r="AC125" s="304">
        <v>3.5</v>
      </c>
      <c r="AD125" s="304">
        <v>4.5</v>
      </c>
      <c r="AE125" s="304">
        <v>4.5</v>
      </c>
      <c r="AF125" s="304">
        <v>4.5</v>
      </c>
      <c r="AG125" s="304">
        <v>4.5</v>
      </c>
      <c r="AH125" s="304">
        <v>4.5</v>
      </c>
      <c r="AI125" s="304">
        <v>7.35</v>
      </c>
      <c r="AJ125" s="304">
        <v>7.35</v>
      </c>
      <c r="AK125" s="304">
        <v>7.35</v>
      </c>
      <c r="AL125" s="304">
        <v>7.35</v>
      </c>
      <c r="AM125" s="304">
        <v>7.35</v>
      </c>
      <c r="AN125" s="304">
        <v>7.35</v>
      </c>
      <c r="AO125" s="255">
        <v>1080</v>
      </c>
      <c r="AP125" s="254">
        <f t="shared" si="36"/>
        <v>3780</v>
      </c>
      <c r="AQ125" s="255">
        <v>680</v>
      </c>
      <c r="AR125" s="254">
        <f t="shared" si="37"/>
        <v>3060</v>
      </c>
      <c r="AS125" s="261">
        <v>948</v>
      </c>
      <c r="AT125" s="254">
        <f t="shared" si="38"/>
        <v>4266</v>
      </c>
      <c r="AU125" s="256">
        <v>440</v>
      </c>
      <c r="AV125" s="257">
        <f t="shared" si="39"/>
        <v>1980</v>
      </c>
      <c r="AW125" s="255">
        <v>1312</v>
      </c>
      <c r="AX125" s="257">
        <f t="shared" si="40"/>
        <v>5904</v>
      </c>
      <c r="AY125" s="271">
        <v>680</v>
      </c>
      <c r="AZ125" s="257">
        <f t="shared" si="41"/>
        <v>3060</v>
      </c>
      <c r="BA125" s="255">
        <v>520</v>
      </c>
      <c r="BB125" s="257">
        <f t="shared" si="42"/>
        <v>3822</v>
      </c>
      <c r="BC125" s="255">
        <v>595</v>
      </c>
      <c r="BD125" s="257">
        <f t="shared" si="43"/>
        <v>4373.25</v>
      </c>
      <c r="BE125" s="261">
        <v>835</v>
      </c>
      <c r="BF125" s="257">
        <f t="shared" si="44"/>
        <v>6137.25</v>
      </c>
      <c r="BG125" s="268">
        <v>596</v>
      </c>
      <c r="BH125" s="257">
        <f t="shared" si="45"/>
        <v>4380.5999999999995</v>
      </c>
      <c r="BI125" s="256">
        <v>360</v>
      </c>
      <c r="BJ125" s="257">
        <f t="shared" si="46"/>
        <v>2646</v>
      </c>
      <c r="BK125" s="256">
        <v>151</v>
      </c>
      <c r="BL125" s="257">
        <f t="shared" si="47"/>
        <v>1109.8499999999999</v>
      </c>
    </row>
    <row r="126" spans="1:64" ht="18" customHeight="1">
      <c r="A126" s="250" t="s">
        <v>330</v>
      </c>
      <c r="B126" s="59" t="s">
        <v>221</v>
      </c>
      <c r="C126" s="354" t="s">
        <v>172</v>
      </c>
      <c r="D126" s="476"/>
      <c r="E126" s="359" t="s">
        <v>332</v>
      </c>
      <c r="F126" s="421"/>
      <c r="G126" s="317">
        <v>2024</v>
      </c>
      <c r="H126" s="336" t="s">
        <v>401</v>
      </c>
      <c r="I126" s="332" t="s">
        <v>249</v>
      </c>
      <c r="J126" s="337">
        <v>14</v>
      </c>
      <c r="K126" s="326" t="s">
        <v>402</v>
      </c>
      <c r="L126" s="323" t="s">
        <v>344</v>
      </c>
      <c r="M126" s="303" t="s">
        <v>386</v>
      </c>
      <c r="N126" s="303">
        <v>19.850000000000001</v>
      </c>
      <c r="O126" s="303">
        <v>25.55</v>
      </c>
      <c r="P126" s="303">
        <v>25.55</v>
      </c>
      <c r="Q126" s="303">
        <v>25.55</v>
      </c>
      <c r="R126" s="303">
        <v>25.55</v>
      </c>
      <c r="S126" s="303">
        <v>25.55</v>
      </c>
      <c r="T126" s="303">
        <v>25.55</v>
      </c>
      <c r="U126" s="303">
        <v>25.55</v>
      </c>
      <c r="V126" s="303">
        <v>25.55</v>
      </c>
      <c r="W126" s="303">
        <v>25.55</v>
      </c>
      <c r="X126" s="303">
        <v>25.55</v>
      </c>
      <c r="Y126" s="303">
        <v>25.55</v>
      </c>
      <c r="Z126" s="303">
        <v>25.55</v>
      </c>
      <c r="AA126" s="303">
        <v>25.55</v>
      </c>
      <c r="AB126" s="304">
        <v>5.7</v>
      </c>
      <c r="AC126" s="304">
        <v>5.7</v>
      </c>
      <c r="AD126" s="304">
        <v>5.7</v>
      </c>
      <c r="AE126" s="304">
        <v>5.7</v>
      </c>
      <c r="AF126" s="304">
        <v>5.7</v>
      </c>
      <c r="AG126" s="304">
        <v>5.7</v>
      </c>
      <c r="AH126" s="304">
        <v>5.7</v>
      </c>
      <c r="AI126" s="304">
        <v>5.7</v>
      </c>
      <c r="AJ126" s="304">
        <v>5.7</v>
      </c>
      <c r="AK126" s="304">
        <v>5.7</v>
      </c>
      <c r="AL126" s="304">
        <v>5.7</v>
      </c>
      <c r="AM126" s="304">
        <v>5.7</v>
      </c>
      <c r="AN126" s="304">
        <v>5.7</v>
      </c>
      <c r="AO126" s="255"/>
      <c r="AP126" s="254">
        <f t="shared" si="36"/>
        <v>0</v>
      </c>
      <c r="AQ126" s="255"/>
      <c r="AR126" s="254">
        <f t="shared" si="37"/>
        <v>0</v>
      </c>
      <c r="AS126" s="255"/>
      <c r="AT126" s="254">
        <f t="shared" si="38"/>
        <v>0</v>
      </c>
      <c r="AU126" s="256">
        <v>6239</v>
      </c>
      <c r="AV126" s="257">
        <f t="shared" si="39"/>
        <v>35562.300000000003</v>
      </c>
      <c r="AW126" s="255">
        <v>8380</v>
      </c>
      <c r="AX126" s="257">
        <f t="shared" si="40"/>
        <v>47766</v>
      </c>
      <c r="AY126" s="255">
        <v>9426</v>
      </c>
      <c r="AZ126" s="257">
        <f t="shared" si="41"/>
        <v>53728.200000000004</v>
      </c>
      <c r="BA126" s="255">
        <v>3120</v>
      </c>
      <c r="BB126" s="257">
        <f t="shared" si="42"/>
        <v>17784</v>
      </c>
      <c r="BC126" s="255">
        <v>2040</v>
      </c>
      <c r="BD126" s="257">
        <f t="shared" si="43"/>
        <v>11628</v>
      </c>
      <c r="BE126" s="255">
        <v>2120</v>
      </c>
      <c r="BF126" s="257">
        <f t="shared" si="44"/>
        <v>12084</v>
      </c>
      <c r="BG126" s="268">
        <v>1734</v>
      </c>
      <c r="BH126" s="257">
        <f t="shared" si="45"/>
        <v>9883.8000000000011</v>
      </c>
      <c r="BI126" s="256">
        <v>1680</v>
      </c>
      <c r="BJ126" s="257">
        <f t="shared" si="46"/>
        <v>9576</v>
      </c>
      <c r="BK126" s="59">
        <v>3150</v>
      </c>
      <c r="BL126" s="257">
        <f t="shared" si="47"/>
        <v>17955</v>
      </c>
    </row>
    <row r="127" spans="1:64" ht="18" customHeight="1">
      <c r="A127" s="250" t="s">
        <v>330</v>
      </c>
      <c r="B127" s="59" t="s">
        <v>221</v>
      </c>
      <c r="C127" s="354" t="s">
        <v>172</v>
      </c>
      <c r="D127" s="476"/>
      <c r="E127" s="359" t="s">
        <v>332</v>
      </c>
      <c r="F127" s="421"/>
      <c r="G127" s="317">
        <v>2024</v>
      </c>
      <c r="H127" s="336" t="s">
        <v>401</v>
      </c>
      <c r="I127" s="332" t="s">
        <v>249</v>
      </c>
      <c r="J127" s="337">
        <v>14</v>
      </c>
      <c r="K127" s="336" t="s">
        <v>403</v>
      </c>
      <c r="L127" s="323" t="s">
        <v>344</v>
      </c>
      <c r="M127" s="303" t="s">
        <v>386</v>
      </c>
      <c r="N127" s="303">
        <v>53</v>
      </c>
      <c r="O127" s="303">
        <v>55</v>
      </c>
      <c r="P127" s="303">
        <v>55</v>
      </c>
      <c r="Q127" s="303">
        <v>55</v>
      </c>
      <c r="R127" s="303">
        <v>55</v>
      </c>
      <c r="S127" s="303">
        <v>55</v>
      </c>
      <c r="T127" s="303">
        <v>55</v>
      </c>
      <c r="U127" s="303">
        <v>55</v>
      </c>
      <c r="V127" s="303">
        <v>55</v>
      </c>
      <c r="W127" s="303">
        <v>55</v>
      </c>
      <c r="X127" s="303">
        <v>55</v>
      </c>
      <c r="Y127" s="303">
        <v>55</v>
      </c>
      <c r="Z127" s="303">
        <v>55</v>
      </c>
      <c r="AA127" s="303">
        <v>55</v>
      </c>
      <c r="AB127" s="59">
        <v>2</v>
      </c>
      <c r="AC127" s="59">
        <v>2</v>
      </c>
      <c r="AD127" s="59">
        <v>2</v>
      </c>
      <c r="AE127" s="59">
        <v>2</v>
      </c>
      <c r="AF127" s="59">
        <v>2</v>
      </c>
      <c r="AG127" s="59">
        <v>2</v>
      </c>
      <c r="AH127" s="59">
        <v>2</v>
      </c>
      <c r="AI127" s="59">
        <v>2</v>
      </c>
      <c r="AJ127" s="59">
        <v>2</v>
      </c>
      <c r="AK127" s="59">
        <v>2</v>
      </c>
      <c r="AL127" s="59">
        <v>2</v>
      </c>
      <c r="AM127" s="59">
        <v>2</v>
      </c>
      <c r="AN127" s="59">
        <v>2</v>
      </c>
      <c r="AO127" s="255"/>
      <c r="AP127" s="254">
        <f t="shared" ref="AP127:AP166" si="48">AC127*AO127</f>
        <v>0</v>
      </c>
      <c r="AQ127" s="255"/>
      <c r="AR127" s="254">
        <f t="shared" ref="AR127:AR166" si="49">AD127*AQ127</f>
        <v>0</v>
      </c>
      <c r="AS127" s="255"/>
      <c r="AT127" s="254">
        <f t="shared" ref="AT127:AT166" si="50">AE127*AS127</f>
        <v>0</v>
      </c>
      <c r="AU127" s="255"/>
      <c r="AV127" s="257">
        <f t="shared" ref="AV127:AV166" si="51">AF127*AU127</f>
        <v>0</v>
      </c>
      <c r="AW127" s="255"/>
      <c r="AX127" s="257">
        <f t="shared" ref="AX127:AX166" si="52">AG127*AW127</f>
        <v>0</v>
      </c>
      <c r="AY127" s="255">
        <v>929</v>
      </c>
      <c r="AZ127" s="257">
        <f t="shared" ref="AZ127:AZ166" si="53">AH127*AY127</f>
        <v>1858</v>
      </c>
      <c r="BA127" s="255">
        <v>320</v>
      </c>
      <c r="BB127" s="257">
        <f t="shared" ref="BB127:BB166" si="54">AI127*BA127</f>
        <v>640</v>
      </c>
      <c r="BC127" s="255">
        <v>480</v>
      </c>
      <c r="BD127" s="257">
        <f t="shared" ref="BD127:BD166" si="55">AJ127*BC127</f>
        <v>960</v>
      </c>
      <c r="BE127" s="256">
        <v>360</v>
      </c>
      <c r="BF127" s="257">
        <f t="shared" ref="BF127:BF166" si="56">AK127*BE127</f>
        <v>720</v>
      </c>
      <c r="BG127" s="268">
        <v>320</v>
      </c>
      <c r="BH127" s="257">
        <f t="shared" ref="BH127:BH166" si="57">AL127*BG127</f>
        <v>640</v>
      </c>
      <c r="BI127" s="256">
        <v>320</v>
      </c>
      <c r="BJ127" s="257">
        <f t="shared" ref="BJ127:BJ166" si="58">AM127*BI127</f>
        <v>640</v>
      </c>
      <c r="BK127" s="256">
        <v>200</v>
      </c>
      <c r="BL127" s="257">
        <f t="shared" ref="BL127:BL166" si="59">AN127*BK127</f>
        <v>400</v>
      </c>
    </row>
    <row r="128" spans="1:64" ht="18" customHeight="1">
      <c r="A128" s="250" t="s">
        <v>330</v>
      </c>
      <c r="C128" s="354"/>
      <c r="D128" s="476"/>
      <c r="E128" s="359"/>
      <c r="F128" s="421"/>
      <c r="G128" s="317"/>
      <c r="H128" s="326"/>
      <c r="I128" s="332"/>
      <c r="J128" s="337"/>
      <c r="K128" s="336"/>
      <c r="L128" s="59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3"/>
      <c r="Y128" s="303"/>
      <c r="Z128" s="303"/>
      <c r="AA128" s="303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255"/>
      <c r="AP128" s="254">
        <f t="shared" si="48"/>
        <v>0</v>
      </c>
      <c r="AQ128" s="255"/>
      <c r="AR128" s="254">
        <f t="shared" si="49"/>
        <v>0</v>
      </c>
      <c r="AS128" s="255"/>
      <c r="AT128" s="254">
        <f t="shared" si="50"/>
        <v>0</v>
      </c>
      <c r="AU128" s="255"/>
      <c r="AV128" s="257">
        <f t="shared" si="51"/>
        <v>0</v>
      </c>
      <c r="AW128" s="255"/>
      <c r="AX128" s="257">
        <f t="shared" si="52"/>
        <v>0</v>
      </c>
      <c r="AY128" s="255"/>
      <c r="AZ128" s="257">
        <f t="shared" si="53"/>
        <v>0</v>
      </c>
      <c r="BA128" s="255"/>
      <c r="BB128" s="257">
        <f t="shared" si="54"/>
        <v>0</v>
      </c>
      <c r="BC128" s="255"/>
      <c r="BD128" s="257">
        <f t="shared" si="55"/>
        <v>0</v>
      </c>
      <c r="BE128" s="256"/>
      <c r="BF128" s="257">
        <f t="shared" si="56"/>
        <v>0</v>
      </c>
      <c r="BG128" s="256"/>
      <c r="BH128" s="257">
        <f t="shared" si="57"/>
        <v>0</v>
      </c>
      <c r="BI128" s="256"/>
      <c r="BJ128" s="257">
        <f t="shared" si="58"/>
        <v>0</v>
      </c>
      <c r="BK128" s="256"/>
      <c r="BL128" s="257">
        <f t="shared" si="59"/>
        <v>0</v>
      </c>
    </row>
    <row r="129" spans="1:67" ht="18" customHeight="1">
      <c r="A129" s="250" t="s">
        <v>330</v>
      </c>
      <c r="C129" s="354"/>
      <c r="D129" s="476"/>
      <c r="E129" s="359"/>
      <c r="F129" s="421"/>
      <c r="G129" s="317"/>
      <c r="H129" s="326"/>
      <c r="I129" s="332"/>
      <c r="J129" s="337"/>
      <c r="K129" s="336"/>
      <c r="L129" s="59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  <c r="AA129" s="303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255"/>
      <c r="AP129" s="254">
        <f t="shared" si="48"/>
        <v>0</v>
      </c>
      <c r="AQ129" s="255"/>
      <c r="AR129" s="254">
        <f t="shared" si="49"/>
        <v>0</v>
      </c>
      <c r="AS129" s="261"/>
      <c r="AT129" s="254">
        <f t="shared" si="50"/>
        <v>0</v>
      </c>
      <c r="AU129" s="261"/>
      <c r="AV129" s="257">
        <f t="shared" si="51"/>
        <v>0</v>
      </c>
      <c r="AW129" s="261"/>
      <c r="AX129" s="257">
        <f t="shared" si="52"/>
        <v>0</v>
      </c>
      <c r="AY129" s="261"/>
      <c r="AZ129" s="257">
        <f t="shared" si="53"/>
        <v>0</v>
      </c>
      <c r="BA129" s="261"/>
      <c r="BB129" s="257">
        <f t="shared" si="54"/>
        <v>0</v>
      </c>
      <c r="BC129" s="274"/>
      <c r="BD129" s="257">
        <f t="shared" si="55"/>
        <v>0</v>
      </c>
      <c r="BE129" s="256"/>
      <c r="BF129" s="257">
        <f t="shared" si="56"/>
        <v>0</v>
      </c>
      <c r="BG129" s="256"/>
      <c r="BH129" s="257">
        <f t="shared" si="57"/>
        <v>0</v>
      </c>
      <c r="BI129" s="256"/>
      <c r="BJ129" s="257">
        <f t="shared" si="58"/>
        <v>0</v>
      </c>
      <c r="BK129" s="256"/>
      <c r="BL129" s="257">
        <f t="shared" si="59"/>
        <v>0</v>
      </c>
    </row>
    <row r="130" spans="1:67" ht="18" customHeight="1">
      <c r="A130" s="250" t="s">
        <v>330</v>
      </c>
      <c r="C130" s="354"/>
      <c r="D130" s="476"/>
      <c r="E130" s="359"/>
      <c r="F130" s="421"/>
      <c r="G130" s="59"/>
      <c r="H130" s="342"/>
      <c r="I130" s="342"/>
      <c r="J130" s="343"/>
      <c r="K130" s="342"/>
      <c r="L130" s="342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255"/>
      <c r="AP130" s="254">
        <f t="shared" si="48"/>
        <v>0</v>
      </c>
      <c r="AQ130" s="255"/>
      <c r="AR130" s="254">
        <f t="shared" si="49"/>
        <v>0</v>
      </c>
      <c r="AS130" s="261"/>
      <c r="AT130" s="254">
        <f t="shared" si="50"/>
        <v>0</v>
      </c>
      <c r="AU130" s="256"/>
      <c r="AV130" s="257">
        <f t="shared" si="51"/>
        <v>0</v>
      </c>
      <c r="AW130" s="270"/>
      <c r="AX130" s="257">
        <f t="shared" si="52"/>
        <v>0</v>
      </c>
      <c r="AY130" s="270"/>
      <c r="AZ130" s="257">
        <f t="shared" si="53"/>
        <v>0</v>
      </c>
      <c r="BA130" s="268"/>
      <c r="BB130" s="257">
        <f t="shared" si="54"/>
        <v>0</v>
      </c>
      <c r="BC130" s="268"/>
      <c r="BD130" s="257">
        <f t="shared" si="55"/>
        <v>0</v>
      </c>
      <c r="BE130" s="59"/>
      <c r="BF130" s="257">
        <f t="shared" si="56"/>
        <v>0</v>
      </c>
      <c r="BG130" s="59"/>
      <c r="BH130" s="257">
        <f t="shared" si="57"/>
        <v>0</v>
      </c>
      <c r="BI130" s="59"/>
      <c r="BJ130" s="257">
        <f t="shared" si="58"/>
        <v>0</v>
      </c>
      <c r="BK130" s="59"/>
      <c r="BL130" s="257">
        <f t="shared" si="59"/>
        <v>0</v>
      </c>
    </row>
    <row r="131" spans="1:67" ht="15" customHeight="1">
      <c r="A131" s="250" t="s">
        <v>330</v>
      </c>
      <c r="B131" s="59" t="s">
        <v>404</v>
      </c>
      <c r="C131" s="354" t="s">
        <v>172</v>
      </c>
      <c r="D131" s="476"/>
      <c r="E131" s="359" t="s">
        <v>214</v>
      </c>
      <c r="F131" s="417" t="s">
        <v>215</v>
      </c>
      <c r="G131" s="317">
        <v>2019</v>
      </c>
      <c r="H131" s="59" t="s">
        <v>303</v>
      </c>
      <c r="I131" s="315" t="s">
        <v>190</v>
      </c>
      <c r="J131" s="318" t="s">
        <v>217</v>
      </c>
      <c r="K131" s="59" t="s">
        <v>217</v>
      </c>
      <c r="L131" s="298" t="s">
        <v>177</v>
      </c>
      <c r="M131" s="303" t="s">
        <v>218</v>
      </c>
      <c r="N131" s="303">
        <v>9.36</v>
      </c>
      <c r="O131" s="303">
        <v>9.36</v>
      </c>
      <c r="P131" s="303">
        <v>9.36</v>
      </c>
      <c r="Q131" s="303">
        <v>9.36</v>
      </c>
      <c r="R131" s="303">
        <v>9.36</v>
      </c>
      <c r="S131" s="303">
        <v>9.36</v>
      </c>
      <c r="T131" s="303">
        <v>9.36</v>
      </c>
      <c r="U131" s="303">
        <v>9.36</v>
      </c>
      <c r="V131" s="303">
        <v>9.36</v>
      </c>
      <c r="W131" s="303">
        <v>9.36</v>
      </c>
      <c r="X131" s="303">
        <v>9.36</v>
      </c>
      <c r="Y131" s="303">
        <v>9.36</v>
      </c>
      <c r="Z131" s="303">
        <v>9.36</v>
      </c>
      <c r="AA131" s="303">
        <v>9.36</v>
      </c>
      <c r="AB131" s="304">
        <v>1.31</v>
      </c>
      <c r="AC131" s="304">
        <v>1.31</v>
      </c>
      <c r="AD131" s="304">
        <v>1.31</v>
      </c>
      <c r="AE131" s="304">
        <v>1.31</v>
      </c>
      <c r="AF131" s="304">
        <v>1.31</v>
      </c>
      <c r="AG131" s="304">
        <v>1.31</v>
      </c>
      <c r="AH131" s="304">
        <v>1.31</v>
      </c>
      <c r="AI131" s="304">
        <v>1.31</v>
      </c>
      <c r="AJ131" s="304">
        <v>1.31</v>
      </c>
      <c r="AK131" s="304">
        <v>1.31</v>
      </c>
      <c r="AL131" s="304">
        <v>1.31</v>
      </c>
      <c r="AM131" s="304">
        <v>1.31</v>
      </c>
      <c r="AN131" s="304">
        <v>1.31</v>
      </c>
      <c r="AO131" s="255"/>
      <c r="AP131" s="254">
        <f t="shared" si="48"/>
        <v>0</v>
      </c>
      <c r="AQ131" s="255"/>
      <c r="AR131" s="254">
        <f t="shared" si="49"/>
        <v>0</v>
      </c>
      <c r="AS131" s="255"/>
      <c r="AT131" s="254">
        <f t="shared" si="50"/>
        <v>0</v>
      </c>
      <c r="AU131" s="256"/>
      <c r="AV131" s="257">
        <f t="shared" si="51"/>
        <v>0</v>
      </c>
      <c r="AW131" s="270"/>
      <c r="AX131" s="257">
        <f t="shared" si="52"/>
        <v>0</v>
      </c>
      <c r="AY131" s="270"/>
      <c r="AZ131" s="257">
        <f t="shared" si="53"/>
        <v>0</v>
      </c>
      <c r="BA131" s="268"/>
      <c r="BB131" s="257">
        <f t="shared" si="54"/>
        <v>0</v>
      </c>
      <c r="BC131" s="268"/>
      <c r="BD131" s="257">
        <f t="shared" si="55"/>
        <v>0</v>
      </c>
      <c r="BE131" s="59"/>
      <c r="BF131" s="257">
        <f t="shared" si="56"/>
        <v>0</v>
      </c>
      <c r="BG131" s="59"/>
      <c r="BH131" s="257">
        <f t="shared" si="57"/>
        <v>0</v>
      </c>
      <c r="BI131" s="59"/>
      <c r="BJ131" s="257">
        <f t="shared" si="58"/>
        <v>0</v>
      </c>
      <c r="BK131" s="59"/>
      <c r="BL131" s="257">
        <f t="shared" si="59"/>
        <v>0</v>
      </c>
    </row>
    <row r="132" spans="1:67" ht="15" customHeight="1">
      <c r="A132" s="250" t="s">
        <v>330</v>
      </c>
      <c r="C132" s="354"/>
      <c r="D132" s="476"/>
      <c r="E132" s="359"/>
      <c r="F132" s="417"/>
      <c r="G132" s="59"/>
      <c r="H132" s="59"/>
      <c r="I132" s="59"/>
      <c r="J132" s="302"/>
      <c r="K132" s="59"/>
      <c r="L132" s="59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255"/>
      <c r="AP132" s="254">
        <f t="shared" si="48"/>
        <v>0</v>
      </c>
      <c r="AQ132" s="255"/>
      <c r="AR132" s="254">
        <f t="shared" si="49"/>
        <v>0</v>
      </c>
      <c r="AS132" s="255"/>
      <c r="AT132" s="254">
        <f t="shared" si="50"/>
        <v>0</v>
      </c>
      <c r="AU132" s="256"/>
      <c r="AV132" s="257">
        <f t="shared" si="51"/>
        <v>0</v>
      </c>
      <c r="AW132" s="270"/>
      <c r="AX132" s="257">
        <f t="shared" si="52"/>
        <v>0</v>
      </c>
      <c r="AY132" s="270"/>
      <c r="AZ132" s="257">
        <f t="shared" si="53"/>
        <v>0</v>
      </c>
      <c r="BA132" s="268"/>
      <c r="BB132" s="257">
        <f t="shared" si="54"/>
        <v>0</v>
      </c>
      <c r="BC132" s="268"/>
      <c r="BD132" s="257">
        <f t="shared" si="55"/>
        <v>0</v>
      </c>
      <c r="BE132" s="59"/>
      <c r="BF132" s="257">
        <f t="shared" si="56"/>
        <v>0</v>
      </c>
      <c r="BG132" s="59"/>
      <c r="BH132" s="257">
        <f t="shared" si="57"/>
        <v>0</v>
      </c>
      <c r="BI132" s="59"/>
      <c r="BJ132" s="257">
        <f t="shared" si="58"/>
        <v>0</v>
      </c>
      <c r="BK132" s="59"/>
      <c r="BL132" s="257">
        <f t="shared" si="59"/>
        <v>0</v>
      </c>
    </row>
    <row r="133" spans="1:67" ht="15" customHeight="1">
      <c r="A133" s="250" t="s">
        <v>330</v>
      </c>
      <c r="C133" s="354"/>
      <c r="D133" s="476"/>
      <c r="E133" s="359"/>
      <c r="F133" s="417"/>
      <c r="G133" s="59"/>
      <c r="H133" s="59"/>
      <c r="I133" s="59"/>
      <c r="J133" s="302"/>
      <c r="K133" s="59"/>
      <c r="L133" s="59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303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255"/>
      <c r="AP133" s="254">
        <f t="shared" si="48"/>
        <v>0</v>
      </c>
      <c r="AQ133" s="255"/>
      <c r="AR133" s="254">
        <f t="shared" si="49"/>
        <v>0</v>
      </c>
      <c r="AS133" s="255"/>
      <c r="AT133" s="254">
        <f t="shared" si="50"/>
        <v>0</v>
      </c>
      <c r="AU133" s="256"/>
      <c r="AV133" s="257">
        <f t="shared" si="51"/>
        <v>0</v>
      </c>
      <c r="AW133" s="270"/>
      <c r="AX133" s="257">
        <f t="shared" si="52"/>
        <v>0</v>
      </c>
      <c r="AY133" s="270"/>
      <c r="AZ133" s="257">
        <f t="shared" si="53"/>
        <v>0</v>
      </c>
      <c r="BA133" s="268"/>
      <c r="BB133" s="257">
        <f t="shared" si="54"/>
        <v>0</v>
      </c>
      <c r="BC133" s="268"/>
      <c r="BD133" s="257">
        <f t="shared" si="55"/>
        <v>0</v>
      </c>
      <c r="BE133" s="59"/>
      <c r="BF133" s="257">
        <f t="shared" si="56"/>
        <v>0</v>
      </c>
      <c r="BG133" s="59"/>
      <c r="BH133" s="257">
        <f t="shared" si="57"/>
        <v>0</v>
      </c>
      <c r="BI133" s="59"/>
      <c r="BJ133" s="257">
        <f t="shared" si="58"/>
        <v>0</v>
      </c>
      <c r="BK133" s="59"/>
      <c r="BL133" s="257">
        <f t="shared" si="59"/>
        <v>0</v>
      </c>
    </row>
    <row r="134" spans="1:67" ht="15" customHeight="1">
      <c r="A134" s="250" t="s">
        <v>330</v>
      </c>
      <c r="C134" s="354"/>
      <c r="D134" s="476"/>
      <c r="E134" s="359"/>
      <c r="F134" s="417"/>
      <c r="G134" s="59"/>
      <c r="H134" s="59"/>
      <c r="I134" s="59"/>
      <c r="J134" s="302"/>
      <c r="K134" s="59"/>
      <c r="L134" s="59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303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255"/>
      <c r="AP134" s="254">
        <f t="shared" si="48"/>
        <v>0</v>
      </c>
      <c r="AQ134" s="255"/>
      <c r="AR134" s="254">
        <f t="shared" si="49"/>
        <v>0</v>
      </c>
      <c r="AS134" s="255"/>
      <c r="AT134" s="254">
        <f t="shared" si="50"/>
        <v>0</v>
      </c>
      <c r="AU134" s="256"/>
      <c r="AV134" s="257">
        <f t="shared" si="51"/>
        <v>0</v>
      </c>
      <c r="AW134" s="270"/>
      <c r="AX134" s="257">
        <f t="shared" si="52"/>
        <v>0</v>
      </c>
      <c r="AY134" s="270"/>
      <c r="AZ134" s="257">
        <f t="shared" si="53"/>
        <v>0</v>
      </c>
      <c r="BA134" s="268"/>
      <c r="BB134" s="257">
        <f t="shared" si="54"/>
        <v>0</v>
      </c>
      <c r="BC134" s="268"/>
      <c r="BD134" s="257">
        <f t="shared" si="55"/>
        <v>0</v>
      </c>
      <c r="BE134" s="59"/>
      <c r="BF134" s="257">
        <f t="shared" si="56"/>
        <v>0</v>
      </c>
      <c r="BG134" s="59"/>
      <c r="BH134" s="257">
        <f t="shared" si="57"/>
        <v>0</v>
      </c>
      <c r="BI134" s="59"/>
      <c r="BJ134" s="257">
        <f t="shared" si="58"/>
        <v>0</v>
      </c>
      <c r="BK134" s="59"/>
      <c r="BL134" s="257">
        <f t="shared" si="59"/>
        <v>0</v>
      </c>
    </row>
    <row r="135" spans="1:67" ht="15.75" customHeight="1">
      <c r="A135" s="250" t="s">
        <v>330</v>
      </c>
      <c r="C135" s="354"/>
      <c r="D135" s="476"/>
      <c r="E135" s="359"/>
      <c r="F135" s="417"/>
      <c r="G135" s="59"/>
      <c r="H135" s="59"/>
      <c r="I135" s="59"/>
      <c r="J135" s="302"/>
      <c r="K135" s="59"/>
      <c r="L135" s="59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  <c r="AA135" s="303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255"/>
      <c r="AP135" s="254">
        <f t="shared" si="48"/>
        <v>0</v>
      </c>
      <c r="AQ135" s="255"/>
      <c r="AR135" s="254">
        <f t="shared" si="49"/>
        <v>0</v>
      </c>
      <c r="AS135" s="255"/>
      <c r="AT135" s="254">
        <f t="shared" si="50"/>
        <v>0</v>
      </c>
      <c r="AU135" s="256"/>
      <c r="AV135" s="257">
        <f t="shared" si="51"/>
        <v>0</v>
      </c>
      <c r="AW135" s="270"/>
      <c r="AX135" s="257">
        <f t="shared" si="52"/>
        <v>0</v>
      </c>
      <c r="AY135" s="270"/>
      <c r="AZ135" s="257">
        <f t="shared" si="53"/>
        <v>0</v>
      </c>
      <c r="BA135" s="268"/>
      <c r="BB135" s="257">
        <f t="shared" si="54"/>
        <v>0</v>
      </c>
      <c r="BC135" s="268"/>
      <c r="BD135" s="257">
        <f t="shared" si="55"/>
        <v>0</v>
      </c>
      <c r="BE135" s="59"/>
      <c r="BF135" s="257">
        <f t="shared" si="56"/>
        <v>0</v>
      </c>
      <c r="BG135" s="59"/>
      <c r="BH135" s="257">
        <f t="shared" si="57"/>
        <v>0</v>
      </c>
      <c r="BI135" s="59"/>
      <c r="BJ135" s="257">
        <f t="shared" si="58"/>
        <v>0</v>
      </c>
      <c r="BK135" s="59"/>
      <c r="BL135" s="257">
        <f t="shared" si="59"/>
        <v>0</v>
      </c>
    </row>
    <row r="136" spans="1:67" ht="15.75" customHeight="1">
      <c r="A136" s="250" t="s">
        <v>330</v>
      </c>
      <c r="C136" s="354"/>
      <c r="D136" s="476"/>
      <c r="E136" s="359"/>
      <c r="F136" s="417"/>
      <c r="G136" s="59"/>
      <c r="H136" s="312"/>
      <c r="I136" s="312"/>
      <c r="J136" s="344"/>
      <c r="K136" s="312"/>
      <c r="L136" s="312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303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255"/>
      <c r="AP136" s="254">
        <f t="shared" si="48"/>
        <v>0</v>
      </c>
      <c r="AQ136" s="255"/>
      <c r="AR136" s="254">
        <f t="shared" si="49"/>
        <v>0</v>
      </c>
      <c r="AS136" s="255"/>
      <c r="AT136" s="254">
        <f t="shared" si="50"/>
        <v>0</v>
      </c>
      <c r="AU136" s="256"/>
      <c r="AV136" s="257">
        <f t="shared" si="51"/>
        <v>0</v>
      </c>
      <c r="AW136" s="270"/>
      <c r="AX136" s="257">
        <f t="shared" si="52"/>
        <v>0</v>
      </c>
      <c r="AY136" s="270"/>
      <c r="AZ136" s="257">
        <f t="shared" si="53"/>
        <v>0</v>
      </c>
      <c r="BA136" s="268"/>
      <c r="BB136" s="257">
        <f t="shared" si="54"/>
        <v>0</v>
      </c>
      <c r="BC136" s="268"/>
      <c r="BD136" s="257">
        <f t="shared" si="55"/>
        <v>0</v>
      </c>
      <c r="BE136" s="59"/>
      <c r="BF136" s="257">
        <f t="shared" si="56"/>
        <v>0</v>
      </c>
      <c r="BG136" s="59"/>
      <c r="BH136" s="257">
        <f t="shared" si="57"/>
        <v>0</v>
      </c>
      <c r="BI136" s="59"/>
      <c r="BJ136" s="257">
        <f t="shared" si="58"/>
        <v>0</v>
      </c>
      <c r="BK136" s="59"/>
      <c r="BL136" s="257">
        <f t="shared" si="59"/>
        <v>0</v>
      </c>
    </row>
    <row r="137" spans="1:67" ht="15.75" customHeight="1" thickBot="1">
      <c r="A137" s="250" t="s">
        <v>330</v>
      </c>
      <c r="C137" s="354"/>
      <c r="D137" s="477"/>
      <c r="E137" s="359"/>
      <c r="F137" s="417"/>
      <c r="G137" s="59"/>
      <c r="H137" s="312"/>
      <c r="I137" s="312"/>
      <c r="J137" s="344"/>
      <c r="K137" s="312"/>
      <c r="L137" s="312"/>
      <c r="M137" s="303"/>
      <c r="N137" s="303"/>
      <c r="O137" s="303"/>
      <c r="P137" s="303"/>
      <c r="Q137" s="303"/>
      <c r="R137" s="303"/>
      <c r="S137" s="303"/>
      <c r="T137" s="303"/>
      <c r="U137" s="303"/>
      <c r="V137" s="303"/>
      <c r="W137" s="303"/>
      <c r="X137" s="303"/>
      <c r="Y137" s="303"/>
      <c r="Z137" s="303"/>
      <c r="AA137" s="303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255"/>
      <c r="AP137" s="254">
        <f t="shared" si="48"/>
        <v>0</v>
      </c>
      <c r="AQ137" s="255"/>
      <c r="AR137" s="254">
        <f t="shared" si="49"/>
        <v>0</v>
      </c>
      <c r="AS137" s="255"/>
      <c r="AT137" s="254">
        <f t="shared" si="50"/>
        <v>0</v>
      </c>
      <c r="AU137" s="256"/>
      <c r="AV137" s="257">
        <f t="shared" si="51"/>
        <v>0</v>
      </c>
      <c r="AW137" s="270"/>
      <c r="AX137" s="257">
        <f t="shared" si="52"/>
        <v>0</v>
      </c>
      <c r="AY137" s="270"/>
      <c r="AZ137" s="257">
        <f t="shared" si="53"/>
        <v>0</v>
      </c>
      <c r="BA137" s="268"/>
      <c r="BB137" s="257">
        <f t="shared" si="54"/>
        <v>0</v>
      </c>
      <c r="BC137" s="268"/>
      <c r="BD137" s="257">
        <f t="shared" si="55"/>
        <v>0</v>
      </c>
      <c r="BE137" s="59"/>
      <c r="BF137" s="257">
        <f t="shared" si="56"/>
        <v>0</v>
      </c>
      <c r="BG137" s="59"/>
      <c r="BH137" s="257">
        <f t="shared" si="57"/>
        <v>0</v>
      </c>
      <c r="BI137" s="59"/>
      <c r="BJ137" s="257">
        <f t="shared" si="58"/>
        <v>0</v>
      </c>
      <c r="BK137" s="59"/>
      <c r="BL137" s="257">
        <f t="shared" si="59"/>
        <v>0</v>
      </c>
    </row>
    <row r="138" spans="1:67" ht="15.75" customHeight="1">
      <c r="A138" s="250" t="s">
        <v>330</v>
      </c>
      <c r="B138" s="59" t="s">
        <v>405</v>
      </c>
      <c r="C138" s="354" t="s">
        <v>172</v>
      </c>
      <c r="D138" s="411" t="s">
        <v>304</v>
      </c>
      <c r="E138" s="414" t="s">
        <v>304</v>
      </c>
      <c r="F138" s="417" t="s">
        <v>305</v>
      </c>
      <c r="G138" s="353">
        <v>2021</v>
      </c>
      <c r="H138" s="345" t="s">
        <v>306</v>
      </c>
      <c r="I138" s="346" t="s">
        <v>190</v>
      </c>
      <c r="J138" s="347" t="s">
        <v>217</v>
      </c>
      <c r="K138" s="345" t="s">
        <v>217</v>
      </c>
      <c r="L138" s="345" t="s">
        <v>177</v>
      </c>
      <c r="M138" s="303" t="s">
        <v>218</v>
      </c>
      <c r="N138" s="303">
        <v>42.7</v>
      </c>
      <c r="O138" s="303">
        <v>42.7</v>
      </c>
      <c r="P138" s="303">
        <v>42.7</v>
      </c>
      <c r="Q138" s="303">
        <v>42.7</v>
      </c>
      <c r="R138" s="303">
        <v>42.7</v>
      </c>
      <c r="S138" s="303">
        <v>42.7</v>
      </c>
      <c r="T138" s="303">
        <v>42.7</v>
      </c>
      <c r="U138" s="303">
        <v>42.7</v>
      </c>
      <c r="V138" s="303">
        <v>42.7</v>
      </c>
      <c r="W138" s="303">
        <v>42.7</v>
      </c>
      <c r="X138" s="303">
        <v>42.7</v>
      </c>
      <c r="Y138" s="303">
        <v>42.7</v>
      </c>
      <c r="Z138" s="303">
        <v>42.7</v>
      </c>
      <c r="AA138" s="303">
        <v>42.7</v>
      </c>
      <c r="AB138" s="304">
        <v>0</v>
      </c>
      <c r="AC138" s="304">
        <v>0</v>
      </c>
      <c r="AD138" s="304">
        <v>0</v>
      </c>
      <c r="AE138" s="304">
        <v>0</v>
      </c>
      <c r="AF138" s="304">
        <v>0</v>
      </c>
      <c r="AG138" s="304">
        <v>0</v>
      </c>
      <c r="AH138" s="304">
        <v>0</v>
      </c>
      <c r="AI138" s="304">
        <v>0</v>
      </c>
      <c r="AJ138" s="304">
        <v>0</v>
      </c>
      <c r="AK138" s="304">
        <v>0</v>
      </c>
      <c r="AL138" s="304">
        <v>0</v>
      </c>
      <c r="AM138" s="304">
        <v>0</v>
      </c>
      <c r="AN138" s="304">
        <v>0</v>
      </c>
      <c r="AO138" s="255">
        <v>400</v>
      </c>
      <c r="AP138" s="254">
        <f t="shared" si="48"/>
        <v>0</v>
      </c>
      <c r="AQ138" s="255">
        <v>2400</v>
      </c>
      <c r="AR138" s="254">
        <f t="shared" si="49"/>
        <v>0</v>
      </c>
      <c r="AS138" s="255">
        <v>4400</v>
      </c>
      <c r="AT138" s="254">
        <f t="shared" si="50"/>
        <v>0</v>
      </c>
      <c r="AU138" s="255">
        <v>6600</v>
      </c>
      <c r="AV138" s="257">
        <f t="shared" si="51"/>
        <v>0</v>
      </c>
      <c r="AW138" s="255">
        <v>3100</v>
      </c>
      <c r="AX138" s="257">
        <f t="shared" si="52"/>
        <v>0</v>
      </c>
      <c r="AY138" s="255">
        <v>3700</v>
      </c>
      <c r="AZ138" s="257">
        <f t="shared" si="53"/>
        <v>0</v>
      </c>
      <c r="BA138" s="363">
        <v>3340</v>
      </c>
      <c r="BB138" s="257">
        <f t="shared" si="54"/>
        <v>0</v>
      </c>
      <c r="BC138" s="255"/>
      <c r="BD138" s="257">
        <f t="shared" si="55"/>
        <v>0</v>
      </c>
      <c r="BE138" s="255"/>
      <c r="BF138" s="257">
        <f t="shared" si="56"/>
        <v>0</v>
      </c>
      <c r="BG138" s="255"/>
      <c r="BH138" s="257">
        <f t="shared" si="57"/>
        <v>0</v>
      </c>
      <c r="BI138" s="255">
        <v>400</v>
      </c>
      <c r="BJ138" s="257">
        <f t="shared" si="58"/>
        <v>0</v>
      </c>
      <c r="BK138" s="255"/>
      <c r="BL138" s="257">
        <f t="shared" si="59"/>
        <v>0</v>
      </c>
      <c r="BO138" s="1" t="s">
        <v>406</v>
      </c>
    </row>
    <row r="139" spans="1:67" ht="15.75" customHeight="1">
      <c r="A139" s="250" t="s">
        <v>330</v>
      </c>
      <c r="B139" s="59" t="s">
        <v>407</v>
      </c>
      <c r="C139" s="354" t="s">
        <v>172</v>
      </c>
      <c r="D139" s="412"/>
      <c r="E139" s="415"/>
      <c r="F139" s="417"/>
      <c r="G139" s="353">
        <v>2021</v>
      </c>
      <c r="H139" s="345" t="s">
        <v>306</v>
      </c>
      <c r="I139" s="346" t="s">
        <v>190</v>
      </c>
      <c r="J139" s="347" t="s">
        <v>217</v>
      </c>
      <c r="K139" s="345" t="s">
        <v>217</v>
      </c>
      <c r="L139" s="345" t="s">
        <v>177</v>
      </c>
      <c r="M139" s="303" t="s">
        <v>218</v>
      </c>
      <c r="N139" s="303">
        <v>42.7</v>
      </c>
      <c r="O139" s="303">
        <v>42.7</v>
      </c>
      <c r="P139" s="303">
        <v>42.7</v>
      </c>
      <c r="Q139" s="303">
        <v>42.7</v>
      </c>
      <c r="R139" s="303">
        <v>42.7</v>
      </c>
      <c r="S139" s="303">
        <v>42.7</v>
      </c>
      <c r="T139" s="303">
        <v>42.7</v>
      </c>
      <c r="U139" s="303">
        <v>42.7</v>
      </c>
      <c r="V139" s="303">
        <v>42.7</v>
      </c>
      <c r="W139" s="303">
        <v>42.7</v>
      </c>
      <c r="X139" s="303">
        <v>42.7</v>
      </c>
      <c r="Y139" s="303">
        <v>42.7</v>
      </c>
      <c r="Z139" s="303">
        <v>42.7</v>
      </c>
      <c r="AA139" s="303">
        <v>42.7</v>
      </c>
      <c r="AB139" s="304">
        <v>0</v>
      </c>
      <c r="AC139" s="304">
        <v>0</v>
      </c>
      <c r="AD139" s="304">
        <v>0</v>
      </c>
      <c r="AE139" s="304">
        <v>0</v>
      </c>
      <c r="AF139" s="304">
        <v>0</v>
      </c>
      <c r="AG139" s="304">
        <v>0</v>
      </c>
      <c r="AH139" s="304">
        <v>0</v>
      </c>
      <c r="AI139" s="304">
        <v>0</v>
      </c>
      <c r="AJ139" s="304">
        <v>0</v>
      </c>
      <c r="AK139" s="304">
        <v>0</v>
      </c>
      <c r="AL139" s="304">
        <v>0</v>
      </c>
      <c r="AM139" s="304">
        <v>0</v>
      </c>
      <c r="AN139" s="304">
        <v>0</v>
      </c>
      <c r="AO139" s="255"/>
      <c r="AP139" s="254">
        <f t="shared" ref="AP139:AP140" si="60">AC139*AO139</f>
        <v>0</v>
      </c>
      <c r="AQ139" s="255"/>
      <c r="AR139" s="254">
        <f t="shared" ref="AR139:AR140" si="61">AD139*AQ139</f>
        <v>0</v>
      </c>
      <c r="AS139" s="255"/>
      <c r="AT139" s="254">
        <f t="shared" ref="AT139:AT140" si="62">AE139*AS139</f>
        <v>0</v>
      </c>
      <c r="AU139" s="255"/>
      <c r="AV139" s="257">
        <f t="shared" ref="AV139:AV140" si="63">AF139*AU139</f>
        <v>0</v>
      </c>
      <c r="AW139" s="255"/>
      <c r="AX139" s="257">
        <f t="shared" ref="AX139:AX140" si="64">AG139*AW139</f>
        <v>0</v>
      </c>
      <c r="AY139" s="255"/>
      <c r="AZ139" s="257">
        <f t="shared" ref="AZ139:AZ140" si="65">AH139*AY139</f>
        <v>0</v>
      </c>
      <c r="BA139" s="363"/>
      <c r="BB139" s="257">
        <f t="shared" ref="BB139:BB140" si="66">AI139*BA139</f>
        <v>0</v>
      </c>
      <c r="BC139" s="255">
        <v>1800</v>
      </c>
      <c r="BD139" s="257">
        <f t="shared" ref="BD139:BD140" si="67">AJ139*BC139</f>
        <v>0</v>
      </c>
      <c r="BE139" s="255">
        <v>200</v>
      </c>
      <c r="BF139" s="257">
        <f t="shared" ref="BF139:BF140" si="68">AK139*BE139</f>
        <v>0</v>
      </c>
      <c r="BG139" s="255">
        <v>3700</v>
      </c>
      <c r="BH139" s="257">
        <f t="shared" ref="BH139:BH140" si="69">AL139*BG139</f>
        <v>0</v>
      </c>
      <c r="BI139" s="255">
        <v>1600</v>
      </c>
      <c r="BJ139" s="257">
        <f t="shared" ref="BJ139:BJ140" si="70">AM139*BI139</f>
        <v>0</v>
      </c>
      <c r="BK139" s="255">
        <v>1320</v>
      </c>
      <c r="BL139" s="257">
        <f t="shared" ref="BL139:BL140" si="71">AN139*BK139</f>
        <v>0</v>
      </c>
      <c r="BO139" s="1" t="s">
        <v>408</v>
      </c>
    </row>
    <row r="140" spans="1:67" ht="15.75" customHeight="1">
      <c r="A140" s="250" t="s">
        <v>330</v>
      </c>
      <c r="B140" s="59" t="s">
        <v>405</v>
      </c>
      <c r="C140" s="354" t="s">
        <v>172</v>
      </c>
      <c r="D140" s="412"/>
      <c r="E140" s="415"/>
      <c r="F140" s="417"/>
      <c r="G140" s="353">
        <v>2021</v>
      </c>
      <c r="H140" s="345" t="s">
        <v>306</v>
      </c>
      <c r="I140" s="346" t="s">
        <v>190</v>
      </c>
      <c r="J140" s="347" t="s">
        <v>217</v>
      </c>
      <c r="K140" s="345" t="s">
        <v>217</v>
      </c>
      <c r="L140" s="345" t="s">
        <v>177</v>
      </c>
      <c r="M140" s="303" t="s">
        <v>218</v>
      </c>
      <c r="N140" s="303">
        <v>42.7</v>
      </c>
      <c r="O140" s="303">
        <v>42.7</v>
      </c>
      <c r="P140" s="303">
        <v>42.7</v>
      </c>
      <c r="Q140" s="303">
        <v>42.7</v>
      </c>
      <c r="R140" s="303">
        <v>42.7</v>
      </c>
      <c r="S140" s="303">
        <v>42.7</v>
      </c>
      <c r="T140" s="303">
        <v>42.7</v>
      </c>
      <c r="U140" s="303">
        <v>42.7</v>
      </c>
      <c r="V140" s="303">
        <v>42.7</v>
      </c>
      <c r="W140" s="303">
        <v>42.7</v>
      </c>
      <c r="X140" s="303">
        <v>42.7</v>
      </c>
      <c r="Y140" s="303">
        <v>42.7</v>
      </c>
      <c r="Z140" s="303">
        <v>42.7</v>
      </c>
      <c r="AA140" s="303">
        <v>42.7</v>
      </c>
      <c r="AB140" s="304">
        <v>0</v>
      </c>
      <c r="AC140" s="304">
        <v>0</v>
      </c>
      <c r="AD140" s="304">
        <v>0</v>
      </c>
      <c r="AE140" s="304">
        <v>0</v>
      </c>
      <c r="AF140" s="304">
        <v>0</v>
      </c>
      <c r="AG140" s="304">
        <v>0</v>
      </c>
      <c r="AH140" s="304">
        <v>0</v>
      </c>
      <c r="AI140" s="304">
        <v>0</v>
      </c>
      <c r="AJ140" s="304">
        <v>0</v>
      </c>
      <c r="AK140" s="304">
        <v>0</v>
      </c>
      <c r="AL140" s="304">
        <v>0</v>
      </c>
      <c r="AM140" s="304">
        <v>0</v>
      </c>
      <c r="AN140" s="304">
        <v>0</v>
      </c>
      <c r="AO140" s="255"/>
      <c r="AP140" s="254">
        <f t="shared" si="60"/>
        <v>0</v>
      </c>
      <c r="AQ140" s="255"/>
      <c r="AR140" s="254">
        <f t="shared" si="61"/>
        <v>0</v>
      </c>
      <c r="AS140" s="255"/>
      <c r="AT140" s="254">
        <f t="shared" si="62"/>
        <v>0</v>
      </c>
      <c r="AU140" s="255"/>
      <c r="AV140" s="257">
        <f t="shared" si="63"/>
        <v>0</v>
      </c>
      <c r="AW140" s="255"/>
      <c r="AX140" s="257">
        <f t="shared" si="64"/>
        <v>0</v>
      </c>
      <c r="AY140" s="255"/>
      <c r="AZ140" s="257">
        <f t="shared" si="65"/>
        <v>0</v>
      </c>
      <c r="BA140" s="363"/>
      <c r="BB140" s="257">
        <f t="shared" si="66"/>
        <v>0</v>
      </c>
      <c r="BC140" s="255">
        <v>60</v>
      </c>
      <c r="BD140" s="257">
        <f t="shared" si="67"/>
        <v>0</v>
      </c>
      <c r="BE140" s="255"/>
      <c r="BF140" s="257">
        <f t="shared" si="68"/>
        <v>0</v>
      </c>
      <c r="BG140" s="255"/>
      <c r="BH140" s="257">
        <f t="shared" si="69"/>
        <v>0</v>
      </c>
      <c r="BI140" s="255"/>
      <c r="BJ140" s="257">
        <f t="shared" si="70"/>
        <v>0</v>
      </c>
      <c r="BK140" s="255">
        <v>200</v>
      </c>
      <c r="BL140" s="257">
        <f t="shared" si="71"/>
        <v>0</v>
      </c>
      <c r="BO140" s="1" t="s">
        <v>409</v>
      </c>
    </row>
    <row r="141" spans="1:67" ht="15.75" customHeight="1">
      <c r="A141" s="250" t="s">
        <v>330</v>
      </c>
      <c r="C141" s="354"/>
      <c r="D141" s="412"/>
      <c r="E141" s="415"/>
      <c r="F141" s="417"/>
      <c r="G141" s="317">
        <v>2023</v>
      </c>
      <c r="H141" s="345" t="s">
        <v>307</v>
      </c>
      <c r="I141" s="346" t="s">
        <v>220</v>
      </c>
      <c r="J141" s="347" t="s">
        <v>308</v>
      </c>
      <c r="K141" s="348" t="s">
        <v>308</v>
      </c>
      <c r="L141" s="345" t="s">
        <v>185</v>
      </c>
      <c r="M141" s="303" t="s">
        <v>218</v>
      </c>
      <c r="N141" s="303">
        <v>32.35</v>
      </c>
      <c r="O141" s="303">
        <v>32.74</v>
      </c>
      <c r="P141" s="303">
        <v>32.74</v>
      </c>
      <c r="Q141" s="303">
        <v>32.74</v>
      </c>
      <c r="R141" s="303">
        <v>32.74</v>
      </c>
      <c r="S141" s="303">
        <v>32.74</v>
      </c>
      <c r="T141" s="303">
        <v>32.74</v>
      </c>
      <c r="U141" s="303">
        <v>32.74</v>
      </c>
      <c r="V141" s="303">
        <v>32.74</v>
      </c>
      <c r="W141" s="303">
        <v>32.74</v>
      </c>
      <c r="X141" s="303">
        <v>32.74</v>
      </c>
      <c r="Y141" s="303">
        <v>32.74</v>
      </c>
      <c r="Z141" s="303">
        <v>32.74</v>
      </c>
      <c r="AA141" s="303">
        <v>32.74</v>
      </c>
      <c r="AB141" s="304">
        <v>0.39</v>
      </c>
      <c r="AC141" s="304">
        <v>0.39</v>
      </c>
      <c r="AD141" s="304">
        <v>0.39</v>
      </c>
      <c r="AE141" s="304">
        <v>0.39</v>
      </c>
      <c r="AF141" s="304">
        <v>0.39</v>
      </c>
      <c r="AG141" s="304">
        <v>0.39</v>
      </c>
      <c r="AH141" s="304">
        <v>0.39</v>
      </c>
      <c r="AI141" s="304">
        <v>0.39</v>
      </c>
      <c r="AJ141" s="304">
        <v>0.39</v>
      </c>
      <c r="AK141" s="304">
        <v>0.39</v>
      </c>
      <c r="AL141" s="304">
        <v>0.39</v>
      </c>
      <c r="AM141" s="304">
        <v>0.39</v>
      </c>
      <c r="AN141" s="304">
        <v>0.39</v>
      </c>
      <c r="AO141" s="255"/>
      <c r="AP141" s="254">
        <f t="shared" ref="AP141" si="72">AC141*AO141</f>
        <v>0</v>
      </c>
      <c r="AQ141" s="255"/>
      <c r="AR141" s="254">
        <f t="shared" ref="AR141" si="73">AD141*AQ141</f>
        <v>0</v>
      </c>
      <c r="AS141" s="255">
        <v>566</v>
      </c>
      <c r="AT141" s="254">
        <f t="shared" ref="AT141" si="74">AE141*AS141</f>
        <v>220.74</v>
      </c>
      <c r="AU141" s="255"/>
      <c r="AV141" s="257">
        <f t="shared" ref="AV141" si="75">AF141*AU141</f>
        <v>0</v>
      </c>
      <c r="AW141" s="255"/>
      <c r="AX141" s="257">
        <f t="shared" ref="AX141" si="76">AG141*AW141</f>
        <v>0</v>
      </c>
      <c r="AY141" s="255"/>
      <c r="AZ141" s="257">
        <f t="shared" ref="AZ141" si="77">AH141*AY141</f>
        <v>0</v>
      </c>
      <c r="BA141" s="363"/>
      <c r="BB141" s="257">
        <f t="shared" ref="BB141" si="78">AI141*BA141</f>
        <v>0</v>
      </c>
      <c r="BC141" s="255"/>
      <c r="BD141" s="257">
        <f t="shared" ref="BD141" si="79">AJ141*BC141</f>
        <v>0</v>
      </c>
      <c r="BE141" s="255"/>
      <c r="BF141" s="257">
        <f t="shared" ref="BF141" si="80">AK141*BE141</f>
        <v>0</v>
      </c>
      <c r="BG141" s="255"/>
      <c r="BH141" s="257">
        <f t="shared" ref="BH141" si="81">AL141*BG141</f>
        <v>0</v>
      </c>
      <c r="BI141" s="255"/>
      <c r="BJ141" s="257">
        <f t="shared" ref="BJ141" si="82">AM141*BI141</f>
        <v>0</v>
      </c>
      <c r="BK141" s="255"/>
      <c r="BL141" s="257">
        <f t="shared" ref="BL141" si="83">AN141*BK141</f>
        <v>0</v>
      </c>
      <c r="BO141" s="1" t="s">
        <v>406</v>
      </c>
    </row>
    <row r="142" spans="1:67" ht="15.75" customHeight="1">
      <c r="A142" s="250" t="s">
        <v>330</v>
      </c>
      <c r="C142" s="354"/>
      <c r="D142" s="412"/>
      <c r="E142" s="415"/>
      <c r="F142" s="417"/>
      <c r="G142" s="317">
        <v>2023</v>
      </c>
      <c r="H142" s="345" t="s">
        <v>307</v>
      </c>
      <c r="I142" s="346" t="s">
        <v>220</v>
      </c>
      <c r="J142" s="347" t="s">
        <v>308</v>
      </c>
      <c r="K142" s="348" t="s">
        <v>308</v>
      </c>
      <c r="L142" s="345" t="s">
        <v>185</v>
      </c>
      <c r="M142" s="303" t="s">
        <v>218</v>
      </c>
      <c r="N142" s="303">
        <v>32.35</v>
      </c>
      <c r="O142" s="303">
        <v>32.74</v>
      </c>
      <c r="P142" s="303">
        <v>32.74</v>
      </c>
      <c r="Q142" s="303">
        <v>32.74</v>
      </c>
      <c r="R142" s="303">
        <v>32.74</v>
      </c>
      <c r="S142" s="303">
        <v>32.74</v>
      </c>
      <c r="T142" s="303">
        <v>32.74</v>
      </c>
      <c r="U142" s="303">
        <v>32.74</v>
      </c>
      <c r="V142" s="303">
        <v>32.74</v>
      </c>
      <c r="W142" s="303">
        <v>32.74</v>
      </c>
      <c r="X142" s="303">
        <v>32.74</v>
      </c>
      <c r="Y142" s="303">
        <v>32.74</v>
      </c>
      <c r="Z142" s="303">
        <v>32.74</v>
      </c>
      <c r="AA142" s="303">
        <v>32.74</v>
      </c>
      <c r="AB142" s="304">
        <v>0.39</v>
      </c>
      <c r="AC142" s="304">
        <v>0.39</v>
      </c>
      <c r="AD142" s="304">
        <v>0.39</v>
      </c>
      <c r="AE142" s="304">
        <v>0.39</v>
      </c>
      <c r="AF142" s="304">
        <v>0.39</v>
      </c>
      <c r="AG142" s="304">
        <v>0.39</v>
      </c>
      <c r="AH142" s="304">
        <v>0.39</v>
      </c>
      <c r="AI142" s="304">
        <v>0.39</v>
      </c>
      <c r="AJ142" s="304">
        <v>0.39</v>
      </c>
      <c r="AK142" s="304">
        <v>0.39</v>
      </c>
      <c r="AL142" s="304">
        <v>0.39</v>
      </c>
      <c r="AM142" s="304">
        <v>0.39</v>
      </c>
      <c r="AN142" s="304">
        <v>0.39</v>
      </c>
      <c r="AO142" s="255"/>
      <c r="AP142" s="254">
        <f t="shared" ref="AP142:AP143" si="84">AC142*AO142</f>
        <v>0</v>
      </c>
      <c r="AQ142" s="255"/>
      <c r="AR142" s="254">
        <f t="shared" ref="AR142:AR143" si="85">AD142*AQ142</f>
        <v>0</v>
      </c>
      <c r="AS142" s="255"/>
      <c r="AT142" s="254">
        <f t="shared" ref="AT142:AT143" si="86">AE142*AS142</f>
        <v>0</v>
      </c>
      <c r="AU142" s="255"/>
      <c r="AV142" s="257">
        <f t="shared" ref="AV142:AV143" si="87">AF142*AU142</f>
        <v>0</v>
      </c>
      <c r="AW142" s="255"/>
      <c r="AX142" s="257">
        <f t="shared" ref="AX142:AX143" si="88">AG142*AW142</f>
        <v>0</v>
      </c>
      <c r="AY142" s="255"/>
      <c r="AZ142" s="257">
        <f t="shared" ref="AZ142:AZ143" si="89">AH142*AY142</f>
        <v>0</v>
      </c>
      <c r="BA142" s="363"/>
      <c r="BB142" s="257">
        <f t="shared" ref="BB142:BB143" si="90">AI142*BA142</f>
        <v>0</v>
      </c>
      <c r="BC142" s="255"/>
      <c r="BD142" s="257">
        <f t="shared" ref="BD142:BD143" si="91">AJ142*BC142</f>
        <v>0</v>
      </c>
      <c r="BE142" s="255"/>
      <c r="BF142" s="257">
        <f t="shared" ref="BF142:BF143" si="92">AK142*BE142</f>
        <v>0</v>
      </c>
      <c r="BG142" s="255"/>
      <c r="BH142" s="257">
        <f t="shared" ref="BH142:BH143" si="93">AL142*BG142</f>
        <v>0</v>
      </c>
      <c r="BI142" s="255">
        <v>1152</v>
      </c>
      <c r="BJ142" s="257">
        <f t="shared" ref="BJ142:BJ143" si="94">AM142*BI142</f>
        <v>449.28000000000003</v>
      </c>
      <c r="BK142" s="255">
        <v>576</v>
      </c>
      <c r="BL142" s="257">
        <f t="shared" ref="BL142:BL143" si="95">AN142*BK142</f>
        <v>224.64000000000001</v>
      </c>
      <c r="BO142" s="1" t="s">
        <v>408</v>
      </c>
    </row>
    <row r="143" spans="1:67" ht="15.75" customHeight="1">
      <c r="A143" s="250" t="s">
        <v>330</v>
      </c>
      <c r="C143" s="354"/>
      <c r="D143" s="412"/>
      <c r="E143" s="415"/>
      <c r="F143" s="417"/>
      <c r="G143" s="317">
        <v>2023</v>
      </c>
      <c r="H143" s="345" t="s">
        <v>307</v>
      </c>
      <c r="I143" s="346" t="s">
        <v>220</v>
      </c>
      <c r="J143" s="347" t="s">
        <v>308</v>
      </c>
      <c r="K143" s="348" t="s">
        <v>308</v>
      </c>
      <c r="L143" s="345" t="s">
        <v>185</v>
      </c>
      <c r="M143" s="303" t="s">
        <v>218</v>
      </c>
      <c r="N143" s="303">
        <v>32.35</v>
      </c>
      <c r="O143" s="303">
        <v>32.74</v>
      </c>
      <c r="P143" s="303">
        <v>32.74</v>
      </c>
      <c r="Q143" s="303">
        <v>32.74</v>
      </c>
      <c r="R143" s="303">
        <v>32.74</v>
      </c>
      <c r="S143" s="303">
        <v>32.74</v>
      </c>
      <c r="T143" s="303">
        <v>32.74</v>
      </c>
      <c r="U143" s="303">
        <v>32.74</v>
      </c>
      <c r="V143" s="303">
        <v>32.74</v>
      </c>
      <c r="W143" s="303">
        <v>32.74</v>
      </c>
      <c r="X143" s="303">
        <v>32.74</v>
      </c>
      <c r="Y143" s="303">
        <v>32.74</v>
      </c>
      <c r="Z143" s="303">
        <v>32.74</v>
      </c>
      <c r="AA143" s="303">
        <v>32.74</v>
      </c>
      <c r="AB143" s="304">
        <v>0.39</v>
      </c>
      <c r="AC143" s="304">
        <v>0.39</v>
      </c>
      <c r="AD143" s="304">
        <v>0.39</v>
      </c>
      <c r="AE143" s="304">
        <v>0.39</v>
      </c>
      <c r="AF143" s="304">
        <v>0.39</v>
      </c>
      <c r="AG143" s="304">
        <v>0.39</v>
      </c>
      <c r="AH143" s="304">
        <v>0.39</v>
      </c>
      <c r="AI143" s="304">
        <v>0.39</v>
      </c>
      <c r="AJ143" s="304">
        <v>0.39</v>
      </c>
      <c r="AK143" s="304">
        <v>0.39</v>
      </c>
      <c r="AL143" s="304">
        <v>0.39</v>
      </c>
      <c r="AM143" s="304">
        <v>0.39</v>
      </c>
      <c r="AN143" s="304">
        <v>0.39</v>
      </c>
      <c r="AO143" s="255"/>
      <c r="AP143" s="254">
        <f t="shared" si="84"/>
        <v>0</v>
      </c>
      <c r="AQ143" s="255"/>
      <c r="AR143" s="254">
        <f t="shared" si="85"/>
        <v>0</v>
      </c>
      <c r="AS143" s="255"/>
      <c r="AT143" s="254">
        <f t="shared" si="86"/>
        <v>0</v>
      </c>
      <c r="AU143" s="255"/>
      <c r="AV143" s="257">
        <f t="shared" si="87"/>
        <v>0</v>
      </c>
      <c r="AW143" s="255"/>
      <c r="AX143" s="257">
        <f t="shared" si="88"/>
        <v>0</v>
      </c>
      <c r="AY143" s="255"/>
      <c r="AZ143" s="257">
        <f t="shared" si="89"/>
        <v>0</v>
      </c>
      <c r="BA143" s="363"/>
      <c r="BB143" s="257">
        <f t="shared" si="90"/>
        <v>0</v>
      </c>
      <c r="BC143" s="255">
        <v>1152</v>
      </c>
      <c r="BD143" s="257">
        <f t="shared" si="91"/>
        <v>449.28000000000003</v>
      </c>
      <c r="BE143" s="255"/>
      <c r="BF143" s="257">
        <f t="shared" si="92"/>
        <v>0</v>
      </c>
      <c r="BG143" s="255"/>
      <c r="BH143" s="257">
        <f t="shared" si="93"/>
        <v>0</v>
      </c>
      <c r="BI143" s="255">
        <v>1152</v>
      </c>
      <c r="BJ143" s="257">
        <f t="shared" si="94"/>
        <v>449.28000000000003</v>
      </c>
      <c r="BK143" s="255">
        <v>1152</v>
      </c>
      <c r="BL143" s="257">
        <f t="shared" si="95"/>
        <v>449.28000000000003</v>
      </c>
      <c r="BO143" s="1" t="s">
        <v>409</v>
      </c>
    </row>
    <row r="144" spans="1:67" ht="15.75" customHeight="1">
      <c r="A144" s="250" t="s">
        <v>330</v>
      </c>
      <c r="C144" s="354"/>
      <c r="D144" s="412"/>
      <c r="E144" s="415"/>
      <c r="F144" s="417"/>
      <c r="G144" s="317">
        <v>2024</v>
      </c>
      <c r="H144" s="349" t="s">
        <v>410</v>
      </c>
      <c r="I144" s="346" t="s">
        <v>190</v>
      </c>
      <c r="J144" s="347" t="s">
        <v>308</v>
      </c>
      <c r="K144" s="348" t="s">
        <v>308</v>
      </c>
      <c r="L144" s="345" t="s">
        <v>185</v>
      </c>
      <c r="M144" s="303" t="s">
        <v>218</v>
      </c>
      <c r="N144" s="303">
        <v>48.99</v>
      </c>
      <c r="O144" s="303">
        <v>50.27</v>
      </c>
      <c r="P144" s="303">
        <v>50.27</v>
      </c>
      <c r="Q144" s="303">
        <v>50.27</v>
      </c>
      <c r="R144" s="303">
        <v>50.27</v>
      </c>
      <c r="S144" s="303">
        <v>50.27</v>
      </c>
      <c r="T144" s="303">
        <v>50.27</v>
      </c>
      <c r="U144" s="303">
        <v>50.27</v>
      </c>
      <c r="V144" s="303">
        <v>50.27</v>
      </c>
      <c r="W144" s="303">
        <v>50.27</v>
      </c>
      <c r="X144" s="303">
        <v>50.27</v>
      </c>
      <c r="Y144" s="303">
        <v>50.27</v>
      </c>
      <c r="Z144" s="303">
        <v>50.27</v>
      </c>
      <c r="AA144" s="303">
        <v>50.27</v>
      </c>
      <c r="AB144" s="362">
        <v>0.04</v>
      </c>
      <c r="AC144" s="362">
        <v>0.04</v>
      </c>
      <c r="AD144" s="362">
        <v>0.04</v>
      </c>
      <c r="AE144" s="362">
        <v>0.04</v>
      </c>
      <c r="AF144" s="362">
        <v>0.04</v>
      </c>
      <c r="AG144" s="362">
        <v>0.04</v>
      </c>
      <c r="AH144" s="362">
        <v>0.04</v>
      </c>
      <c r="AI144" s="362">
        <v>0.04</v>
      </c>
      <c r="AJ144" s="362">
        <v>0.04</v>
      </c>
      <c r="AK144" s="362">
        <v>0.04</v>
      </c>
      <c r="AL144" s="362">
        <v>0.04</v>
      </c>
      <c r="AM144" s="362">
        <v>0.04</v>
      </c>
      <c r="AN144" s="362">
        <v>0.04</v>
      </c>
      <c r="AO144" s="255"/>
      <c r="AP144" s="254">
        <f t="shared" ref="AP144" si="96">AC144*AO144</f>
        <v>0</v>
      </c>
      <c r="AQ144" s="255"/>
      <c r="AR144" s="254">
        <f t="shared" ref="AR144" si="97">AD144*AQ144</f>
        <v>0</v>
      </c>
      <c r="AS144" s="255"/>
      <c r="AT144" s="254">
        <f t="shared" ref="AT144" si="98">AE144*AS144</f>
        <v>0</v>
      </c>
      <c r="AU144" s="256"/>
      <c r="AV144" s="257">
        <f t="shared" ref="AV144" si="99">AF144*AU144</f>
        <v>0</v>
      </c>
      <c r="AW144" s="270"/>
      <c r="AX144" s="257">
        <f t="shared" ref="AX144" si="100">AG144*AW144</f>
        <v>0</v>
      </c>
      <c r="AY144" s="270">
        <v>1152</v>
      </c>
      <c r="AZ144" s="257">
        <f t="shared" ref="AZ144" si="101">AH144*AY144</f>
        <v>46.08</v>
      </c>
      <c r="BA144" s="364">
        <v>1821</v>
      </c>
      <c r="BB144" s="257">
        <f t="shared" ref="BB144" si="102">AI144*BA144</f>
        <v>72.84</v>
      </c>
      <c r="BC144" s="268"/>
      <c r="BD144" s="257">
        <f t="shared" ref="BD144" si="103">AJ144*BC144</f>
        <v>0</v>
      </c>
      <c r="BE144" s="59"/>
      <c r="BF144" s="257">
        <f t="shared" ref="BF144" si="104">AK144*BE144</f>
        <v>0</v>
      </c>
      <c r="BG144" s="59"/>
      <c r="BH144" s="257">
        <f t="shared" ref="BH144" si="105">AL144*BG144</f>
        <v>0</v>
      </c>
      <c r="BI144" s="59"/>
      <c r="BJ144" s="257">
        <f t="shared" ref="BJ144" si="106">AM144*BI144</f>
        <v>0</v>
      </c>
      <c r="BK144" s="59"/>
      <c r="BL144" s="257">
        <f t="shared" ref="BL144" si="107">AN144*BK144</f>
        <v>0</v>
      </c>
      <c r="BO144" s="1" t="s">
        <v>406</v>
      </c>
    </row>
    <row r="145" spans="1:67" s="14" customFormat="1" ht="14.85" customHeight="1">
      <c r="A145" s="250" t="s">
        <v>330</v>
      </c>
      <c r="B145" s="60"/>
      <c r="C145" s="355"/>
      <c r="D145" s="412"/>
      <c r="E145" s="415"/>
      <c r="F145" s="417"/>
      <c r="G145" s="317">
        <v>2024</v>
      </c>
      <c r="H145" s="349" t="s">
        <v>410</v>
      </c>
      <c r="I145" s="346" t="s">
        <v>190</v>
      </c>
      <c r="J145" s="347" t="s">
        <v>308</v>
      </c>
      <c r="K145" s="348" t="s">
        <v>308</v>
      </c>
      <c r="L145" s="345" t="s">
        <v>185</v>
      </c>
      <c r="M145" s="303" t="s">
        <v>218</v>
      </c>
      <c r="N145" s="303">
        <v>48.99</v>
      </c>
      <c r="O145" s="303">
        <v>50.27</v>
      </c>
      <c r="P145" s="303">
        <v>50.27</v>
      </c>
      <c r="Q145" s="303">
        <v>50.27</v>
      </c>
      <c r="R145" s="303">
        <v>50.27</v>
      </c>
      <c r="S145" s="303">
        <v>50.27</v>
      </c>
      <c r="T145" s="303">
        <v>50.27</v>
      </c>
      <c r="U145" s="303">
        <v>50.27</v>
      </c>
      <c r="V145" s="303">
        <v>50.27</v>
      </c>
      <c r="W145" s="303">
        <v>50.27</v>
      </c>
      <c r="X145" s="303">
        <v>50.27</v>
      </c>
      <c r="Y145" s="303">
        <v>50.27</v>
      </c>
      <c r="Z145" s="303">
        <v>50.27</v>
      </c>
      <c r="AA145" s="303">
        <v>50.27</v>
      </c>
      <c r="AB145" s="362">
        <v>0.04</v>
      </c>
      <c r="AC145" s="362">
        <v>0.04</v>
      </c>
      <c r="AD145" s="362">
        <v>0.04</v>
      </c>
      <c r="AE145" s="362">
        <v>0.04</v>
      </c>
      <c r="AF145" s="362">
        <v>0.04</v>
      </c>
      <c r="AG145" s="362">
        <v>0.04</v>
      </c>
      <c r="AH145" s="362">
        <v>0.04</v>
      </c>
      <c r="AI145" s="362">
        <v>0.04</v>
      </c>
      <c r="AJ145" s="362">
        <v>0.04</v>
      </c>
      <c r="AK145" s="362">
        <v>0.04</v>
      </c>
      <c r="AL145" s="362">
        <v>0.04</v>
      </c>
      <c r="AM145" s="362">
        <v>0.04</v>
      </c>
      <c r="AN145" s="362">
        <v>0.04</v>
      </c>
      <c r="AO145" s="255"/>
      <c r="AP145" s="254">
        <f t="shared" ref="AP145:AP146" si="108">AC145*AO145</f>
        <v>0</v>
      </c>
      <c r="AQ145" s="255"/>
      <c r="AR145" s="254">
        <f t="shared" ref="AR145:AR146" si="109">AD145*AQ145</f>
        <v>0</v>
      </c>
      <c r="AS145" s="255"/>
      <c r="AT145" s="254">
        <f t="shared" ref="AT145:AT146" si="110">AE145*AS145</f>
        <v>0</v>
      </c>
      <c r="AU145" s="256"/>
      <c r="AV145" s="257">
        <f t="shared" ref="AV145:AV146" si="111">AF145*AU145</f>
        <v>0</v>
      </c>
      <c r="AW145" s="270"/>
      <c r="AX145" s="257">
        <f t="shared" ref="AX145:AX146" si="112">AG145*AW145</f>
        <v>0</v>
      </c>
      <c r="AY145" s="270"/>
      <c r="AZ145" s="257">
        <f t="shared" ref="AZ145:AZ146" si="113">AH145*AY145</f>
        <v>0</v>
      </c>
      <c r="BA145" s="59"/>
      <c r="BB145" s="257">
        <f t="shared" ref="BB145:BB146" si="114">AI145*BA145</f>
        <v>0</v>
      </c>
      <c r="BC145" s="268">
        <v>2304</v>
      </c>
      <c r="BD145" s="257">
        <f t="shared" ref="BD145:BD146" si="115">AJ145*BC145</f>
        <v>92.16</v>
      </c>
      <c r="BE145" s="256">
        <v>3456</v>
      </c>
      <c r="BF145" s="257">
        <f t="shared" ref="BF145:BF146" si="116">AK145*BE145</f>
        <v>138.24</v>
      </c>
      <c r="BG145" s="59">
        <v>4608</v>
      </c>
      <c r="BH145" s="257">
        <f t="shared" ref="BH145:BH146" si="117">AL145*BG145</f>
        <v>184.32</v>
      </c>
      <c r="BI145" s="59">
        <v>192</v>
      </c>
      <c r="BJ145" s="257">
        <f t="shared" ref="BJ145:BJ146" si="118">AM145*BI145</f>
        <v>7.68</v>
      </c>
      <c r="BK145" s="59">
        <v>192</v>
      </c>
      <c r="BL145" s="257">
        <f t="shared" ref="BL145:BL146" si="119">AN145*BK145</f>
        <v>7.68</v>
      </c>
      <c r="BO145" s="1" t="s">
        <v>408</v>
      </c>
    </row>
    <row r="146" spans="1:67" s="14" customFormat="1" ht="15.75" customHeight="1">
      <c r="A146" s="250" t="s">
        <v>330</v>
      </c>
      <c r="B146" s="60"/>
      <c r="C146" s="355"/>
      <c r="D146" s="412"/>
      <c r="E146" s="415"/>
      <c r="F146" s="417"/>
      <c r="G146" s="317">
        <v>2024</v>
      </c>
      <c r="H146" s="349" t="s">
        <v>410</v>
      </c>
      <c r="I146" s="346" t="s">
        <v>190</v>
      </c>
      <c r="J146" s="347" t="s">
        <v>308</v>
      </c>
      <c r="K146" s="348" t="s">
        <v>308</v>
      </c>
      <c r="L146" s="345" t="s">
        <v>185</v>
      </c>
      <c r="M146" s="303" t="s">
        <v>218</v>
      </c>
      <c r="N146" s="303">
        <v>48.99</v>
      </c>
      <c r="O146" s="303">
        <v>50.27</v>
      </c>
      <c r="P146" s="303">
        <v>50.27</v>
      </c>
      <c r="Q146" s="303">
        <v>50.27</v>
      </c>
      <c r="R146" s="303">
        <v>50.27</v>
      </c>
      <c r="S146" s="303">
        <v>50.27</v>
      </c>
      <c r="T146" s="303">
        <v>50.27</v>
      </c>
      <c r="U146" s="303">
        <v>50.27</v>
      </c>
      <c r="V146" s="303">
        <v>50.27</v>
      </c>
      <c r="W146" s="303">
        <v>50.27</v>
      </c>
      <c r="X146" s="303">
        <v>50.27</v>
      </c>
      <c r="Y146" s="303">
        <v>50.27</v>
      </c>
      <c r="Z146" s="303">
        <v>50.27</v>
      </c>
      <c r="AA146" s="303">
        <v>50.27</v>
      </c>
      <c r="AB146" s="362">
        <v>0.04</v>
      </c>
      <c r="AC146" s="362">
        <v>0.04</v>
      </c>
      <c r="AD146" s="362">
        <v>0.04</v>
      </c>
      <c r="AE146" s="362">
        <v>0.04</v>
      </c>
      <c r="AF146" s="362">
        <v>0.04</v>
      </c>
      <c r="AG146" s="362">
        <v>0.04</v>
      </c>
      <c r="AH146" s="362">
        <v>0.04</v>
      </c>
      <c r="AI146" s="362">
        <v>0.04</v>
      </c>
      <c r="AJ146" s="362">
        <v>0.04</v>
      </c>
      <c r="AK146" s="362">
        <v>0.04</v>
      </c>
      <c r="AL146" s="362">
        <v>0.04</v>
      </c>
      <c r="AM146" s="362">
        <v>0.04</v>
      </c>
      <c r="AN146" s="362">
        <v>0.04</v>
      </c>
      <c r="AO146" s="255"/>
      <c r="AP146" s="254">
        <f t="shared" si="108"/>
        <v>0</v>
      </c>
      <c r="AQ146" s="255"/>
      <c r="AR146" s="254">
        <f t="shared" si="109"/>
        <v>0</v>
      </c>
      <c r="AS146" s="255"/>
      <c r="AT146" s="254">
        <f t="shared" si="110"/>
        <v>0</v>
      </c>
      <c r="AU146" s="256"/>
      <c r="AV146" s="257">
        <f t="shared" si="111"/>
        <v>0</v>
      </c>
      <c r="AW146" s="270"/>
      <c r="AX146" s="257">
        <f t="shared" si="112"/>
        <v>0</v>
      </c>
      <c r="AY146" s="270"/>
      <c r="AZ146" s="257">
        <f t="shared" si="113"/>
        <v>0</v>
      </c>
      <c r="BA146" s="59"/>
      <c r="BB146" s="257">
        <f t="shared" si="114"/>
        <v>0</v>
      </c>
      <c r="BC146" s="268">
        <v>1152</v>
      </c>
      <c r="BD146" s="257">
        <f t="shared" si="115"/>
        <v>46.08</v>
      </c>
      <c r="BE146" s="256">
        <v>1728</v>
      </c>
      <c r="BF146" s="257">
        <f t="shared" si="116"/>
        <v>69.12</v>
      </c>
      <c r="BG146" s="59"/>
      <c r="BH146" s="257">
        <f t="shared" si="117"/>
        <v>0</v>
      </c>
      <c r="BI146" s="59"/>
      <c r="BJ146" s="257">
        <f t="shared" si="118"/>
        <v>0</v>
      </c>
      <c r="BK146" s="59"/>
      <c r="BL146" s="257">
        <f t="shared" si="119"/>
        <v>0</v>
      </c>
      <c r="BO146" s="1" t="s">
        <v>409</v>
      </c>
    </row>
    <row r="147" spans="1:67" ht="15" customHeight="1">
      <c r="A147" s="250" t="s">
        <v>330</v>
      </c>
      <c r="C147" s="354"/>
      <c r="D147" s="412"/>
      <c r="E147" s="415"/>
      <c r="F147" s="417"/>
      <c r="G147" s="321"/>
      <c r="H147" s="321"/>
      <c r="I147" s="321"/>
      <c r="J147" s="322"/>
      <c r="K147" s="321"/>
      <c r="L147" s="321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4"/>
      <c r="AD147" s="304"/>
      <c r="AE147" s="304"/>
      <c r="AF147" s="59"/>
      <c r="AG147" s="59"/>
      <c r="AH147" s="59"/>
      <c r="AI147" s="59"/>
      <c r="AJ147" s="59"/>
      <c r="AK147" s="59"/>
      <c r="AL147" s="59"/>
      <c r="AM147" s="59"/>
      <c r="AN147" s="59"/>
      <c r="AO147" s="255"/>
      <c r="AP147" s="254">
        <f t="shared" si="48"/>
        <v>0</v>
      </c>
      <c r="AQ147" s="255"/>
      <c r="AR147" s="254">
        <f t="shared" si="49"/>
        <v>0</v>
      </c>
      <c r="AS147" s="255"/>
      <c r="AT147" s="254">
        <f t="shared" si="50"/>
        <v>0</v>
      </c>
      <c r="AU147" s="256"/>
      <c r="AV147" s="257">
        <f t="shared" si="51"/>
        <v>0</v>
      </c>
      <c r="AW147" s="270"/>
      <c r="AX147" s="257">
        <f t="shared" si="52"/>
        <v>0</v>
      </c>
      <c r="AY147" s="270"/>
      <c r="AZ147" s="257">
        <f t="shared" si="53"/>
        <v>0</v>
      </c>
      <c r="BA147" s="59"/>
      <c r="BB147" s="257">
        <f t="shared" si="54"/>
        <v>0</v>
      </c>
      <c r="BC147" s="268"/>
      <c r="BD147" s="257">
        <f t="shared" si="55"/>
        <v>0</v>
      </c>
      <c r="BE147" s="59"/>
      <c r="BF147" s="257">
        <f t="shared" si="56"/>
        <v>0</v>
      </c>
      <c r="BG147" s="59"/>
      <c r="BH147" s="257">
        <f t="shared" si="57"/>
        <v>0</v>
      </c>
      <c r="BI147" s="59"/>
      <c r="BJ147" s="257">
        <f t="shared" si="58"/>
        <v>0</v>
      </c>
      <c r="BK147" s="59"/>
      <c r="BL147" s="257">
        <f t="shared" si="59"/>
        <v>0</v>
      </c>
    </row>
    <row r="148" spans="1:67" ht="15.75" customHeight="1" thickBot="1">
      <c r="A148" s="250" t="s">
        <v>330</v>
      </c>
      <c r="C148" s="354"/>
      <c r="D148" s="413"/>
      <c r="E148" s="416"/>
      <c r="F148" s="417"/>
      <c r="G148" s="321"/>
      <c r="H148" s="321"/>
      <c r="I148" s="321"/>
      <c r="J148" s="322"/>
      <c r="K148" s="321"/>
      <c r="L148" s="321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4"/>
      <c r="AD148" s="304"/>
      <c r="AE148" s="304"/>
      <c r="AF148" s="59"/>
      <c r="AG148" s="59"/>
      <c r="AH148" s="59"/>
      <c r="AI148" s="59"/>
      <c r="AJ148" s="59"/>
      <c r="AK148" s="59"/>
      <c r="AL148" s="59"/>
      <c r="AM148" s="59"/>
      <c r="AN148" s="59"/>
      <c r="AO148" s="255"/>
      <c r="AP148" s="254">
        <f t="shared" si="48"/>
        <v>0</v>
      </c>
      <c r="AQ148" s="255"/>
      <c r="AR148" s="254">
        <f t="shared" si="49"/>
        <v>0</v>
      </c>
      <c r="AS148" s="255"/>
      <c r="AT148" s="254">
        <f t="shared" si="50"/>
        <v>0</v>
      </c>
      <c r="AU148" s="256"/>
      <c r="AV148" s="257">
        <f t="shared" si="51"/>
        <v>0</v>
      </c>
      <c r="AW148" s="270"/>
      <c r="AX148" s="257">
        <f t="shared" si="52"/>
        <v>0</v>
      </c>
      <c r="AY148" s="270"/>
      <c r="AZ148" s="257">
        <f t="shared" si="53"/>
        <v>0</v>
      </c>
      <c r="BA148" s="59"/>
      <c r="BB148" s="257">
        <f t="shared" si="54"/>
        <v>0</v>
      </c>
      <c r="BC148" s="268"/>
      <c r="BD148" s="257">
        <f t="shared" si="55"/>
        <v>0</v>
      </c>
      <c r="BE148" s="59"/>
      <c r="BF148" s="257">
        <f t="shared" si="56"/>
        <v>0</v>
      </c>
      <c r="BG148" s="59"/>
      <c r="BH148" s="257">
        <f t="shared" si="57"/>
        <v>0</v>
      </c>
      <c r="BI148" s="59"/>
      <c r="BJ148" s="257">
        <f t="shared" si="58"/>
        <v>0</v>
      </c>
      <c r="BK148" s="59"/>
      <c r="BL148" s="257">
        <f t="shared" si="59"/>
        <v>0</v>
      </c>
    </row>
    <row r="149" spans="1:67" ht="15" customHeight="1">
      <c r="A149" s="250" t="s">
        <v>330</v>
      </c>
      <c r="B149" s="59" t="s">
        <v>221</v>
      </c>
      <c r="C149" s="354" t="s">
        <v>172</v>
      </c>
      <c r="D149" s="418" t="s">
        <v>411</v>
      </c>
      <c r="E149" s="281" t="s">
        <v>332</v>
      </c>
      <c r="F149" s="421" t="s">
        <v>412</v>
      </c>
      <c r="G149" s="317" t="s">
        <v>223</v>
      </c>
      <c r="H149" s="323" t="s">
        <v>413</v>
      </c>
      <c r="I149" s="324" t="s">
        <v>183</v>
      </c>
      <c r="J149" s="325" t="s">
        <v>225</v>
      </c>
      <c r="K149" s="323" t="s">
        <v>226</v>
      </c>
      <c r="L149" s="326" t="s">
        <v>177</v>
      </c>
      <c r="M149" s="303" t="s">
        <v>178</v>
      </c>
      <c r="N149" s="303">
        <v>10.9</v>
      </c>
      <c r="O149" s="303">
        <v>10.9</v>
      </c>
      <c r="P149" s="303">
        <v>11.9</v>
      </c>
      <c r="Q149" s="303">
        <v>11.9</v>
      </c>
      <c r="R149" s="303">
        <v>11.9</v>
      </c>
      <c r="S149" s="303">
        <v>11.9</v>
      </c>
      <c r="T149" s="303">
        <v>11.9</v>
      </c>
      <c r="U149" s="303">
        <v>11.9</v>
      </c>
      <c r="V149" s="303">
        <v>10.9</v>
      </c>
      <c r="W149" s="303">
        <v>10.9</v>
      </c>
      <c r="X149" s="303">
        <v>10.9</v>
      </c>
      <c r="Y149" s="303">
        <v>10.9</v>
      </c>
      <c r="Z149" s="303">
        <v>10.9</v>
      </c>
      <c r="AA149" s="303">
        <v>10.9</v>
      </c>
      <c r="AB149" s="304">
        <v>0</v>
      </c>
      <c r="AC149" s="304">
        <v>1</v>
      </c>
      <c r="AD149" s="304">
        <v>1</v>
      </c>
      <c r="AE149" s="304">
        <v>1</v>
      </c>
      <c r="AF149" s="304">
        <v>1</v>
      </c>
      <c r="AG149" s="304">
        <v>1</v>
      </c>
      <c r="AH149" s="304">
        <v>1</v>
      </c>
      <c r="AI149" s="304">
        <v>0</v>
      </c>
      <c r="AJ149" s="304">
        <v>0</v>
      </c>
      <c r="AK149" s="304">
        <v>0</v>
      </c>
      <c r="AL149" s="304">
        <v>0</v>
      </c>
      <c r="AM149" s="304">
        <v>0</v>
      </c>
      <c r="AN149" s="304">
        <v>0</v>
      </c>
      <c r="AO149" s="260">
        <v>80</v>
      </c>
      <c r="AP149" s="254">
        <f t="shared" si="48"/>
        <v>80</v>
      </c>
      <c r="AQ149" s="260">
        <v>480</v>
      </c>
      <c r="AR149" s="254">
        <f t="shared" si="49"/>
        <v>480</v>
      </c>
      <c r="AS149" s="260">
        <v>3840</v>
      </c>
      <c r="AT149" s="254">
        <f t="shared" si="50"/>
        <v>3840</v>
      </c>
      <c r="AU149" s="260">
        <v>17760</v>
      </c>
      <c r="AV149" s="257">
        <f t="shared" si="51"/>
        <v>17760</v>
      </c>
      <c r="AW149" s="260">
        <v>3880</v>
      </c>
      <c r="AX149" s="257">
        <f t="shared" si="52"/>
        <v>3880</v>
      </c>
      <c r="AY149" s="261">
        <v>600</v>
      </c>
      <c r="AZ149" s="257">
        <f t="shared" si="53"/>
        <v>600</v>
      </c>
      <c r="BA149" s="261">
        <v>7080</v>
      </c>
      <c r="BB149" s="257">
        <f t="shared" si="54"/>
        <v>0</v>
      </c>
      <c r="BC149" s="271">
        <v>12680</v>
      </c>
      <c r="BD149" s="257">
        <f t="shared" si="55"/>
        <v>0</v>
      </c>
      <c r="BE149" s="261">
        <v>13840</v>
      </c>
      <c r="BF149" s="257">
        <f t="shared" si="56"/>
        <v>0</v>
      </c>
      <c r="BG149" s="260">
        <v>1400</v>
      </c>
      <c r="BH149" s="257">
        <f t="shared" si="57"/>
        <v>0</v>
      </c>
      <c r="BI149" s="260">
        <v>120</v>
      </c>
      <c r="BJ149" s="257">
        <f t="shared" si="58"/>
        <v>0</v>
      </c>
      <c r="BK149" s="260"/>
      <c r="BL149" s="257">
        <f t="shared" si="59"/>
        <v>0</v>
      </c>
    </row>
    <row r="150" spans="1:67" ht="15.6">
      <c r="A150" s="250" t="s">
        <v>330</v>
      </c>
      <c r="B150" s="59" t="s">
        <v>221</v>
      </c>
      <c r="C150" s="354" t="s">
        <v>172</v>
      </c>
      <c r="D150" s="419"/>
      <c r="E150" s="281" t="s">
        <v>332</v>
      </c>
      <c r="F150" s="422"/>
      <c r="G150" s="317" t="s">
        <v>223</v>
      </c>
      <c r="H150" s="323" t="s">
        <v>413</v>
      </c>
      <c r="I150" s="327" t="s">
        <v>190</v>
      </c>
      <c r="J150" s="325" t="s">
        <v>225</v>
      </c>
      <c r="K150" s="323" t="s">
        <v>227</v>
      </c>
      <c r="L150" s="328" t="s">
        <v>177</v>
      </c>
      <c r="M150" s="303" t="s">
        <v>178</v>
      </c>
      <c r="N150" s="303">
        <v>3.3</v>
      </c>
      <c r="O150" s="303">
        <v>3.8</v>
      </c>
      <c r="P150" s="303">
        <v>4</v>
      </c>
      <c r="Q150" s="303">
        <v>4</v>
      </c>
      <c r="R150" s="303">
        <v>4</v>
      </c>
      <c r="S150" s="303">
        <v>4</v>
      </c>
      <c r="T150" s="303">
        <v>4</v>
      </c>
      <c r="U150" s="303">
        <v>4</v>
      </c>
      <c r="V150" s="303">
        <v>3.8</v>
      </c>
      <c r="W150" s="303">
        <v>3.8</v>
      </c>
      <c r="X150" s="303">
        <v>3.8</v>
      </c>
      <c r="Y150" s="303">
        <v>3.8</v>
      </c>
      <c r="Z150" s="303">
        <v>3.8</v>
      </c>
      <c r="AA150" s="303">
        <v>3.8</v>
      </c>
      <c r="AB150" s="304">
        <v>0.7</v>
      </c>
      <c r="AC150" s="304">
        <v>0.7</v>
      </c>
      <c r="AD150" s="304">
        <v>0.7</v>
      </c>
      <c r="AE150" s="304">
        <v>0.7</v>
      </c>
      <c r="AF150" s="304">
        <v>0.7</v>
      </c>
      <c r="AG150" s="304">
        <v>0.7</v>
      </c>
      <c r="AH150" s="304">
        <v>0.7</v>
      </c>
      <c r="AI150" s="304">
        <v>0.8</v>
      </c>
      <c r="AJ150" s="304">
        <v>0.8</v>
      </c>
      <c r="AK150" s="304">
        <v>0.8</v>
      </c>
      <c r="AL150" s="304">
        <v>0.8</v>
      </c>
      <c r="AM150" s="304">
        <v>0.8</v>
      </c>
      <c r="AN150" s="304">
        <v>0.8</v>
      </c>
      <c r="AO150" s="260">
        <v>4888</v>
      </c>
      <c r="AP150" s="254">
        <f t="shared" si="48"/>
        <v>3421.6</v>
      </c>
      <c r="AQ150" s="260">
        <v>7120</v>
      </c>
      <c r="AR150" s="254">
        <f t="shared" si="49"/>
        <v>4984</v>
      </c>
      <c r="AS150" s="260">
        <v>1177</v>
      </c>
      <c r="AT150" s="254">
        <f t="shared" si="50"/>
        <v>823.9</v>
      </c>
      <c r="AU150" s="260">
        <v>4960</v>
      </c>
      <c r="AV150" s="257">
        <f t="shared" si="51"/>
        <v>3472</v>
      </c>
      <c r="AW150" s="260">
        <v>9760</v>
      </c>
      <c r="AX150" s="257">
        <f t="shared" si="52"/>
        <v>6832</v>
      </c>
      <c r="AY150" s="261">
        <v>2840</v>
      </c>
      <c r="AZ150" s="257">
        <f t="shared" si="53"/>
        <v>1987.9999999999998</v>
      </c>
      <c r="BA150" s="261">
        <v>6997</v>
      </c>
      <c r="BB150" s="257">
        <f t="shared" si="54"/>
        <v>5597.6</v>
      </c>
      <c r="BC150" s="271">
        <v>3760</v>
      </c>
      <c r="BD150" s="257">
        <f t="shared" si="55"/>
        <v>3008</v>
      </c>
      <c r="BE150" s="261">
        <v>14240</v>
      </c>
      <c r="BF150" s="257">
        <f t="shared" si="56"/>
        <v>11392</v>
      </c>
      <c r="BG150" s="260">
        <v>4520</v>
      </c>
      <c r="BH150" s="257">
        <f t="shared" si="57"/>
        <v>3616</v>
      </c>
      <c r="BI150" s="260">
        <v>1320</v>
      </c>
      <c r="BJ150" s="257">
        <f t="shared" si="58"/>
        <v>1056</v>
      </c>
      <c r="BK150" s="261">
        <v>1040</v>
      </c>
      <c r="BL150" s="257">
        <f t="shared" si="59"/>
        <v>832</v>
      </c>
    </row>
    <row r="151" spans="1:67" ht="15.6">
      <c r="A151" s="250" t="s">
        <v>330</v>
      </c>
      <c r="B151" s="59" t="s">
        <v>221</v>
      </c>
      <c r="C151" s="354" t="s">
        <v>172</v>
      </c>
      <c r="D151" s="419"/>
      <c r="E151" s="281" t="s">
        <v>332</v>
      </c>
      <c r="F151" s="422"/>
      <c r="G151" s="351" t="s">
        <v>228</v>
      </c>
      <c r="H151" s="323" t="s">
        <v>414</v>
      </c>
      <c r="I151" s="324" t="s">
        <v>190</v>
      </c>
      <c r="J151" s="325" t="s">
        <v>230</v>
      </c>
      <c r="K151" s="329" t="s">
        <v>227</v>
      </c>
      <c r="L151" s="323" t="s">
        <v>185</v>
      </c>
      <c r="M151" s="303" t="s">
        <v>186</v>
      </c>
      <c r="N151" s="303">
        <v>3.5</v>
      </c>
      <c r="O151" s="303">
        <v>3.9</v>
      </c>
      <c r="P151" s="303">
        <v>4.2</v>
      </c>
      <c r="Q151" s="303">
        <v>4.2</v>
      </c>
      <c r="R151" s="303">
        <v>4.2</v>
      </c>
      <c r="S151" s="303">
        <v>4.2</v>
      </c>
      <c r="T151" s="303">
        <v>4.2</v>
      </c>
      <c r="U151" s="303">
        <v>4.2</v>
      </c>
      <c r="V151" s="303">
        <v>3.9</v>
      </c>
      <c r="W151" s="303">
        <v>3.9</v>
      </c>
      <c r="X151" s="303">
        <v>3.9</v>
      </c>
      <c r="Y151" s="303">
        <v>3.9</v>
      </c>
      <c r="Z151" s="303">
        <v>3.9</v>
      </c>
      <c r="AA151" s="303">
        <v>3.9</v>
      </c>
      <c r="AB151" s="304">
        <v>0.7</v>
      </c>
      <c r="AC151" s="304">
        <v>0.7</v>
      </c>
      <c r="AD151" s="304">
        <v>0.7</v>
      </c>
      <c r="AE151" s="304">
        <v>0.7</v>
      </c>
      <c r="AF151" s="304">
        <v>0.7</v>
      </c>
      <c r="AG151" s="304">
        <v>0.7</v>
      </c>
      <c r="AH151" s="304">
        <v>0.7</v>
      </c>
      <c r="AI151" s="304">
        <v>1</v>
      </c>
      <c r="AJ151" s="304">
        <v>1</v>
      </c>
      <c r="AK151" s="304">
        <v>1</v>
      </c>
      <c r="AL151" s="304">
        <v>1</v>
      </c>
      <c r="AM151" s="304">
        <v>1</v>
      </c>
      <c r="AN151" s="304">
        <v>1</v>
      </c>
      <c r="AO151" s="260">
        <v>34280</v>
      </c>
      <c r="AP151" s="254">
        <f t="shared" si="48"/>
        <v>23996</v>
      </c>
      <c r="AQ151" s="260">
        <v>69760</v>
      </c>
      <c r="AR151" s="254">
        <f t="shared" si="49"/>
        <v>48832</v>
      </c>
      <c r="AS151" s="261">
        <v>40800</v>
      </c>
      <c r="AT151" s="254">
        <f t="shared" si="50"/>
        <v>28560</v>
      </c>
      <c r="AU151" s="261">
        <v>35120</v>
      </c>
      <c r="AV151" s="257">
        <f t="shared" si="51"/>
        <v>24584</v>
      </c>
      <c r="AW151" s="261">
        <v>32260</v>
      </c>
      <c r="AX151" s="257">
        <f t="shared" si="52"/>
        <v>22582</v>
      </c>
      <c r="AY151" s="261">
        <v>17757</v>
      </c>
      <c r="AZ151" s="257">
        <f t="shared" si="53"/>
        <v>12429.9</v>
      </c>
      <c r="BA151" s="261">
        <v>31746</v>
      </c>
      <c r="BB151" s="257">
        <f t="shared" si="54"/>
        <v>31746</v>
      </c>
      <c r="BC151" s="271">
        <v>45957</v>
      </c>
      <c r="BD151" s="257">
        <f t="shared" si="55"/>
        <v>45957</v>
      </c>
      <c r="BE151" s="261">
        <v>28613</v>
      </c>
      <c r="BF151" s="257">
        <f t="shared" si="56"/>
        <v>28613</v>
      </c>
      <c r="BG151" s="260">
        <v>22256</v>
      </c>
      <c r="BH151" s="257">
        <f t="shared" si="57"/>
        <v>22256</v>
      </c>
      <c r="BI151" s="260">
        <v>24348</v>
      </c>
      <c r="BJ151" s="257">
        <f t="shared" si="58"/>
        <v>24348</v>
      </c>
      <c r="BK151" s="261">
        <v>21895</v>
      </c>
      <c r="BL151" s="257">
        <f t="shared" si="59"/>
        <v>21895</v>
      </c>
    </row>
    <row r="152" spans="1:67" ht="15.6">
      <c r="A152" s="250" t="s">
        <v>330</v>
      </c>
      <c r="B152" s="59" t="s">
        <v>221</v>
      </c>
      <c r="C152" s="354" t="s">
        <v>172</v>
      </c>
      <c r="D152" s="419"/>
      <c r="E152" s="281" t="s">
        <v>332</v>
      </c>
      <c r="F152" s="422"/>
      <c r="G152" s="351" t="s">
        <v>228</v>
      </c>
      <c r="H152" s="323" t="s">
        <v>414</v>
      </c>
      <c r="I152" s="324" t="s">
        <v>190</v>
      </c>
      <c r="J152" s="325" t="s">
        <v>230</v>
      </c>
      <c r="K152" s="323" t="s">
        <v>208</v>
      </c>
      <c r="L152" s="59" t="s">
        <v>185</v>
      </c>
      <c r="M152" s="303" t="s">
        <v>186</v>
      </c>
      <c r="N152" s="303">
        <v>5</v>
      </c>
      <c r="O152" s="303">
        <v>6.2</v>
      </c>
      <c r="P152" s="303">
        <v>6.2</v>
      </c>
      <c r="Q152" s="303">
        <v>6.2</v>
      </c>
      <c r="R152" s="303">
        <v>6.2</v>
      </c>
      <c r="S152" s="303">
        <v>6.2</v>
      </c>
      <c r="T152" s="303">
        <v>6.2</v>
      </c>
      <c r="U152" s="303">
        <v>6.2</v>
      </c>
      <c r="V152" s="303">
        <v>6.2</v>
      </c>
      <c r="W152" s="303">
        <v>6.2</v>
      </c>
      <c r="X152" s="303">
        <v>6.2</v>
      </c>
      <c r="Y152" s="303">
        <v>6.2</v>
      </c>
      <c r="Z152" s="303">
        <v>6.2</v>
      </c>
      <c r="AA152" s="303">
        <v>6.2</v>
      </c>
      <c r="AB152" s="304">
        <v>1.2</v>
      </c>
      <c r="AC152" s="304">
        <v>1.2</v>
      </c>
      <c r="AD152" s="304">
        <v>1.2</v>
      </c>
      <c r="AE152" s="304">
        <v>1.2</v>
      </c>
      <c r="AF152" s="304">
        <v>1.2</v>
      </c>
      <c r="AG152" s="304">
        <v>1.2</v>
      </c>
      <c r="AH152" s="304">
        <v>1.2</v>
      </c>
      <c r="AI152" s="304">
        <v>1.2</v>
      </c>
      <c r="AJ152" s="304">
        <v>1.2</v>
      </c>
      <c r="AK152" s="304">
        <v>1.2</v>
      </c>
      <c r="AL152" s="304">
        <v>1.2</v>
      </c>
      <c r="AM152" s="304">
        <v>1.2</v>
      </c>
      <c r="AN152" s="304">
        <v>1.2</v>
      </c>
      <c r="AO152" s="260">
        <v>40</v>
      </c>
      <c r="AP152" s="254">
        <f t="shared" si="48"/>
        <v>48</v>
      </c>
      <c r="AQ152" s="262"/>
      <c r="AR152" s="254">
        <f t="shared" si="49"/>
        <v>0</v>
      </c>
      <c r="AS152" s="261"/>
      <c r="AT152" s="254">
        <f t="shared" si="50"/>
        <v>0</v>
      </c>
      <c r="AU152" s="256"/>
      <c r="AV152" s="257">
        <f t="shared" si="51"/>
        <v>0</v>
      </c>
      <c r="AW152" s="260"/>
      <c r="AX152" s="257">
        <f t="shared" si="52"/>
        <v>0</v>
      </c>
      <c r="AY152" s="271"/>
      <c r="AZ152" s="257">
        <f t="shared" si="53"/>
        <v>0</v>
      </c>
      <c r="BA152" s="260"/>
      <c r="BB152" s="257">
        <f t="shared" si="54"/>
        <v>0</v>
      </c>
      <c r="BC152" s="260"/>
      <c r="BD152" s="257">
        <f t="shared" si="55"/>
        <v>0</v>
      </c>
      <c r="BE152" s="261"/>
      <c r="BF152" s="257">
        <f t="shared" si="56"/>
        <v>0</v>
      </c>
      <c r="BG152" s="260"/>
      <c r="BH152" s="257">
        <f t="shared" si="57"/>
        <v>0</v>
      </c>
      <c r="BI152" s="262"/>
      <c r="BJ152" s="257">
        <f t="shared" si="58"/>
        <v>0</v>
      </c>
      <c r="BK152" s="261"/>
      <c r="BL152" s="257">
        <f t="shared" si="59"/>
        <v>0</v>
      </c>
    </row>
    <row r="153" spans="1:67" ht="15.6">
      <c r="A153" s="250" t="s">
        <v>330</v>
      </c>
      <c r="B153" s="59" t="s">
        <v>221</v>
      </c>
      <c r="C153" s="354" t="s">
        <v>172</v>
      </c>
      <c r="D153" s="419"/>
      <c r="E153" s="281" t="s">
        <v>332</v>
      </c>
      <c r="F153" s="422"/>
      <c r="G153" s="351" t="s">
        <v>236</v>
      </c>
      <c r="H153" s="323" t="s">
        <v>237</v>
      </c>
      <c r="I153" s="324" t="s">
        <v>183</v>
      </c>
      <c r="J153" s="325" t="s">
        <v>238</v>
      </c>
      <c r="K153" s="323" t="s">
        <v>234</v>
      </c>
      <c r="L153" s="323" t="s">
        <v>177</v>
      </c>
      <c r="M153" s="303" t="s">
        <v>178</v>
      </c>
      <c r="N153" s="303">
        <v>9</v>
      </c>
      <c r="O153" s="303">
        <v>13.5</v>
      </c>
      <c r="P153" s="303">
        <v>15.2</v>
      </c>
      <c r="Q153" s="303">
        <v>15.2</v>
      </c>
      <c r="R153" s="303">
        <v>15.2</v>
      </c>
      <c r="S153" s="303">
        <v>15.2</v>
      </c>
      <c r="T153" s="303">
        <v>15.2</v>
      </c>
      <c r="U153" s="303">
        <v>15.2</v>
      </c>
      <c r="V153" s="303">
        <v>13.5</v>
      </c>
      <c r="W153" s="303">
        <v>13.5</v>
      </c>
      <c r="X153" s="303">
        <v>13.5</v>
      </c>
      <c r="Y153" s="303">
        <v>13.5</v>
      </c>
      <c r="Z153" s="303">
        <v>13.5</v>
      </c>
      <c r="AA153" s="303">
        <v>13.5</v>
      </c>
      <c r="AB153" s="304">
        <v>2.6</v>
      </c>
      <c r="AC153" s="304">
        <v>4</v>
      </c>
      <c r="AD153" s="304">
        <v>4</v>
      </c>
      <c r="AE153" s="304">
        <v>4</v>
      </c>
      <c r="AF153" s="304">
        <v>4</v>
      </c>
      <c r="AG153" s="304">
        <v>4</v>
      </c>
      <c r="AH153" s="304">
        <v>4</v>
      </c>
      <c r="AI153" s="304">
        <v>2.6</v>
      </c>
      <c r="AJ153" s="304">
        <v>2.6</v>
      </c>
      <c r="AK153" s="304">
        <v>2.6</v>
      </c>
      <c r="AL153" s="304">
        <v>2.6</v>
      </c>
      <c r="AM153" s="304">
        <v>2.6</v>
      </c>
      <c r="AN153" s="304">
        <v>2.6</v>
      </c>
      <c r="AO153" s="260"/>
      <c r="AP153" s="254">
        <f t="shared" si="48"/>
        <v>0</v>
      </c>
      <c r="AQ153" s="260"/>
      <c r="AR153" s="254">
        <f t="shared" si="49"/>
        <v>0</v>
      </c>
      <c r="AS153" s="261"/>
      <c r="AT153" s="254">
        <f t="shared" si="50"/>
        <v>0</v>
      </c>
      <c r="AU153" s="256"/>
      <c r="AV153" s="257">
        <f t="shared" si="51"/>
        <v>0</v>
      </c>
      <c r="AW153" s="260"/>
      <c r="AX153" s="257">
        <f t="shared" si="52"/>
        <v>0</v>
      </c>
      <c r="AY153" s="271"/>
      <c r="AZ153" s="257">
        <f t="shared" si="53"/>
        <v>0</v>
      </c>
      <c r="BA153" s="260"/>
      <c r="BB153" s="257">
        <f t="shared" si="54"/>
        <v>0</v>
      </c>
      <c r="BC153" s="260"/>
      <c r="BD153" s="257">
        <f t="shared" si="55"/>
        <v>0</v>
      </c>
      <c r="BE153" s="261"/>
      <c r="BF153" s="257">
        <f t="shared" si="56"/>
        <v>0</v>
      </c>
      <c r="BG153" s="260"/>
      <c r="BH153" s="257">
        <f t="shared" si="57"/>
        <v>0</v>
      </c>
      <c r="BI153" s="260"/>
      <c r="BJ153" s="257">
        <f t="shared" si="58"/>
        <v>0</v>
      </c>
      <c r="BK153" s="261"/>
      <c r="BL153" s="257">
        <f t="shared" si="59"/>
        <v>0</v>
      </c>
    </row>
    <row r="154" spans="1:67" ht="15.6">
      <c r="A154" s="250" t="s">
        <v>330</v>
      </c>
      <c r="B154" s="59" t="s">
        <v>221</v>
      </c>
      <c r="C154" s="354" t="s">
        <v>172</v>
      </c>
      <c r="D154" s="419"/>
      <c r="E154" s="281" t="s">
        <v>332</v>
      </c>
      <c r="F154" s="422"/>
      <c r="G154" s="351" t="s">
        <v>236</v>
      </c>
      <c r="H154" s="323" t="s">
        <v>237</v>
      </c>
      <c r="I154" s="330" t="s">
        <v>190</v>
      </c>
      <c r="J154" s="325" t="s">
        <v>238</v>
      </c>
      <c r="K154" s="323" t="s">
        <v>234</v>
      </c>
      <c r="L154" s="323" t="s">
        <v>177</v>
      </c>
      <c r="M154" s="303" t="s">
        <v>178</v>
      </c>
      <c r="N154" s="303">
        <v>2.8</v>
      </c>
      <c r="O154" s="303">
        <v>4.4000000000000004</v>
      </c>
      <c r="P154" s="303">
        <v>4.4000000000000004</v>
      </c>
      <c r="Q154" s="303">
        <v>4.4000000000000004</v>
      </c>
      <c r="R154" s="303">
        <v>4.4000000000000004</v>
      </c>
      <c r="S154" s="303">
        <v>4.4000000000000004</v>
      </c>
      <c r="T154" s="303">
        <v>4.4000000000000004</v>
      </c>
      <c r="U154" s="303">
        <v>4.4000000000000004</v>
      </c>
      <c r="V154" s="303">
        <v>4.4000000000000004</v>
      </c>
      <c r="W154" s="303">
        <v>4.4000000000000004</v>
      </c>
      <c r="X154" s="303">
        <v>4.4000000000000004</v>
      </c>
      <c r="Y154" s="303">
        <v>4.4000000000000004</v>
      </c>
      <c r="Z154" s="303">
        <v>4.4000000000000004</v>
      </c>
      <c r="AA154" s="303">
        <v>4.4000000000000004</v>
      </c>
      <c r="AB154" s="304">
        <v>1</v>
      </c>
      <c r="AC154" s="304">
        <v>1</v>
      </c>
      <c r="AD154" s="304">
        <v>1</v>
      </c>
      <c r="AE154" s="304">
        <v>1</v>
      </c>
      <c r="AF154" s="304">
        <v>1</v>
      </c>
      <c r="AG154" s="304">
        <v>1</v>
      </c>
      <c r="AH154" s="304">
        <v>1</v>
      </c>
      <c r="AI154" s="304">
        <v>1.55</v>
      </c>
      <c r="AJ154" s="304">
        <v>1.55</v>
      </c>
      <c r="AK154" s="304">
        <v>1.55</v>
      </c>
      <c r="AL154" s="304">
        <v>1.55</v>
      </c>
      <c r="AM154" s="304">
        <v>1.55</v>
      </c>
      <c r="AN154" s="304">
        <v>1.55</v>
      </c>
      <c r="AO154" s="260"/>
      <c r="AP154" s="254">
        <f t="shared" si="48"/>
        <v>0</v>
      </c>
      <c r="AQ154" s="260"/>
      <c r="AR154" s="254">
        <f t="shared" si="49"/>
        <v>0</v>
      </c>
      <c r="AS154" s="261"/>
      <c r="AT154" s="254">
        <f t="shared" si="50"/>
        <v>0</v>
      </c>
      <c r="AU154" s="256"/>
      <c r="AV154" s="257">
        <f t="shared" si="51"/>
        <v>0</v>
      </c>
      <c r="AW154" s="260"/>
      <c r="AX154" s="257">
        <f t="shared" si="52"/>
        <v>0</v>
      </c>
      <c r="AY154" s="271"/>
      <c r="AZ154" s="257">
        <f t="shared" si="53"/>
        <v>0</v>
      </c>
      <c r="BA154" s="260"/>
      <c r="BB154" s="257">
        <f t="shared" si="54"/>
        <v>0</v>
      </c>
      <c r="BC154" s="260"/>
      <c r="BD154" s="257">
        <f t="shared" si="55"/>
        <v>0</v>
      </c>
      <c r="BE154" s="261"/>
      <c r="BF154" s="257">
        <f t="shared" si="56"/>
        <v>0</v>
      </c>
      <c r="BG154" s="260"/>
      <c r="BH154" s="257">
        <f t="shared" si="57"/>
        <v>0</v>
      </c>
      <c r="BI154" s="260"/>
      <c r="BJ154" s="257">
        <f t="shared" si="58"/>
        <v>0</v>
      </c>
      <c r="BK154" s="261"/>
      <c r="BL154" s="257">
        <f t="shared" si="59"/>
        <v>0</v>
      </c>
    </row>
    <row r="155" spans="1:67" ht="15.6">
      <c r="A155" s="250" t="s">
        <v>330</v>
      </c>
      <c r="B155" s="59" t="s">
        <v>221</v>
      </c>
      <c r="C155" s="354" t="s">
        <v>172</v>
      </c>
      <c r="D155" s="419"/>
      <c r="E155" s="281" t="s">
        <v>332</v>
      </c>
      <c r="F155" s="422"/>
      <c r="G155" s="351" t="s">
        <v>239</v>
      </c>
      <c r="H155" s="323" t="s">
        <v>240</v>
      </c>
      <c r="I155" s="330" t="s">
        <v>190</v>
      </c>
      <c r="J155" s="325" t="s">
        <v>241</v>
      </c>
      <c r="K155" s="323" t="s">
        <v>198</v>
      </c>
      <c r="L155" s="323" t="s">
        <v>177</v>
      </c>
      <c r="M155" s="303" t="s">
        <v>178</v>
      </c>
      <c r="N155" s="303">
        <v>2.8</v>
      </c>
      <c r="O155" s="303">
        <v>4.4000000000000004</v>
      </c>
      <c r="P155" s="303">
        <v>4.4000000000000004</v>
      </c>
      <c r="Q155" s="303">
        <v>4.4000000000000004</v>
      </c>
      <c r="R155" s="303">
        <v>4.4000000000000004</v>
      </c>
      <c r="S155" s="303">
        <v>4.4000000000000004</v>
      </c>
      <c r="T155" s="303">
        <v>4.4000000000000004</v>
      </c>
      <c r="U155" s="303">
        <v>4.4000000000000004</v>
      </c>
      <c r="V155" s="303">
        <v>4.4000000000000004</v>
      </c>
      <c r="W155" s="303">
        <v>4.4000000000000004</v>
      </c>
      <c r="X155" s="303">
        <v>4.4000000000000004</v>
      </c>
      <c r="Y155" s="303">
        <v>4.4000000000000004</v>
      </c>
      <c r="Z155" s="303">
        <v>4.4000000000000004</v>
      </c>
      <c r="AA155" s="303">
        <v>4.4000000000000004</v>
      </c>
      <c r="AB155" s="304">
        <v>1</v>
      </c>
      <c r="AC155" s="304">
        <v>1</v>
      </c>
      <c r="AD155" s="304">
        <v>1</v>
      </c>
      <c r="AE155" s="304">
        <v>1</v>
      </c>
      <c r="AF155" s="304">
        <v>1</v>
      </c>
      <c r="AG155" s="304">
        <v>1</v>
      </c>
      <c r="AH155" s="304">
        <v>1</v>
      </c>
      <c r="AI155" s="304">
        <v>1.55</v>
      </c>
      <c r="AJ155" s="304">
        <v>1.55</v>
      </c>
      <c r="AK155" s="304">
        <v>1.55</v>
      </c>
      <c r="AL155" s="304">
        <v>1.55</v>
      </c>
      <c r="AM155" s="304">
        <v>1.55</v>
      </c>
      <c r="AN155" s="304">
        <v>1.55</v>
      </c>
      <c r="AO155" s="260">
        <v>50</v>
      </c>
      <c r="AP155" s="254">
        <f t="shared" si="48"/>
        <v>50</v>
      </c>
      <c r="AQ155" s="260">
        <v>16</v>
      </c>
      <c r="AR155" s="254">
        <f t="shared" si="49"/>
        <v>16</v>
      </c>
      <c r="AS155" s="261"/>
      <c r="AT155" s="254">
        <f t="shared" si="50"/>
        <v>0</v>
      </c>
      <c r="AU155" s="256"/>
      <c r="AV155" s="257">
        <f t="shared" si="51"/>
        <v>0</v>
      </c>
      <c r="AW155" s="260"/>
      <c r="AX155" s="257">
        <f t="shared" si="52"/>
        <v>0</v>
      </c>
      <c r="AY155" s="271"/>
      <c r="AZ155" s="257">
        <f t="shared" si="53"/>
        <v>0</v>
      </c>
      <c r="BA155" s="260"/>
      <c r="BB155" s="257">
        <f t="shared" si="54"/>
        <v>0</v>
      </c>
      <c r="BC155" s="260"/>
      <c r="BD155" s="257">
        <f t="shared" si="55"/>
        <v>0</v>
      </c>
      <c r="BE155" s="261"/>
      <c r="BF155" s="257">
        <f t="shared" si="56"/>
        <v>0</v>
      </c>
      <c r="BG155" s="260"/>
      <c r="BH155" s="257">
        <f t="shared" si="57"/>
        <v>0</v>
      </c>
      <c r="BI155" s="260"/>
      <c r="BJ155" s="257">
        <f t="shared" si="58"/>
        <v>0</v>
      </c>
      <c r="BK155" s="261"/>
      <c r="BL155" s="257">
        <f t="shared" si="59"/>
        <v>0</v>
      </c>
    </row>
    <row r="156" spans="1:67" ht="15.6">
      <c r="A156" s="250" t="s">
        <v>330</v>
      </c>
      <c r="B156" s="59" t="s">
        <v>221</v>
      </c>
      <c r="C156" s="354" t="s">
        <v>172</v>
      </c>
      <c r="D156" s="419"/>
      <c r="E156" s="281" t="s">
        <v>332</v>
      </c>
      <c r="F156" s="422"/>
      <c r="G156" s="351" t="s">
        <v>239</v>
      </c>
      <c r="H156" s="323" t="s">
        <v>240</v>
      </c>
      <c r="I156" s="330" t="s">
        <v>190</v>
      </c>
      <c r="J156" s="325" t="s">
        <v>241</v>
      </c>
      <c r="K156" s="323" t="s">
        <v>242</v>
      </c>
      <c r="L156" s="323" t="s">
        <v>177</v>
      </c>
      <c r="M156" s="303" t="s">
        <v>178</v>
      </c>
      <c r="N156" s="303">
        <v>2.8</v>
      </c>
      <c r="O156" s="303">
        <v>4.4000000000000004</v>
      </c>
      <c r="P156" s="303">
        <v>4.4000000000000004</v>
      </c>
      <c r="Q156" s="303">
        <v>4.4000000000000004</v>
      </c>
      <c r="R156" s="303">
        <v>4.4000000000000004</v>
      </c>
      <c r="S156" s="303">
        <v>4.4000000000000004</v>
      </c>
      <c r="T156" s="303">
        <v>4.4000000000000004</v>
      </c>
      <c r="U156" s="303">
        <v>4.4000000000000004</v>
      </c>
      <c r="V156" s="303">
        <v>4.4000000000000004</v>
      </c>
      <c r="W156" s="303">
        <v>4.4000000000000004</v>
      </c>
      <c r="X156" s="303">
        <v>4.4000000000000004</v>
      </c>
      <c r="Y156" s="303">
        <v>4.4000000000000004</v>
      </c>
      <c r="Z156" s="303">
        <v>4.4000000000000004</v>
      </c>
      <c r="AA156" s="303">
        <v>4.4000000000000004</v>
      </c>
      <c r="AB156" s="304">
        <v>1</v>
      </c>
      <c r="AC156" s="304">
        <v>1</v>
      </c>
      <c r="AD156" s="304">
        <v>1</v>
      </c>
      <c r="AE156" s="304">
        <v>1</v>
      </c>
      <c r="AF156" s="304">
        <v>1</v>
      </c>
      <c r="AG156" s="304">
        <v>1</v>
      </c>
      <c r="AH156" s="304">
        <v>1</v>
      </c>
      <c r="AI156" s="304">
        <v>1.55</v>
      </c>
      <c r="AJ156" s="304">
        <v>1.55</v>
      </c>
      <c r="AK156" s="304">
        <v>1.55</v>
      </c>
      <c r="AL156" s="304">
        <v>1.55</v>
      </c>
      <c r="AM156" s="304">
        <v>1.55</v>
      </c>
      <c r="AN156" s="304">
        <v>1.55</v>
      </c>
      <c r="AO156" s="260"/>
      <c r="AP156" s="254">
        <f t="shared" si="48"/>
        <v>0</v>
      </c>
      <c r="AQ156" s="260"/>
      <c r="AR156" s="254">
        <f t="shared" si="49"/>
        <v>0</v>
      </c>
      <c r="AS156" s="261"/>
      <c r="AT156" s="254">
        <f t="shared" si="50"/>
        <v>0</v>
      </c>
      <c r="AU156" s="256"/>
      <c r="AV156" s="257">
        <f t="shared" si="51"/>
        <v>0</v>
      </c>
      <c r="AW156" s="260"/>
      <c r="AX156" s="257">
        <f t="shared" si="52"/>
        <v>0</v>
      </c>
      <c r="AY156" s="271"/>
      <c r="AZ156" s="257">
        <f t="shared" si="53"/>
        <v>0</v>
      </c>
      <c r="BA156" s="260"/>
      <c r="BB156" s="257">
        <f t="shared" si="54"/>
        <v>0</v>
      </c>
      <c r="BC156" s="260"/>
      <c r="BD156" s="257">
        <f t="shared" si="55"/>
        <v>0</v>
      </c>
      <c r="BE156" s="261"/>
      <c r="BF156" s="257">
        <f t="shared" si="56"/>
        <v>0</v>
      </c>
      <c r="BG156" s="260"/>
      <c r="BH156" s="257">
        <f t="shared" si="57"/>
        <v>0</v>
      </c>
      <c r="BI156" s="260"/>
      <c r="BJ156" s="257">
        <f t="shared" si="58"/>
        <v>0</v>
      </c>
      <c r="BK156" s="261"/>
      <c r="BL156" s="257">
        <f t="shared" si="59"/>
        <v>0</v>
      </c>
    </row>
    <row r="157" spans="1:67" ht="15.6">
      <c r="A157" s="250" t="s">
        <v>330</v>
      </c>
      <c r="B157" s="59" t="s">
        <v>221</v>
      </c>
      <c r="C157" s="354" t="s">
        <v>172</v>
      </c>
      <c r="D157" s="419"/>
      <c r="E157" s="281" t="s">
        <v>332</v>
      </c>
      <c r="F157" s="422"/>
      <c r="G157" s="351" t="s">
        <v>239</v>
      </c>
      <c r="H157" s="323" t="s">
        <v>240</v>
      </c>
      <c r="I157" s="330" t="s">
        <v>190</v>
      </c>
      <c r="J157" s="325" t="s">
        <v>241</v>
      </c>
      <c r="K157" s="323" t="s">
        <v>227</v>
      </c>
      <c r="L157" s="323" t="s">
        <v>177</v>
      </c>
      <c r="M157" s="303" t="s">
        <v>178</v>
      </c>
      <c r="N157" s="303">
        <v>2.8</v>
      </c>
      <c r="O157" s="303">
        <v>4.4000000000000004</v>
      </c>
      <c r="P157" s="303">
        <v>4.4000000000000004</v>
      </c>
      <c r="Q157" s="303">
        <v>4.4000000000000004</v>
      </c>
      <c r="R157" s="303">
        <v>4.4000000000000004</v>
      </c>
      <c r="S157" s="303">
        <v>4.4000000000000004</v>
      </c>
      <c r="T157" s="303">
        <v>4.4000000000000004</v>
      </c>
      <c r="U157" s="303">
        <v>4.4000000000000004</v>
      </c>
      <c r="V157" s="303">
        <v>4.4000000000000004</v>
      </c>
      <c r="W157" s="303">
        <v>4.4000000000000004</v>
      </c>
      <c r="X157" s="303">
        <v>4.4000000000000004</v>
      </c>
      <c r="Y157" s="303">
        <v>4.4000000000000004</v>
      </c>
      <c r="Z157" s="303">
        <v>4.4000000000000004</v>
      </c>
      <c r="AA157" s="303">
        <v>4.4000000000000004</v>
      </c>
      <c r="AB157" s="304">
        <v>1</v>
      </c>
      <c r="AC157" s="304">
        <v>1</v>
      </c>
      <c r="AD157" s="304">
        <v>1</v>
      </c>
      <c r="AE157" s="304">
        <v>1</v>
      </c>
      <c r="AF157" s="304">
        <v>1</v>
      </c>
      <c r="AG157" s="304">
        <v>1</v>
      </c>
      <c r="AH157" s="304">
        <v>1</v>
      </c>
      <c r="AI157" s="304">
        <v>1.55</v>
      </c>
      <c r="AJ157" s="304">
        <v>1.55</v>
      </c>
      <c r="AK157" s="304">
        <v>1.55</v>
      </c>
      <c r="AL157" s="304">
        <v>1.55</v>
      </c>
      <c r="AM157" s="304">
        <v>1.55</v>
      </c>
      <c r="AN157" s="304">
        <v>1.55</v>
      </c>
      <c r="AO157" s="260"/>
      <c r="AP157" s="254">
        <f t="shared" si="48"/>
        <v>0</v>
      </c>
      <c r="AQ157" s="260"/>
      <c r="AR157" s="254">
        <f t="shared" si="49"/>
        <v>0</v>
      </c>
      <c r="AS157" s="261"/>
      <c r="AT157" s="254">
        <f t="shared" si="50"/>
        <v>0</v>
      </c>
      <c r="AU157" s="256"/>
      <c r="AV157" s="257">
        <f t="shared" si="51"/>
        <v>0</v>
      </c>
      <c r="AW157" s="260"/>
      <c r="AX157" s="257">
        <f t="shared" si="52"/>
        <v>0</v>
      </c>
      <c r="AY157" s="271"/>
      <c r="AZ157" s="257">
        <f t="shared" si="53"/>
        <v>0</v>
      </c>
      <c r="BA157" s="260"/>
      <c r="BB157" s="257">
        <f t="shared" si="54"/>
        <v>0</v>
      </c>
      <c r="BC157" s="260"/>
      <c r="BD157" s="257">
        <f t="shared" si="55"/>
        <v>0</v>
      </c>
      <c r="BE157" s="261"/>
      <c r="BF157" s="257">
        <f t="shared" si="56"/>
        <v>0</v>
      </c>
      <c r="BG157" s="260"/>
      <c r="BH157" s="257">
        <f t="shared" si="57"/>
        <v>0</v>
      </c>
      <c r="BI157" s="260"/>
      <c r="BJ157" s="257">
        <f t="shared" si="58"/>
        <v>0</v>
      </c>
      <c r="BK157" s="261"/>
      <c r="BL157" s="257">
        <f t="shared" si="59"/>
        <v>0</v>
      </c>
    </row>
    <row r="158" spans="1:67" ht="15.6">
      <c r="A158" s="250" t="s">
        <v>330</v>
      </c>
      <c r="B158" s="59" t="s">
        <v>221</v>
      </c>
      <c r="C158" s="354" t="s">
        <v>172</v>
      </c>
      <c r="D158" s="419"/>
      <c r="E158" s="281" t="s">
        <v>332</v>
      </c>
      <c r="F158" s="422"/>
      <c r="G158" s="351" t="s">
        <v>239</v>
      </c>
      <c r="H158" s="323" t="s">
        <v>240</v>
      </c>
      <c r="I158" s="324" t="s">
        <v>183</v>
      </c>
      <c r="J158" s="325" t="s">
        <v>241</v>
      </c>
      <c r="K158" s="323" t="s">
        <v>227</v>
      </c>
      <c r="L158" s="323" t="s">
        <v>177</v>
      </c>
      <c r="M158" s="303" t="s">
        <v>178</v>
      </c>
      <c r="N158" s="303">
        <v>8.4</v>
      </c>
      <c r="O158" s="303">
        <v>11.8</v>
      </c>
      <c r="P158" s="303">
        <v>13.6</v>
      </c>
      <c r="Q158" s="303">
        <v>13.6</v>
      </c>
      <c r="R158" s="303">
        <v>13.6</v>
      </c>
      <c r="S158" s="303">
        <v>13.6</v>
      </c>
      <c r="T158" s="303">
        <v>13.6</v>
      </c>
      <c r="U158" s="303">
        <v>13.6</v>
      </c>
      <c r="V158" s="303">
        <v>11.8</v>
      </c>
      <c r="W158" s="303">
        <v>11.8</v>
      </c>
      <c r="X158" s="303">
        <v>11.8</v>
      </c>
      <c r="Y158" s="303">
        <v>11.8</v>
      </c>
      <c r="Z158" s="303">
        <v>11.8</v>
      </c>
      <c r="AA158" s="303">
        <v>11.8</v>
      </c>
      <c r="AB158" s="304">
        <v>3.35</v>
      </c>
      <c r="AC158" s="304">
        <v>4</v>
      </c>
      <c r="AD158" s="304">
        <v>4</v>
      </c>
      <c r="AE158" s="304">
        <v>4</v>
      </c>
      <c r="AF158" s="304">
        <v>4</v>
      </c>
      <c r="AG158" s="304">
        <v>4</v>
      </c>
      <c r="AH158" s="304">
        <v>4</v>
      </c>
      <c r="AI158" s="304">
        <v>3.35</v>
      </c>
      <c r="AJ158" s="304">
        <v>3.35</v>
      </c>
      <c r="AK158" s="304">
        <v>3.35</v>
      </c>
      <c r="AL158" s="304">
        <v>3.35</v>
      </c>
      <c r="AM158" s="304">
        <v>3.35</v>
      </c>
      <c r="AN158" s="304">
        <v>3.35</v>
      </c>
      <c r="AO158" s="260"/>
      <c r="AP158" s="254">
        <f t="shared" si="48"/>
        <v>0</v>
      </c>
      <c r="AQ158" s="260"/>
      <c r="AR158" s="254">
        <f t="shared" si="49"/>
        <v>0</v>
      </c>
      <c r="AS158" s="261"/>
      <c r="AT158" s="254">
        <f t="shared" si="50"/>
        <v>0</v>
      </c>
      <c r="AU158" s="256"/>
      <c r="AV158" s="257">
        <f t="shared" si="51"/>
        <v>0</v>
      </c>
      <c r="AW158" s="260"/>
      <c r="AX158" s="257">
        <f t="shared" si="52"/>
        <v>0</v>
      </c>
      <c r="AY158" s="271"/>
      <c r="AZ158" s="257">
        <f t="shared" si="53"/>
        <v>0</v>
      </c>
      <c r="BA158" s="260"/>
      <c r="BB158" s="257">
        <f t="shared" si="54"/>
        <v>0</v>
      </c>
      <c r="BC158" s="260"/>
      <c r="BD158" s="257">
        <f t="shared" si="55"/>
        <v>0</v>
      </c>
      <c r="BE158" s="261"/>
      <c r="BF158" s="257">
        <f t="shared" si="56"/>
        <v>0</v>
      </c>
      <c r="BG158" s="260"/>
      <c r="BH158" s="257">
        <f t="shared" si="57"/>
        <v>0</v>
      </c>
      <c r="BI158" s="260"/>
      <c r="BJ158" s="257">
        <f t="shared" si="58"/>
        <v>0</v>
      </c>
      <c r="BK158" s="261"/>
      <c r="BL158" s="257">
        <f t="shared" si="59"/>
        <v>0</v>
      </c>
    </row>
    <row r="159" spans="1:67" ht="15.6">
      <c r="A159" s="250" t="s">
        <v>330</v>
      </c>
      <c r="B159" s="59" t="s">
        <v>221</v>
      </c>
      <c r="C159" s="354" t="s">
        <v>172</v>
      </c>
      <c r="D159" s="419"/>
      <c r="E159" s="281" t="s">
        <v>332</v>
      </c>
      <c r="F159" s="422"/>
      <c r="G159" s="351" t="s">
        <v>239</v>
      </c>
      <c r="H159" s="323" t="s">
        <v>240</v>
      </c>
      <c r="I159" s="324" t="s">
        <v>183</v>
      </c>
      <c r="J159" s="325" t="s">
        <v>241</v>
      </c>
      <c r="K159" s="323" t="s">
        <v>208</v>
      </c>
      <c r="L159" s="323" t="s">
        <v>177</v>
      </c>
      <c r="M159" s="303" t="s">
        <v>178</v>
      </c>
      <c r="N159" s="303">
        <v>8.4</v>
      </c>
      <c r="O159" s="303">
        <v>11.8</v>
      </c>
      <c r="P159" s="303">
        <v>13.6</v>
      </c>
      <c r="Q159" s="303">
        <v>13.6</v>
      </c>
      <c r="R159" s="303">
        <v>13.6</v>
      </c>
      <c r="S159" s="303">
        <v>13.6</v>
      </c>
      <c r="T159" s="303">
        <v>13.6</v>
      </c>
      <c r="U159" s="303">
        <v>13.6</v>
      </c>
      <c r="V159" s="303">
        <v>11.8</v>
      </c>
      <c r="W159" s="303">
        <v>11.8</v>
      </c>
      <c r="X159" s="303">
        <v>11.8</v>
      </c>
      <c r="Y159" s="303">
        <v>11.8</v>
      </c>
      <c r="Z159" s="303">
        <v>11.8</v>
      </c>
      <c r="AA159" s="303">
        <v>11.8</v>
      </c>
      <c r="AB159" s="304">
        <v>3.35</v>
      </c>
      <c r="AC159" s="304">
        <v>4</v>
      </c>
      <c r="AD159" s="304">
        <v>4</v>
      </c>
      <c r="AE159" s="304">
        <v>4</v>
      </c>
      <c r="AF159" s="304">
        <v>4</v>
      </c>
      <c r="AG159" s="304">
        <v>4</v>
      </c>
      <c r="AH159" s="304">
        <v>4</v>
      </c>
      <c r="AI159" s="304">
        <v>3.35</v>
      </c>
      <c r="AJ159" s="304">
        <v>3.35</v>
      </c>
      <c r="AK159" s="304">
        <v>3.35</v>
      </c>
      <c r="AL159" s="304">
        <v>3.35</v>
      </c>
      <c r="AM159" s="304">
        <v>3.35</v>
      </c>
      <c r="AN159" s="304">
        <v>3.35</v>
      </c>
      <c r="AO159" s="260">
        <v>2203</v>
      </c>
      <c r="AP159" s="254">
        <f t="shared" si="48"/>
        <v>8812</v>
      </c>
      <c r="AQ159" s="260"/>
      <c r="AR159" s="254">
        <f t="shared" si="49"/>
        <v>0</v>
      </c>
      <c r="AS159" s="261"/>
      <c r="AT159" s="254">
        <f t="shared" si="50"/>
        <v>0</v>
      </c>
      <c r="AU159" s="261"/>
      <c r="AV159" s="257">
        <f t="shared" si="51"/>
        <v>0</v>
      </c>
      <c r="AW159" s="261"/>
      <c r="AX159" s="257">
        <f t="shared" si="52"/>
        <v>0</v>
      </c>
      <c r="AY159" s="261"/>
      <c r="AZ159" s="257">
        <f t="shared" si="53"/>
        <v>0</v>
      </c>
      <c r="BA159" s="261"/>
      <c r="BB159" s="257">
        <f t="shared" si="54"/>
        <v>0</v>
      </c>
      <c r="BC159" s="274"/>
      <c r="BD159" s="257">
        <f t="shared" si="55"/>
        <v>0</v>
      </c>
      <c r="BE159" s="261"/>
      <c r="BF159" s="257">
        <f t="shared" si="56"/>
        <v>0</v>
      </c>
      <c r="BG159" s="261"/>
      <c r="BH159" s="257">
        <f t="shared" si="57"/>
        <v>0</v>
      </c>
      <c r="BI159" s="261"/>
      <c r="BJ159" s="257">
        <f t="shared" si="58"/>
        <v>0</v>
      </c>
      <c r="BK159" s="261"/>
      <c r="BL159" s="257">
        <f t="shared" si="59"/>
        <v>0</v>
      </c>
    </row>
    <row r="160" spans="1:67" ht="15.6">
      <c r="A160" s="250" t="s">
        <v>330</v>
      </c>
      <c r="B160" s="59" t="s">
        <v>221</v>
      </c>
      <c r="C160" s="354" t="s">
        <v>172</v>
      </c>
      <c r="D160" s="419"/>
      <c r="E160" s="281" t="s">
        <v>332</v>
      </c>
      <c r="F160" s="422"/>
      <c r="G160" s="351" t="s">
        <v>239</v>
      </c>
      <c r="H160" s="323" t="s">
        <v>240</v>
      </c>
      <c r="I160" s="330" t="s">
        <v>190</v>
      </c>
      <c r="J160" s="325" t="s">
        <v>241</v>
      </c>
      <c r="K160" s="323" t="s">
        <v>208</v>
      </c>
      <c r="L160" s="323" t="s">
        <v>177</v>
      </c>
      <c r="M160" s="303" t="s">
        <v>178</v>
      </c>
      <c r="N160" s="303">
        <v>4.4000000000000004</v>
      </c>
      <c r="O160" s="303">
        <v>6.4</v>
      </c>
      <c r="P160" s="303">
        <v>6.4</v>
      </c>
      <c r="Q160" s="303">
        <v>6.4</v>
      </c>
      <c r="R160" s="303">
        <v>6.4</v>
      </c>
      <c r="S160" s="303">
        <v>6.4</v>
      </c>
      <c r="T160" s="303">
        <v>6.4</v>
      </c>
      <c r="U160" s="303">
        <v>6.4</v>
      </c>
      <c r="V160" s="303">
        <v>6.4</v>
      </c>
      <c r="W160" s="303">
        <v>6.4</v>
      </c>
      <c r="X160" s="303">
        <v>6.4</v>
      </c>
      <c r="Y160" s="303">
        <v>6.4</v>
      </c>
      <c r="Z160" s="303">
        <v>6.4</v>
      </c>
      <c r="AA160" s="303">
        <v>6.4</v>
      </c>
      <c r="AB160" s="304">
        <v>1.7</v>
      </c>
      <c r="AC160" s="304">
        <v>1.7</v>
      </c>
      <c r="AD160" s="304">
        <v>1.7</v>
      </c>
      <c r="AE160" s="304">
        <v>1.7</v>
      </c>
      <c r="AF160" s="304">
        <v>1.7</v>
      </c>
      <c r="AG160" s="304">
        <v>1.7</v>
      </c>
      <c r="AH160" s="304">
        <v>1.7</v>
      </c>
      <c r="AI160" s="304">
        <v>1.8</v>
      </c>
      <c r="AJ160" s="304">
        <v>1.8</v>
      </c>
      <c r="AK160" s="304">
        <v>1.8</v>
      </c>
      <c r="AL160" s="304">
        <v>1.8</v>
      </c>
      <c r="AM160" s="304">
        <v>1.8</v>
      </c>
      <c r="AN160" s="304">
        <v>1.8</v>
      </c>
      <c r="AO160" s="260">
        <v>2160</v>
      </c>
      <c r="AP160" s="254">
        <f t="shared" si="48"/>
        <v>3672</v>
      </c>
      <c r="AQ160" s="260">
        <v>560</v>
      </c>
      <c r="AR160" s="254">
        <f t="shared" si="49"/>
        <v>952</v>
      </c>
      <c r="AS160" s="260"/>
      <c r="AT160" s="254">
        <f t="shared" si="50"/>
        <v>0</v>
      </c>
      <c r="AU160" s="260"/>
      <c r="AV160" s="257">
        <f t="shared" si="51"/>
        <v>0</v>
      </c>
      <c r="AW160" s="260"/>
      <c r="AX160" s="257">
        <f t="shared" si="52"/>
        <v>0</v>
      </c>
      <c r="AY160" s="260"/>
      <c r="AZ160" s="257">
        <f t="shared" si="53"/>
        <v>0</v>
      </c>
      <c r="BA160" s="260"/>
      <c r="BB160" s="257">
        <f t="shared" si="54"/>
        <v>0</v>
      </c>
      <c r="BC160" s="260"/>
      <c r="BD160" s="257">
        <f t="shared" si="55"/>
        <v>0</v>
      </c>
      <c r="BE160" s="261"/>
      <c r="BF160" s="257">
        <f t="shared" si="56"/>
        <v>0</v>
      </c>
      <c r="BG160" s="261"/>
      <c r="BH160" s="257">
        <f t="shared" si="57"/>
        <v>0</v>
      </c>
      <c r="BI160" s="261"/>
      <c r="BJ160" s="257">
        <f t="shared" si="58"/>
        <v>0</v>
      </c>
      <c r="BK160" s="260"/>
      <c r="BL160" s="257">
        <f t="shared" si="59"/>
        <v>0</v>
      </c>
    </row>
    <row r="161" spans="1:64" ht="15.6">
      <c r="A161" s="250" t="s">
        <v>330</v>
      </c>
      <c r="B161" s="59" t="s">
        <v>221</v>
      </c>
      <c r="C161" s="354" t="s">
        <v>172</v>
      </c>
      <c r="D161" s="419"/>
      <c r="E161" s="281" t="s">
        <v>332</v>
      </c>
      <c r="F161" s="422"/>
      <c r="G161" s="351" t="s">
        <v>239</v>
      </c>
      <c r="H161" s="323" t="s">
        <v>240</v>
      </c>
      <c r="I161" s="324" t="s">
        <v>183</v>
      </c>
      <c r="J161" s="325" t="s">
        <v>241</v>
      </c>
      <c r="K161" s="323" t="s">
        <v>243</v>
      </c>
      <c r="L161" s="323" t="s">
        <v>177</v>
      </c>
      <c r="M161" s="303" t="s">
        <v>178</v>
      </c>
      <c r="N161" s="303">
        <v>8.6</v>
      </c>
      <c r="O161" s="303">
        <v>12.5</v>
      </c>
      <c r="P161" s="303">
        <v>14.3</v>
      </c>
      <c r="Q161" s="303">
        <v>14.3</v>
      </c>
      <c r="R161" s="303">
        <v>14.3</v>
      </c>
      <c r="S161" s="303">
        <v>14.3</v>
      </c>
      <c r="T161" s="303">
        <v>14.3</v>
      </c>
      <c r="U161" s="303">
        <v>14.3</v>
      </c>
      <c r="V161" s="303">
        <v>12.5</v>
      </c>
      <c r="W161" s="303">
        <v>12.5</v>
      </c>
      <c r="X161" s="303">
        <v>12.5</v>
      </c>
      <c r="Y161" s="303">
        <v>12.5</v>
      </c>
      <c r="Z161" s="303">
        <v>12.5</v>
      </c>
      <c r="AA161" s="303">
        <v>12.5</v>
      </c>
      <c r="AB161" s="304">
        <v>4</v>
      </c>
      <c r="AC161" s="304">
        <v>4</v>
      </c>
      <c r="AD161" s="304">
        <v>4</v>
      </c>
      <c r="AE161" s="304">
        <v>4</v>
      </c>
      <c r="AF161" s="304">
        <v>4</v>
      </c>
      <c r="AG161" s="304">
        <v>4</v>
      </c>
      <c r="AH161" s="304">
        <v>4</v>
      </c>
      <c r="AI161" s="304">
        <v>4.05</v>
      </c>
      <c r="AJ161" s="304">
        <v>4.05</v>
      </c>
      <c r="AK161" s="304">
        <v>4.05</v>
      </c>
      <c r="AL161" s="304">
        <v>4.05</v>
      </c>
      <c r="AM161" s="304">
        <v>4.05</v>
      </c>
      <c r="AN161" s="304">
        <v>4.05</v>
      </c>
      <c r="AO161" s="260">
        <v>21880</v>
      </c>
      <c r="AP161" s="254">
        <f t="shared" si="48"/>
        <v>87520</v>
      </c>
      <c r="AQ161" s="260">
        <v>11000</v>
      </c>
      <c r="AR161" s="254">
        <f t="shared" si="49"/>
        <v>44000</v>
      </c>
      <c r="AS161" s="260">
        <v>8460</v>
      </c>
      <c r="AT161" s="254">
        <f t="shared" si="50"/>
        <v>33840</v>
      </c>
      <c r="AU161" s="260">
        <v>10000</v>
      </c>
      <c r="AV161" s="257">
        <f t="shared" si="51"/>
        <v>40000</v>
      </c>
      <c r="AW161" s="260">
        <v>12759</v>
      </c>
      <c r="AX161" s="257">
        <f t="shared" si="52"/>
        <v>51036</v>
      </c>
      <c r="AY161" s="260">
        <v>11760</v>
      </c>
      <c r="AZ161" s="257">
        <f t="shared" si="53"/>
        <v>47040</v>
      </c>
      <c r="BA161" s="260">
        <v>14040</v>
      </c>
      <c r="BB161" s="257">
        <f t="shared" si="54"/>
        <v>56862</v>
      </c>
      <c r="BC161" s="260">
        <v>13760</v>
      </c>
      <c r="BD161" s="257">
        <f t="shared" si="55"/>
        <v>55728</v>
      </c>
      <c r="BE161" s="256">
        <v>3600</v>
      </c>
      <c r="BF161" s="257">
        <f t="shared" si="56"/>
        <v>14580</v>
      </c>
      <c r="BG161" s="256">
        <v>11720</v>
      </c>
      <c r="BH161" s="257">
        <f t="shared" si="57"/>
        <v>47466</v>
      </c>
      <c r="BI161" s="256">
        <v>8918</v>
      </c>
      <c r="BJ161" s="257">
        <f t="shared" si="58"/>
        <v>36117.9</v>
      </c>
      <c r="BK161" s="256">
        <v>18040</v>
      </c>
      <c r="BL161" s="257">
        <f t="shared" si="59"/>
        <v>73062</v>
      </c>
    </row>
    <row r="162" spans="1:64" ht="15.6">
      <c r="A162" s="250" t="s">
        <v>330</v>
      </c>
      <c r="B162" s="59" t="s">
        <v>221</v>
      </c>
      <c r="C162" s="354" t="s">
        <v>172</v>
      </c>
      <c r="D162" s="419"/>
      <c r="E162" s="281" t="s">
        <v>332</v>
      </c>
      <c r="F162" s="422"/>
      <c r="G162" s="351" t="s">
        <v>239</v>
      </c>
      <c r="H162" s="323" t="s">
        <v>240</v>
      </c>
      <c r="I162" s="330" t="s">
        <v>190</v>
      </c>
      <c r="J162" s="325" t="s">
        <v>241</v>
      </c>
      <c r="K162" s="323" t="s">
        <v>243</v>
      </c>
      <c r="L162" s="323" t="s">
        <v>177</v>
      </c>
      <c r="M162" s="303" t="s">
        <v>178</v>
      </c>
      <c r="N162" s="303">
        <v>2.8</v>
      </c>
      <c r="O162" s="303">
        <v>4.4000000000000004</v>
      </c>
      <c r="P162" s="303">
        <v>4.4000000000000004</v>
      </c>
      <c r="Q162" s="303">
        <v>4.4000000000000004</v>
      </c>
      <c r="R162" s="303">
        <v>4.4000000000000004</v>
      </c>
      <c r="S162" s="303">
        <v>4.4000000000000004</v>
      </c>
      <c r="T162" s="303">
        <v>4.4000000000000004</v>
      </c>
      <c r="U162" s="303">
        <v>4.4000000000000004</v>
      </c>
      <c r="V162" s="303">
        <v>4.4000000000000004</v>
      </c>
      <c r="W162" s="303">
        <v>4.4000000000000004</v>
      </c>
      <c r="X162" s="303">
        <v>4.4000000000000004</v>
      </c>
      <c r="Y162" s="303">
        <v>4.4000000000000004</v>
      </c>
      <c r="Z162" s="303">
        <v>4.4000000000000004</v>
      </c>
      <c r="AA162" s="303">
        <v>4.4000000000000004</v>
      </c>
      <c r="AB162" s="304">
        <v>1</v>
      </c>
      <c r="AC162" s="304">
        <v>1</v>
      </c>
      <c r="AD162" s="304">
        <v>1</v>
      </c>
      <c r="AE162" s="304">
        <v>1</v>
      </c>
      <c r="AF162" s="304">
        <v>1</v>
      </c>
      <c r="AG162" s="304">
        <v>1</v>
      </c>
      <c r="AH162" s="304">
        <v>1</v>
      </c>
      <c r="AI162" s="304">
        <v>1.55</v>
      </c>
      <c r="AJ162" s="304">
        <v>1.55</v>
      </c>
      <c r="AK162" s="304">
        <v>1.55</v>
      </c>
      <c r="AL162" s="304">
        <v>1.55</v>
      </c>
      <c r="AM162" s="304">
        <v>1.55</v>
      </c>
      <c r="AN162" s="304">
        <v>1.55</v>
      </c>
      <c r="AO162" s="260">
        <v>15440</v>
      </c>
      <c r="AP162" s="254">
        <f t="shared" si="48"/>
        <v>15440</v>
      </c>
      <c r="AQ162" s="260">
        <v>30960</v>
      </c>
      <c r="AR162" s="254">
        <f t="shared" si="49"/>
        <v>30960</v>
      </c>
      <c r="AS162" s="260">
        <v>34200</v>
      </c>
      <c r="AT162" s="254">
        <f t="shared" si="50"/>
        <v>34200</v>
      </c>
      <c r="AU162" s="260">
        <v>26320</v>
      </c>
      <c r="AV162" s="257">
        <f t="shared" si="51"/>
        <v>26320</v>
      </c>
      <c r="AW162" s="260">
        <v>38080</v>
      </c>
      <c r="AX162" s="257">
        <f t="shared" si="52"/>
        <v>38080</v>
      </c>
      <c r="AY162" s="260">
        <v>38240</v>
      </c>
      <c r="AZ162" s="257">
        <f t="shared" si="53"/>
        <v>38240</v>
      </c>
      <c r="BA162" s="260">
        <v>22640</v>
      </c>
      <c r="BB162" s="257">
        <f t="shared" si="54"/>
        <v>35092</v>
      </c>
      <c r="BC162" s="260">
        <v>17560</v>
      </c>
      <c r="BD162" s="257">
        <f t="shared" si="55"/>
        <v>27218</v>
      </c>
      <c r="BE162" s="256">
        <v>16400</v>
      </c>
      <c r="BF162" s="257">
        <f t="shared" si="56"/>
        <v>25420</v>
      </c>
      <c r="BG162" s="256">
        <v>30200</v>
      </c>
      <c r="BH162" s="257">
        <f t="shared" si="57"/>
        <v>46810</v>
      </c>
      <c r="BI162" s="256">
        <v>23600</v>
      </c>
      <c r="BJ162" s="257">
        <f t="shared" si="58"/>
        <v>36580</v>
      </c>
      <c r="BK162" s="256">
        <v>22160</v>
      </c>
      <c r="BL162" s="257">
        <f t="shared" si="59"/>
        <v>34348</v>
      </c>
    </row>
    <row r="163" spans="1:64" ht="15.6">
      <c r="A163" s="250" t="s">
        <v>330</v>
      </c>
      <c r="B163" s="59" t="s">
        <v>221</v>
      </c>
      <c r="C163" s="354" t="s">
        <v>172</v>
      </c>
      <c r="D163" s="419"/>
      <c r="E163" s="281" t="s">
        <v>332</v>
      </c>
      <c r="F163" s="422"/>
      <c r="G163" s="317" t="s">
        <v>239</v>
      </c>
      <c r="H163" s="323" t="s">
        <v>240</v>
      </c>
      <c r="I163" s="332" t="s">
        <v>249</v>
      </c>
      <c r="J163" s="331" t="s">
        <v>241</v>
      </c>
      <c r="K163" s="323" t="s">
        <v>415</v>
      </c>
      <c r="L163" s="323" t="s">
        <v>344</v>
      </c>
      <c r="M163" s="303" t="s">
        <v>416</v>
      </c>
      <c r="N163" s="303">
        <v>8.6</v>
      </c>
      <c r="O163" s="303">
        <v>12.5</v>
      </c>
      <c r="P163" s="303">
        <v>14.3</v>
      </c>
      <c r="Q163" s="303">
        <v>14.3</v>
      </c>
      <c r="R163" s="303">
        <v>14.3</v>
      </c>
      <c r="S163" s="303">
        <v>14.3</v>
      </c>
      <c r="T163" s="303">
        <v>14.3</v>
      </c>
      <c r="U163" s="303">
        <v>14.3</v>
      </c>
      <c r="V163" s="303">
        <v>12.5</v>
      </c>
      <c r="W163" s="303">
        <v>12.5</v>
      </c>
      <c r="X163" s="303">
        <v>12.5</v>
      </c>
      <c r="Y163" s="303">
        <v>12.5</v>
      </c>
      <c r="Z163" s="303">
        <v>12.5</v>
      </c>
      <c r="AA163" s="303">
        <v>12.5</v>
      </c>
      <c r="AB163" s="59">
        <v>4</v>
      </c>
      <c r="AC163" s="59">
        <v>4</v>
      </c>
      <c r="AD163" s="59">
        <v>4</v>
      </c>
      <c r="AE163" s="59">
        <v>4</v>
      </c>
      <c r="AF163" s="59">
        <v>4</v>
      </c>
      <c r="AG163" s="59">
        <v>4</v>
      </c>
      <c r="AH163" s="59">
        <v>4</v>
      </c>
      <c r="AI163" s="304">
        <v>4.05</v>
      </c>
      <c r="AJ163" s="304">
        <v>4.05</v>
      </c>
      <c r="AK163" s="304">
        <v>4.05</v>
      </c>
      <c r="AL163" s="304">
        <v>4.05</v>
      </c>
      <c r="AM163" s="304">
        <v>4.05</v>
      </c>
      <c r="AN163" s="304">
        <v>4.05</v>
      </c>
      <c r="AO163" s="260">
        <v>560</v>
      </c>
      <c r="AP163" s="254">
        <f t="shared" si="48"/>
        <v>2240</v>
      </c>
      <c r="AQ163" s="260">
        <v>4880</v>
      </c>
      <c r="AR163" s="254">
        <f t="shared" si="49"/>
        <v>19520</v>
      </c>
      <c r="AS163" s="261">
        <v>2840</v>
      </c>
      <c r="AT163" s="254">
        <f t="shared" si="50"/>
        <v>11360</v>
      </c>
      <c r="AU163" s="256"/>
      <c r="AV163" s="257">
        <f t="shared" si="51"/>
        <v>0</v>
      </c>
      <c r="AW163" s="270"/>
      <c r="AX163" s="257">
        <f t="shared" si="52"/>
        <v>0</v>
      </c>
      <c r="AY163" s="270">
        <v>200</v>
      </c>
      <c r="AZ163" s="257">
        <f t="shared" si="53"/>
        <v>800</v>
      </c>
      <c r="BA163" s="268">
        <v>200</v>
      </c>
      <c r="BB163" s="257">
        <f t="shared" si="54"/>
        <v>810</v>
      </c>
      <c r="BC163" s="268"/>
      <c r="BD163" s="257">
        <f t="shared" si="55"/>
        <v>0</v>
      </c>
      <c r="BE163" s="59"/>
      <c r="BF163" s="257">
        <f t="shared" si="56"/>
        <v>0</v>
      </c>
      <c r="BG163" s="59"/>
      <c r="BH163" s="257">
        <f t="shared" si="57"/>
        <v>0</v>
      </c>
      <c r="BI163" s="268"/>
      <c r="BJ163" s="257">
        <f t="shared" si="58"/>
        <v>0</v>
      </c>
      <c r="BK163" s="59"/>
      <c r="BL163" s="257">
        <f t="shared" si="59"/>
        <v>0</v>
      </c>
    </row>
    <row r="164" spans="1:64" ht="15.6">
      <c r="A164" s="250" t="s">
        <v>330</v>
      </c>
      <c r="B164" s="59" t="s">
        <v>221</v>
      </c>
      <c r="C164" s="354" t="s">
        <v>172</v>
      </c>
      <c r="D164" s="419"/>
      <c r="E164" s="281" t="s">
        <v>332</v>
      </c>
      <c r="F164" s="422"/>
      <c r="G164" s="317" t="s">
        <v>239</v>
      </c>
      <c r="H164" s="323" t="s">
        <v>240</v>
      </c>
      <c r="I164" s="327" t="s">
        <v>249</v>
      </c>
      <c r="J164" s="331" t="s">
        <v>241</v>
      </c>
      <c r="K164" s="323" t="s">
        <v>251</v>
      </c>
      <c r="L164" s="323" t="s">
        <v>344</v>
      </c>
      <c r="M164" s="303" t="s">
        <v>416</v>
      </c>
      <c r="N164" s="303">
        <v>8.6</v>
      </c>
      <c r="O164" s="303">
        <v>12.5</v>
      </c>
      <c r="P164" s="303">
        <v>14.3</v>
      </c>
      <c r="Q164" s="303">
        <v>14.3</v>
      </c>
      <c r="R164" s="303">
        <v>14.3</v>
      </c>
      <c r="S164" s="303">
        <v>14.3</v>
      </c>
      <c r="T164" s="303">
        <v>14.3</v>
      </c>
      <c r="U164" s="303">
        <v>14.3</v>
      </c>
      <c r="V164" s="303">
        <v>12.5</v>
      </c>
      <c r="W164" s="303">
        <v>12.5</v>
      </c>
      <c r="X164" s="303">
        <v>12.5</v>
      </c>
      <c r="Y164" s="303">
        <v>12.5</v>
      </c>
      <c r="Z164" s="303">
        <v>12.5</v>
      </c>
      <c r="AA164" s="303">
        <v>12.5</v>
      </c>
      <c r="AB164" s="59">
        <v>4</v>
      </c>
      <c r="AC164" s="59">
        <v>4</v>
      </c>
      <c r="AD164" s="59">
        <v>4</v>
      </c>
      <c r="AE164" s="59">
        <v>4</v>
      </c>
      <c r="AF164" s="59">
        <v>4</v>
      </c>
      <c r="AG164" s="59">
        <v>4</v>
      </c>
      <c r="AH164" s="59">
        <v>4</v>
      </c>
      <c r="AI164" s="304">
        <v>4.05</v>
      </c>
      <c r="AJ164" s="304">
        <v>4.05</v>
      </c>
      <c r="AK164" s="304">
        <v>4.05</v>
      </c>
      <c r="AL164" s="304">
        <v>4.05</v>
      </c>
      <c r="AM164" s="304">
        <v>4.05</v>
      </c>
      <c r="AN164" s="304">
        <v>4.05</v>
      </c>
      <c r="AO164" s="260">
        <v>840</v>
      </c>
      <c r="AP164" s="254">
        <f t="shared" si="48"/>
        <v>3360</v>
      </c>
      <c r="AQ164" s="260">
        <v>2560</v>
      </c>
      <c r="AR164" s="254">
        <f t="shared" si="49"/>
        <v>10240</v>
      </c>
      <c r="AS164" s="261">
        <v>1480</v>
      </c>
      <c r="AT164" s="254">
        <f t="shared" si="50"/>
        <v>5920</v>
      </c>
      <c r="AU164" s="256">
        <v>760</v>
      </c>
      <c r="AV164" s="257">
        <f t="shared" si="51"/>
        <v>3040</v>
      </c>
      <c r="AW164" s="270">
        <v>280</v>
      </c>
      <c r="AX164" s="257">
        <f t="shared" si="52"/>
        <v>1120</v>
      </c>
      <c r="AY164" s="270">
        <v>240</v>
      </c>
      <c r="AZ164" s="257">
        <f t="shared" si="53"/>
        <v>960</v>
      </c>
      <c r="BA164" s="268">
        <v>160</v>
      </c>
      <c r="BB164" s="257">
        <f t="shared" si="54"/>
        <v>648</v>
      </c>
      <c r="BC164" s="268"/>
      <c r="BD164" s="257">
        <f t="shared" si="55"/>
        <v>0</v>
      </c>
      <c r="BE164" s="59"/>
      <c r="BF164" s="257">
        <f t="shared" si="56"/>
        <v>0</v>
      </c>
      <c r="BG164" s="59"/>
      <c r="BH164" s="257">
        <f t="shared" si="57"/>
        <v>0</v>
      </c>
      <c r="BI164" s="268"/>
      <c r="BJ164" s="257">
        <f t="shared" si="58"/>
        <v>0</v>
      </c>
      <c r="BK164" s="59"/>
      <c r="BL164" s="257">
        <f t="shared" si="59"/>
        <v>0</v>
      </c>
    </row>
    <row r="165" spans="1:64" ht="15.6">
      <c r="A165" s="250" t="s">
        <v>330</v>
      </c>
      <c r="B165" s="59" t="s">
        <v>221</v>
      </c>
      <c r="C165" s="354" t="s">
        <v>172</v>
      </c>
      <c r="D165" s="419"/>
      <c r="E165" s="281" t="s">
        <v>332</v>
      </c>
      <c r="F165" s="422"/>
      <c r="G165" s="317">
        <v>2023</v>
      </c>
      <c r="H165" s="323" t="s">
        <v>417</v>
      </c>
      <c r="I165" s="327" t="s">
        <v>190</v>
      </c>
      <c r="J165" s="331">
        <v>14</v>
      </c>
      <c r="K165" s="323" t="s">
        <v>198</v>
      </c>
      <c r="L165" s="323" t="s">
        <v>418</v>
      </c>
      <c r="M165" s="303" t="s">
        <v>178</v>
      </c>
      <c r="N165" s="303">
        <v>2.9</v>
      </c>
      <c r="O165" s="303">
        <v>4.4000000000000004</v>
      </c>
      <c r="P165" s="303">
        <v>4.9000000000000004</v>
      </c>
      <c r="Q165" s="303">
        <v>4.9000000000000004</v>
      </c>
      <c r="R165" s="303">
        <v>4.9000000000000004</v>
      </c>
      <c r="S165" s="303">
        <v>4.9000000000000004</v>
      </c>
      <c r="T165" s="303">
        <v>4.9000000000000004</v>
      </c>
      <c r="U165" s="303">
        <v>4.9000000000000004</v>
      </c>
      <c r="V165" s="303">
        <v>4.4000000000000004</v>
      </c>
      <c r="W165" s="303">
        <v>4.4000000000000004</v>
      </c>
      <c r="X165" s="303">
        <v>4.4000000000000004</v>
      </c>
      <c r="Y165" s="303">
        <v>4.4000000000000004</v>
      </c>
      <c r="Z165" s="303">
        <v>4.4000000000000004</v>
      </c>
      <c r="AA165" s="303">
        <v>4.4000000000000004</v>
      </c>
      <c r="AB165" s="59">
        <v>0.5</v>
      </c>
      <c r="AC165" s="59">
        <v>0.5</v>
      </c>
      <c r="AD165" s="59">
        <v>0.8</v>
      </c>
      <c r="AE165" s="59">
        <v>0.8</v>
      </c>
      <c r="AF165" s="59">
        <v>0.8</v>
      </c>
      <c r="AG165" s="59">
        <v>0.8</v>
      </c>
      <c r="AH165" s="59">
        <v>0.8</v>
      </c>
      <c r="AI165" s="59">
        <v>0.8</v>
      </c>
      <c r="AJ165" s="59">
        <v>0.8</v>
      </c>
      <c r="AK165" s="59">
        <v>0.8</v>
      </c>
      <c r="AL165" s="59">
        <v>0.8</v>
      </c>
      <c r="AM165" s="59">
        <v>0.8</v>
      </c>
      <c r="AN165" s="59">
        <v>0.8</v>
      </c>
      <c r="AO165" s="260">
        <v>2035</v>
      </c>
      <c r="AP165" s="254">
        <f t="shared" si="48"/>
        <v>1017.5</v>
      </c>
      <c r="AQ165" s="260">
        <v>6325</v>
      </c>
      <c r="AR165" s="254">
        <f t="shared" si="49"/>
        <v>5060</v>
      </c>
      <c r="AS165" s="261">
        <v>5240</v>
      </c>
      <c r="AT165" s="254">
        <f t="shared" si="50"/>
        <v>4192</v>
      </c>
      <c r="AU165" s="261">
        <v>120</v>
      </c>
      <c r="AV165" s="257">
        <f t="shared" si="51"/>
        <v>96</v>
      </c>
      <c r="AW165" s="261">
        <v>1560</v>
      </c>
      <c r="AX165" s="257">
        <f t="shared" si="52"/>
        <v>1248</v>
      </c>
      <c r="AY165" s="261">
        <v>2200</v>
      </c>
      <c r="AZ165" s="257">
        <f t="shared" si="53"/>
        <v>1760</v>
      </c>
      <c r="BA165" s="261">
        <v>2837</v>
      </c>
      <c r="BB165" s="257">
        <f t="shared" si="54"/>
        <v>2269.6</v>
      </c>
      <c r="BC165" s="271">
        <v>880</v>
      </c>
      <c r="BD165" s="257">
        <f t="shared" si="55"/>
        <v>704</v>
      </c>
      <c r="BE165" s="256">
        <v>1840</v>
      </c>
      <c r="BF165" s="257">
        <f t="shared" si="56"/>
        <v>1472</v>
      </c>
      <c r="BG165" s="256">
        <v>5831</v>
      </c>
      <c r="BH165" s="257">
        <f t="shared" si="57"/>
        <v>4664.8</v>
      </c>
      <c r="BI165" s="268">
        <v>5080</v>
      </c>
      <c r="BJ165" s="257">
        <f t="shared" si="58"/>
        <v>4064</v>
      </c>
      <c r="BK165" s="256">
        <v>2760</v>
      </c>
      <c r="BL165" s="257">
        <f t="shared" si="59"/>
        <v>2208</v>
      </c>
    </row>
    <row r="166" spans="1:64" ht="15.6">
      <c r="A166" s="250" t="s">
        <v>330</v>
      </c>
      <c r="B166" s="59" t="s">
        <v>221</v>
      </c>
      <c r="C166" s="354" t="s">
        <v>172</v>
      </c>
      <c r="D166" s="419"/>
      <c r="E166" s="281" t="s">
        <v>332</v>
      </c>
      <c r="F166" s="422"/>
      <c r="G166" s="317">
        <v>2023</v>
      </c>
      <c r="H166" s="323" t="s">
        <v>417</v>
      </c>
      <c r="I166" s="332" t="s">
        <v>183</v>
      </c>
      <c r="J166" s="331">
        <v>14</v>
      </c>
      <c r="K166" s="323" t="s">
        <v>210</v>
      </c>
      <c r="L166" s="323" t="s">
        <v>418</v>
      </c>
      <c r="M166" s="303" t="s">
        <v>178</v>
      </c>
      <c r="N166" s="303">
        <v>9.65</v>
      </c>
      <c r="O166" s="303">
        <v>13.3</v>
      </c>
      <c r="P166" s="303">
        <v>15.1</v>
      </c>
      <c r="Q166" s="303">
        <v>15.1</v>
      </c>
      <c r="R166" s="303">
        <v>15.1</v>
      </c>
      <c r="S166" s="303">
        <v>15.1</v>
      </c>
      <c r="T166" s="303">
        <v>15.1</v>
      </c>
      <c r="U166" s="303">
        <v>15.1</v>
      </c>
      <c r="V166" s="303">
        <v>13.3</v>
      </c>
      <c r="W166" s="303">
        <v>13.3</v>
      </c>
      <c r="X166" s="303">
        <v>13.3</v>
      </c>
      <c r="Y166" s="303">
        <v>13.3</v>
      </c>
      <c r="Z166" s="303">
        <v>13.3</v>
      </c>
      <c r="AA166" s="303">
        <v>13.3</v>
      </c>
      <c r="AB166" s="59">
        <v>1.5</v>
      </c>
      <c r="AC166" s="59">
        <v>1.5</v>
      </c>
      <c r="AD166" s="59">
        <v>2.5</v>
      </c>
      <c r="AE166" s="59">
        <v>2.5</v>
      </c>
      <c r="AF166" s="59">
        <v>2.5</v>
      </c>
      <c r="AG166" s="59">
        <v>2.5</v>
      </c>
      <c r="AH166" s="59">
        <v>2.5</v>
      </c>
      <c r="AI166" s="59">
        <v>2.9</v>
      </c>
      <c r="AJ166" s="59">
        <v>2.9</v>
      </c>
      <c r="AK166" s="59">
        <v>2.9</v>
      </c>
      <c r="AL166" s="59">
        <v>2.9</v>
      </c>
      <c r="AM166" s="59">
        <v>2.9</v>
      </c>
      <c r="AN166" s="59">
        <v>2.9</v>
      </c>
      <c r="AO166" s="260"/>
      <c r="AP166" s="254">
        <f t="shared" si="48"/>
        <v>0</v>
      </c>
      <c r="AQ166" s="260"/>
      <c r="AR166" s="254">
        <f t="shared" si="49"/>
        <v>0</v>
      </c>
      <c r="AS166" s="261"/>
      <c r="AT166" s="254">
        <f t="shared" si="50"/>
        <v>0</v>
      </c>
      <c r="AU166" s="256"/>
      <c r="AV166" s="257">
        <f t="shared" si="51"/>
        <v>0</v>
      </c>
      <c r="AW166" s="270"/>
      <c r="AX166" s="257">
        <f t="shared" si="52"/>
        <v>0</v>
      </c>
      <c r="AY166" s="270"/>
      <c r="AZ166" s="257">
        <f t="shared" si="53"/>
        <v>0</v>
      </c>
      <c r="BA166" s="268"/>
      <c r="BB166" s="257">
        <f t="shared" si="54"/>
        <v>0</v>
      </c>
      <c r="BC166" s="268"/>
      <c r="BD166" s="257">
        <f t="shared" si="55"/>
        <v>0</v>
      </c>
      <c r="BE166" s="59"/>
      <c r="BF166" s="257">
        <f t="shared" si="56"/>
        <v>0</v>
      </c>
      <c r="BG166" s="59"/>
      <c r="BH166" s="257">
        <f t="shared" si="57"/>
        <v>0</v>
      </c>
      <c r="BI166" s="268"/>
      <c r="BJ166" s="257">
        <f t="shared" si="58"/>
        <v>0</v>
      </c>
      <c r="BK166" s="59"/>
      <c r="BL166" s="257">
        <f t="shared" si="59"/>
        <v>0</v>
      </c>
    </row>
    <row r="167" spans="1:64" ht="15.6">
      <c r="A167" s="250" t="s">
        <v>330</v>
      </c>
      <c r="B167" s="59" t="s">
        <v>221</v>
      </c>
      <c r="C167" s="354" t="s">
        <v>172</v>
      </c>
      <c r="D167" s="419"/>
      <c r="E167" s="281" t="s">
        <v>332</v>
      </c>
      <c r="F167" s="422"/>
      <c r="G167" s="317">
        <v>2023</v>
      </c>
      <c r="H167" s="323" t="s">
        <v>417</v>
      </c>
      <c r="I167" s="327" t="s">
        <v>190</v>
      </c>
      <c r="J167" s="331">
        <v>14</v>
      </c>
      <c r="K167" s="323" t="s">
        <v>210</v>
      </c>
      <c r="L167" s="323" t="s">
        <v>418</v>
      </c>
      <c r="M167" s="303" t="s">
        <v>178</v>
      </c>
      <c r="N167" s="303">
        <v>5.2</v>
      </c>
      <c r="O167" s="303">
        <v>6</v>
      </c>
      <c r="P167" s="303">
        <v>6.5</v>
      </c>
      <c r="Q167" s="303">
        <v>6.5</v>
      </c>
      <c r="R167" s="303">
        <v>6.5</v>
      </c>
      <c r="S167" s="303">
        <v>6.5</v>
      </c>
      <c r="T167" s="303">
        <v>6.5</v>
      </c>
      <c r="U167" s="303">
        <v>6.5</v>
      </c>
      <c r="V167" s="303">
        <v>6</v>
      </c>
      <c r="W167" s="303">
        <v>6</v>
      </c>
      <c r="X167" s="303">
        <v>6</v>
      </c>
      <c r="Y167" s="303">
        <v>6</v>
      </c>
      <c r="Z167" s="303">
        <v>6</v>
      </c>
      <c r="AA167" s="303">
        <v>6</v>
      </c>
      <c r="AB167" s="59">
        <v>0.5</v>
      </c>
      <c r="AC167" s="59">
        <v>0.5</v>
      </c>
      <c r="AD167" s="59">
        <v>0.8</v>
      </c>
      <c r="AE167" s="59">
        <v>0.8</v>
      </c>
      <c r="AF167" s="59">
        <v>0.8</v>
      </c>
      <c r="AG167" s="59">
        <v>0.8</v>
      </c>
      <c r="AH167" s="59">
        <v>0.8</v>
      </c>
      <c r="AI167" s="59">
        <v>0.5</v>
      </c>
      <c r="AJ167" s="59">
        <v>0.5</v>
      </c>
      <c r="AK167" s="59">
        <v>0.5</v>
      </c>
      <c r="AL167" s="59">
        <v>0.5</v>
      </c>
      <c r="AM167" s="59">
        <v>0.5</v>
      </c>
      <c r="AN167" s="59">
        <v>0.5</v>
      </c>
      <c r="AO167" s="260"/>
      <c r="AP167" s="254">
        <f t="shared" ref="AP167:AP188" si="120">AC167*AO167</f>
        <v>0</v>
      </c>
      <c r="AQ167" s="260"/>
      <c r="AR167" s="254">
        <f t="shared" ref="AR167:AR188" si="121">AD167*AQ167</f>
        <v>0</v>
      </c>
      <c r="AS167" s="261"/>
      <c r="AT167" s="254">
        <f t="shared" ref="AT167:AT188" si="122">AE167*AS167</f>
        <v>0</v>
      </c>
      <c r="AU167" s="256"/>
      <c r="AV167" s="257">
        <f t="shared" ref="AV167:AV188" si="123">AF167*AU167</f>
        <v>0</v>
      </c>
      <c r="AW167" s="270"/>
      <c r="AX167" s="257">
        <f t="shared" ref="AX167:AX188" si="124">AG167*AW167</f>
        <v>0</v>
      </c>
      <c r="AY167" s="270"/>
      <c r="AZ167" s="257">
        <f t="shared" ref="AZ167:AZ188" si="125">AH167*AY167</f>
        <v>0</v>
      </c>
      <c r="BA167" s="268">
        <v>1200</v>
      </c>
      <c r="BB167" s="257">
        <f t="shared" ref="BB167:BB188" si="126">AI167*BA167</f>
        <v>600</v>
      </c>
      <c r="BC167" s="268">
        <v>2120</v>
      </c>
      <c r="BD167" s="257">
        <f t="shared" ref="BD167:BD188" si="127">AJ167*BC167</f>
        <v>1060</v>
      </c>
      <c r="BE167" s="59">
        <v>440</v>
      </c>
      <c r="BF167" s="257">
        <f t="shared" ref="BF167:BF188" si="128">AK167*BE167</f>
        <v>220</v>
      </c>
      <c r="BG167" s="268">
        <v>4560</v>
      </c>
      <c r="BH167" s="257">
        <f t="shared" ref="BH167:BH188" si="129">AL167*BG167</f>
        <v>2280</v>
      </c>
      <c r="BI167" s="268">
        <v>4960</v>
      </c>
      <c r="BJ167" s="257">
        <f t="shared" ref="BJ167:BJ188" si="130">AM167*BI167</f>
        <v>2480</v>
      </c>
      <c r="BK167" s="59">
        <v>2440</v>
      </c>
      <c r="BL167" s="257">
        <f t="shared" ref="BL167:BL188" si="131">AN167*BK167</f>
        <v>1220</v>
      </c>
    </row>
    <row r="168" spans="1:64" ht="15.6">
      <c r="A168" s="250" t="s">
        <v>330</v>
      </c>
      <c r="B168" s="59" t="s">
        <v>221</v>
      </c>
      <c r="C168" s="354" t="s">
        <v>172</v>
      </c>
      <c r="D168" s="419"/>
      <c r="E168" s="281" t="s">
        <v>332</v>
      </c>
      <c r="F168" s="422"/>
      <c r="G168" s="317">
        <v>2023</v>
      </c>
      <c r="H168" s="323" t="s">
        <v>417</v>
      </c>
      <c r="I168" s="332" t="s">
        <v>183</v>
      </c>
      <c r="J168" s="331">
        <v>14</v>
      </c>
      <c r="K168" s="328" t="s">
        <v>243</v>
      </c>
      <c r="L168" s="323" t="s">
        <v>418</v>
      </c>
      <c r="M168" s="303" t="s">
        <v>178</v>
      </c>
      <c r="N168" s="303">
        <v>9.65</v>
      </c>
      <c r="O168" s="303">
        <v>13.3</v>
      </c>
      <c r="P168" s="303">
        <v>15.1</v>
      </c>
      <c r="Q168" s="303">
        <v>15.1</v>
      </c>
      <c r="R168" s="303">
        <v>15.1</v>
      </c>
      <c r="S168" s="303">
        <v>15.1</v>
      </c>
      <c r="T168" s="303">
        <v>15.1</v>
      </c>
      <c r="U168" s="303">
        <v>15.1</v>
      </c>
      <c r="V168" s="303">
        <v>13.3</v>
      </c>
      <c r="W168" s="303">
        <v>13.3</v>
      </c>
      <c r="X168" s="303">
        <v>13.3</v>
      </c>
      <c r="Y168" s="303">
        <v>13.3</v>
      </c>
      <c r="Z168" s="303">
        <v>13.3</v>
      </c>
      <c r="AA168" s="303">
        <v>13.3</v>
      </c>
      <c r="AB168" s="59">
        <v>1.5</v>
      </c>
      <c r="AC168" s="59">
        <v>1.5</v>
      </c>
      <c r="AD168" s="59">
        <v>2.5</v>
      </c>
      <c r="AE168" s="59">
        <v>2.5</v>
      </c>
      <c r="AF168" s="59">
        <v>2.5</v>
      </c>
      <c r="AG168" s="59">
        <v>2.5</v>
      </c>
      <c r="AH168" s="59">
        <v>2.5</v>
      </c>
      <c r="AI168" s="59">
        <v>2.9</v>
      </c>
      <c r="AJ168" s="59">
        <v>2.9</v>
      </c>
      <c r="AK168" s="59">
        <v>2.9</v>
      </c>
      <c r="AL168" s="59">
        <v>2.9</v>
      </c>
      <c r="AM168" s="59">
        <v>2.9</v>
      </c>
      <c r="AN168" s="59">
        <v>2.9</v>
      </c>
      <c r="AO168" s="260">
        <v>11400</v>
      </c>
      <c r="AP168" s="254">
        <f t="shared" si="120"/>
        <v>17100</v>
      </c>
      <c r="AQ168" s="260">
        <v>4889</v>
      </c>
      <c r="AR168" s="254">
        <f t="shared" si="121"/>
        <v>12222.5</v>
      </c>
      <c r="AS168" s="260">
        <v>5201</v>
      </c>
      <c r="AT168" s="254">
        <f t="shared" si="122"/>
        <v>13002.5</v>
      </c>
      <c r="AU168" s="260">
        <v>120</v>
      </c>
      <c r="AV168" s="257">
        <f t="shared" si="123"/>
        <v>300</v>
      </c>
      <c r="AW168" s="260">
        <v>2200</v>
      </c>
      <c r="AX168" s="257">
        <f t="shared" si="124"/>
        <v>5500</v>
      </c>
      <c r="AY168" s="270">
        <v>1000</v>
      </c>
      <c r="AZ168" s="257">
        <f t="shared" si="125"/>
        <v>2500</v>
      </c>
      <c r="BA168" s="270">
        <v>18861</v>
      </c>
      <c r="BB168" s="257">
        <f t="shared" si="126"/>
        <v>54696.9</v>
      </c>
      <c r="BC168" s="270">
        <v>7832</v>
      </c>
      <c r="BD168" s="257">
        <f t="shared" si="127"/>
        <v>22712.799999999999</v>
      </c>
      <c r="BE168" s="268">
        <v>5080</v>
      </c>
      <c r="BF168" s="257">
        <f t="shared" si="128"/>
        <v>14732</v>
      </c>
      <c r="BG168" s="268">
        <v>18840</v>
      </c>
      <c r="BH168" s="257">
        <f t="shared" si="129"/>
        <v>54636</v>
      </c>
      <c r="BI168" s="268">
        <v>22519</v>
      </c>
      <c r="BJ168" s="257">
        <f t="shared" si="130"/>
        <v>65305.1</v>
      </c>
      <c r="BK168" s="256">
        <v>1480</v>
      </c>
      <c r="BL168" s="257">
        <f t="shared" si="131"/>
        <v>4292</v>
      </c>
    </row>
    <row r="169" spans="1:64" ht="15.6">
      <c r="A169" s="250" t="s">
        <v>330</v>
      </c>
      <c r="B169" s="59" t="s">
        <v>221</v>
      </c>
      <c r="C169" s="354" t="s">
        <v>172</v>
      </c>
      <c r="D169" s="419"/>
      <c r="E169" s="281" t="s">
        <v>332</v>
      </c>
      <c r="F169" s="422"/>
      <c r="G169" s="317">
        <v>2023</v>
      </c>
      <c r="H169" s="323" t="s">
        <v>417</v>
      </c>
      <c r="I169" s="327" t="s">
        <v>190</v>
      </c>
      <c r="J169" s="331">
        <v>14</v>
      </c>
      <c r="K169" s="328" t="s">
        <v>243</v>
      </c>
      <c r="L169" s="323" t="s">
        <v>418</v>
      </c>
      <c r="M169" s="303" t="s">
        <v>178</v>
      </c>
      <c r="N169" s="303">
        <v>2.9</v>
      </c>
      <c r="O169" s="303">
        <v>4.4000000000000004</v>
      </c>
      <c r="P169" s="303">
        <v>4.9000000000000004</v>
      </c>
      <c r="Q169" s="303">
        <v>4.9000000000000004</v>
      </c>
      <c r="R169" s="303">
        <v>4.9000000000000004</v>
      </c>
      <c r="S169" s="303">
        <v>4.9000000000000004</v>
      </c>
      <c r="T169" s="303">
        <v>4.9000000000000004</v>
      </c>
      <c r="U169" s="303">
        <v>4.9000000000000004</v>
      </c>
      <c r="V169" s="303">
        <v>4.4000000000000004</v>
      </c>
      <c r="W169" s="303">
        <v>4.4000000000000004</v>
      </c>
      <c r="X169" s="303">
        <v>4.4000000000000004</v>
      </c>
      <c r="Y169" s="303">
        <v>4.4000000000000004</v>
      </c>
      <c r="Z169" s="303">
        <v>4.4000000000000004</v>
      </c>
      <c r="AA169" s="303">
        <v>4.4000000000000004</v>
      </c>
      <c r="AB169" s="59">
        <v>0.5</v>
      </c>
      <c r="AC169" s="59">
        <v>0.5</v>
      </c>
      <c r="AD169" s="59">
        <v>0.8</v>
      </c>
      <c r="AE169" s="59">
        <v>0.8</v>
      </c>
      <c r="AF169" s="59">
        <v>0.8</v>
      </c>
      <c r="AG169" s="59">
        <v>0.8</v>
      </c>
      <c r="AH169" s="59">
        <v>0.8</v>
      </c>
      <c r="AI169" s="59">
        <v>0.8</v>
      </c>
      <c r="AJ169" s="59">
        <v>0.8</v>
      </c>
      <c r="AK169" s="59">
        <v>0.8</v>
      </c>
      <c r="AL169" s="59">
        <v>0.8</v>
      </c>
      <c r="AM169" s="59">
        <v>0.8</v>
      </c>
      <c r="AN169" s="59">
        <v>0.8</v>
      </c>
      <c r="AO169" s="260">
        <v>10400</v>
      </c>
      <c r="AP169" s="254">
        <f t="shared" si="120"/>
        <v>5200</v>
      </c>
      <c r="AQ169" s="260">
        <v>7313</v>
      </c>
      <c r="AR169" s="254">
        <f t="shared" si="121"/>
        <v>5850.4000000000005</v>
      </c>
      <c r="AS169" s="260">
        <v>9276</v>
      </c>
      <c r="AT169" s="254">
        <f t="shared" si="122"/>
        <v>7420.8</v>
      </c>
      <c r="AU169" s="260">
        <v>6044</v>
      </c>
      <c r="AV169" s="257">
        <f t="shared" si="123"/>
        <v>4835.2</v>
      </c>
      <c r="AW169" s="260">
        <v>20720</v>
      </c>
      <c r="AX169" s="257">
        <f t="shared" si="124"/>
        <v>16576</v>
      </c>
      <c r="AY169" s="260">
        <v>18400</v>
      </c>
      <c r="AZ169" s="257">
        <f t="shared" si="125"/>
        <v>14720</v>
      </c>
      <c r="BA169" s="270">
        <v>22515</v>
      </c>
      <c r="BB169" s="257">
        <f t="shared" si="126"/>
        <v>18012</v>
      </c>
      <c r="BC169" s="260">
        <v>21840</v>
      </c>
      <c r="BD169" s="257">
        <f t="shared" si="127"/>
        <v>17472</v>
      </c>
      <c r="BE169" s="256">
        <v>18158</v>
      </c>
      <c r="BF169" s="257">
        <f t="shared" si="128"/>
        <v>14526.400000000001</v>
      </c>
      <c r="BG169" s="268">
        <v>16360</v>
      </c>
      <c r="BH169" s="257">
        <f t="shared" si="129"/>
        <v>13088</v>
      </c>
      <c r="BI169" s="268">
        <v>19080</v>
      </c>
      <c r="BJ169" s="257">
        <f t="shared" si="130"/>
        <v>15264</v>
      </c>
      <c r="BK169" s="256">
        <v>29592</v>
      </c>
      <c r="BL169" s="257">
        <f t="shared" si="131"/>
        <v>23673.600000000002</v>
      </c>
    </row>
    <row r="170" spans="1:64" ht="15.6">
      <c r="A170" s="250" t="s">
        <v>330</v>
      </c>
      <c r="B170" s="59" t="s">
        <v>221</v>
      </c>
      <c r="C170" s="354" t="s">
        <v>172</v>
      </c>
      <c r="D170" s="419"/>
      <c r="E170" s="281" t="s">
        <v>332</v>
      </c>
      <c r="F170" s="422"/>
      <c r="G170" s="317">
        <v>2023</v>
      </c>
      <c r="H170" s="323" t="s">
        <v>417</v>
      </c>
      <c r="I170" s="332" t="s">
        <v>183</v>
      </c>
      <c r="J170" s="331">
        <v>14</v>
      </c>
      <c r="K170" s="323" t="s">
        <v>245</v>
      </c>
      <c r="L170" s="323" t="s">
        <v>418</v>
      </c>
      <c r="M170" s="303" t="s">
        <v>178</v>
      </c>
      <c r="N170" s="303">
        <v>10.15</v>
      </c>
      <c r="O170" s="303">
        <v>15.8</v>
      </c>
      <c r="P170" s="303">
        <v>17.600000000000001</v>
      </c>
      <c r="Q170" s="303">
        <v>17.600000000000001</v>
      </c>
      <c r="R170" s="303">
        <v>17.600000000000001</v>
      </c>
      <c r="S170" s="303">
        <v>17.600000000000001</v>
      </c>
      <c r="T170" s="303">
        <v>17.600000000000001</v>
      </c>
      <c r="U170" s="303">
        <v>17.600000000000001</v>
      </c>
      <c r="V170" s="303">
        <v>15.8</v>
      </c>
      <c r="W170" s="303">
        <v>15.8</v>
      </c>
      <c r="X170" s="303">
        <v>15.8</v>
      </c>
      <c r="Y170" s="303">
        <v>15.8</v>
      </c>
      <c r="Z170" s="303">
        <v>15.8</v>
      </c>
      <c r="AA170" s="303">
        <v>15.8</v>
      </c>
      <c r="AB170" s="59">
        <v>1.5</v>
      </c>
      <c r="AC170" s="59">
        <v>1.5</v>
      </c>
      <c r="AD170" s="59">
        <v>2.5</v>
      </c>
      <c r="AE170" s="59">
        <v>2.5</v>
      </c>
      <c r="AF170" s="59">
        <v>2.5</v>
      </c>
      <c r="AG170" s="59">
        <v>2.5</v>
      </c>
      <c r="AH170" s="59">
        <v>2.5</v>
      </c>
      <c r="AI170" s="59">
        <v>3.5</v>
      </c>
      <c r="AJ170" s="59">
        <v>3.5</v>
      </c>
      <c r="AK170" s="59">
        <v>3.5</v>
      </c>
      <c r="AL170" s="59">
        <v>3.5</v>
      </c>
      <c r="AM170" s="59">
        <v>3.5</v>
      </c>
      <c r="AN170" s="59">
        <v>3.5</v>
      </c>
      <c r="AO170" s="260">
        <v>360</v>
      </c>
      <c r="AP170" s="254">
        <f t="shared" si="120"/>
        <v>540</v>
      </c>
      <c r="AQ170" s="260">
        <v>120</v>
      </c>
      <c r="AR170" s="254">
        <f t="shared" si="121"/>
        <v>300</v>
      </c>
      <c r="AS170" s="261">
        <v>160</v>
      </c>
      <c r="AT170" s="254">
        <f t="shared" si="122"/>
        <v>400</v>
      </c>
      <c r="AU170" s="256"/>
      <c r="AV170" s="257">
        <f t="shared" si="123"/>
        <v>0</v>
      </c>
      <c r="AW170" s="270">
        <v>40</v>
      </c>
      <c r="AX170" s="257">
        <f t="shared" si="124"/>
        <v>100</v>
      </c>
      <c r="AY170" s="270"/>
      <c r="AZ170" s="257">
        <f t="shared" si="125"/>
        <v>0</v>
      </c>
      <c r="BA170" s="268"/>
      <c r="BB170" s="257">
        <f t="shared" si="126"/>
        <v>0</v>
      </c>
      <c r="BC170" s="268">
        <v>80</v>
      </c>
      <c r="BD170" s="257">
        <f t="shared" si="127"/>
        <v>280</v>
      </c>
      <c r="BE170" s="256">
        <v>80</v>
      </c>
      <c r="BF170" s="257">
        <f t="shared" si="128"/>
        <v>280</v>
      </c>
      <c r="BG170" s="268">
        <v>200</v>
      </c>
      <c r="BH170" s="257">
        <f t="shared" si="129"/>
        <v>700</v>
      </c>
      <c r="BI170" s="268">
        <v>160</v>
      </c>
      <c r="BJ170" s="257">
        <f t="shared" si="130"/>
        <v>560</v>
      </c>
      <c r="BK170" s="59">
        <v>80</v>
      </c>
      <c r="BL170" s="257">
        <f t="shared" si="131"/>
        <v>280</v>
      </c>
    </row>
    <row r="171" spans="1:64" ht="15.6">
      <c r="A171" s="250" t="s">
        <v>330</v>
      </c>
      <c r="B171" s="59" t="s">
        <v>221</v>
      </c>
      <c r="C171" s="354" t="s">
        <v>172</v>
      </c>
      <c r="D171" s="419"/>
      <c r="E171" s="281" t="s">
        <v>332</v>
      </c>
      <c r="F171" s="422"/>
      <c r="G171" s="317">
        <v>2023</v>
      </c>
      <c r="H171" s="323" t="s">
        <v>419</v>
      </c>
      <c r="I171" s="327" t="s">
        <v>190</v>
      </c>
      <c r="J171" s="331">
        <v>15</v>
      </c>
      <c r="K171" s="323" t="s">
        <v>198</v>
      </c>
      <c r="L171" s="323" t="s">
        <v>177</v>
      </c>
      <c r="M171" s="303" t="s">
        <v>192</v>
      </c>
      <c r="N171" s="303">
        <v>2.8</v>
      </c>
      <c r="O171" s="303">
        <v>4.25</v>
      </c>
      <c r="P171" s="303">
        <v>4.6500000000000004</v>
      </c>
      <c r="Q171" s="303">
        <v>4.6500000000000004</v>
      </c>
      <c r="R171" s="303">
        <v>4.6500000000000004</v>
      </c>
      <c r="S171" s="303">
        <v>4.6500000000000004</v>
      </c>
      <c r="T171" s="303">
        <v>4.6500000000000004</v>
      </c>
      <c r="U171" s="303">
        <v>4.6500000000000004</v>
      </c>
      <c r="V171" s="303">
        <v>4.25</v>
      </c>
      <c r="W171" s="303">
        <v>4.25</v>
      </c>
      <c r="X171" s="303">
        <v>4.25</v>
      </c>
      <c r="Y171" s="303">
        <v>4.25</v>
      </c>
      <c r="Z171" s="303">
        <v>4.25</v>
      </c>
      <c r="AA171" s="303">
        <v>4.25</v>
      </c>
      <c r="AB171" s="59">
        <v>0.5</v>
      </c>
      <c r="AC171" s="59">
        <v>0.5</v>
      </c>
      <c r="AD171" s="59">
        <v>1</v>
      </c>
      <c r="AE171" s="59">
        <v>1</v>
      </c>
      <c r="AF171" s="59">
        <v>1</v>
      </c>
      <c r="AG171" s="59">
        <v>1</v>
      </c>
      <c r="AH171" s="59">
        <v>1</v>
      </c>
      <c r="AI171" s="59">
        <v>1.4</v>
      </c>
      <c r="AJ171" s="59">
        <v>1.4</v>
      </c>
      <c r="AK171" s="59">
        <v>1.4</v>
      </c>
      <c r="AL171" s="59">
        <v>1.4</v>
      </c>
      <c r="AM171" s="59">
        <v>1.4</v>
      </c>
      <c r="AN171" s="59">
        <v>1.4</v>
      </c>
      <c r="AO171" s="260">
        <v>32371</v>
      </c>
      <c r="AP171" s="254">
        <f t="shared" si="120"/>
        <v>16185.5</v>
      </c>
      <c r="AQ171" s="260">
        <v>17040</v>
      </c>
      <c r="AR171" s="254">
        <f t="shared" si="121"/>
        <v>17040</v>
      </c>
      <c r="AS171" s="260">
        <v>5560</v>
      </c>
      <c r="AT171" s="254">
        <f t="shared" si="122"/>
        <v>5560</v>
      </c>
      <c r="AU171" s="260">
        <v>9080</v>
      </c>
      <c r="AV171" s="257">
        <f t="shared" si="123"/>
        <v>9080</v>
      </c>
      <c r="AW171" s="260">
        <v>27920</v>
      </c>
      <c r="AX171" s="257">
        <f t="shared" si="124"/>
        <v>27920</v>
      </c>
      <c r="AY171" s="260">
        <v>5760</v>
      </c>
      <c r="AZ171" s="257">
        <f t="shared" si="125"/>
        <v>5760</v>
      </c>
      <c r="BA171" s="260">
        <v>6160</v>
      </c>
      <c r="BB171" s="257">
        <f t="shared" si="126"/>
        <v>8624</v>
      </c>
      <c r="BC171" s="260">
        <v>800</v>
      </c>
      <c r="BD171" s="257">
        <f t="shared" si="127"/>
        <v>1120</v>
      </c>
      <c r="BE171" s="268">
        <v>3600</v>
      </c>
      <c r="BF171" s="257">
        <f t="shared" si="128"/>
        <v>5040</v>
      </c>
      <c r="BG171" s="268">
        <v>3240</v>
      </c>
      <c r="BH171" s="257">
        <f t="shared" si="129"/>
        <v>4536</v>
      </c>
      <c r="BI171" s="268">
        <v>9480</v>
      </c>
      <c r="BJ171" s="257">
        <f t="shared" si="130"/>
        <v>13272</v>
      </c>
      <c r="BK171" s="268">
        <v>4560</v>
      </c>
      <c r="BL171" s="257">
        <f t="shared" si="131"/>
        <v>6384</v>
      </c>
    </row>
    <row r="172" spans="1:64" ht="15.6">
      <c r="A172" s="250" t="s">
        <v>330</v>
      </c>
      <c r="B172" s="59" t="s">
        <v>221</v>
      </c>
      <c r="C172" s="354" t="s">
        <v>172</v>
      </c>
      <c r="D172" s="419"/>
      <c r="E172" s="281" t="s">
        <v>332</v>
      </c>
      <c r="F172" s="422"/>
      <c r="G172" s="317">
        <v>2023</v>
      </c>
      <c r="H172" s="323" t="s">
        <v>419</v>
      </c>
      <c r="I172" s="332" t="s">
        <v>183</v>
      </c>
      <c r="J172" s="331">
        <v>15</v>
      </c>
      <c r="K172" s="323" t="s">
        <v>210</v>
      </c>
      <c r="L172" s="323" t="s">
        <v>177</v>
      </c>
      <c r="M172" s="303" t="s">
        <v>192</v>
      </c>
      <c r="N172" s="303">
        <v>8.6</v>
      </c>
      <c r="O172" s="303">
        <v>12.5</v>
      </c>
      <c r="P172" s="303">
        <v>14.3</v>
      </c>
      <c r="Q172" s="303">
        <v>14.3</v>
      </c>
      <c r="R172" s="303">
        <v>14.3</v>
      </c>
      <c r="S172" s="303">
        <v>14.3</v>
      </c>
      <c r="T172" s="303">
        <v>14.3</v>
      </c>
      <c r="U172" s="303">
        <v>14.3</v>
      </c>
      <c r="V172" s="303">
        <v>12.5</v>
      </c>
      <c r="W172" s="303">
        <v>12.5</v>
      </c>
      <c r="X172" s="303">
        <v>12.5</v>
      </c>
      <c r="Y172" s="303">
        <v>12.5</v>
      </c>
      <c r="Z172" s="303">
        <v>12.5</v>
      </c>
      <c r="AA172" s="303">
        <v>12.5</v>
      </c>
      <c r="AB172" s="59">
        <v>1.5</v>
      </c>
      <c r="AC172" s="59">
        <v>1.5</v>
      </c>
      <c r="AD172" s="59">
        <v>2.5</v>
      </c>
      <c r="AE172" s="59">
        <v>2.5</v>
      </c>
      <c r="AF172" s="59">
        <v>2.5</v>
      </c>
      <c r="AG172" s="59">
        <v>2.5</v>
      </c>
      <c r="AH172" s="59">
        <v>2.5</v>
      </c>
      <c r="AI172" s="59">
        <v>4.05</v>
      </c>
      <c r="AJ172" s="59">
        <v>4.05</v>
      </c>
      <c r="AK172" s="59">
        <v>4.05</v>
      </c>
      <c r="AL172" s="59">
        <v>4.05</v>
      </c>
      <c r="AM172" s="59">
        <v>4.05</v>
      </c>
      <c r="AN172" s="59">
        <v>4.05</v>
      </c>
      <c r="AO172" s="260">
        <v>3320</v>
      </c>
      <c r="AP172" s="254">
        <f t="shared" si="120"/>
        <v>4980</v>
      </c>
      <c r="AQ172" s="260">
        <v>1640</v>
      </c>
      <c r="AR172" s="254">
        <f t="shared" si="121"/>
        <v>4100</v>
      </c>
      <c r="AS172" s="270">
        <v>560</v>
      </c>
      <c r="AT172" s="254">
        <f t="shared" si="122"/>
        <v>1400</v>
      </c>
      <c r="AU172" s="270">
        <v>120</v>
      </c>
      <c r="AV172" s="257">
        <f t="shared" si="123"/>
        <v>300</v>
      </c>
      <c r="AW172" s="270">
        <v>1800</v>
      </c>
      <c r="AX172" s="257">
        <f t="shared" si="124"/>
        <v>4500</v>
      </c>
      <c r="AY172" s="270">
        <v>120</v>
      </c>
      <c r="AZ172" s="257">
        <f t="shared" si="125"/>
        <v>300</v>
      </c>
      <c r="BA172" s="270">
        <v>960</v>
      </c>
      <c r="BB172" s="257">
        <f t="shared" si="126"/>
        <v>3888</v>
      </c>
      <c r="BC172" s="270"/>
      <c r="BD172" s="257">
        <f t="shared" si="127"/>
        <v>0</v>
      </c>
      <c r="BE172" s="268">
        <v>40</v>
      </c>
      <c r="BF172" s="257">
        <f t="shared" si="128"/>
        <v>162</v>
      </c>
      <c r="BG172" s="268">
        <v>40</v>
      </c>
      <c r="BH172" s="257">
        <f t="shared" si="129"/>
        <v>162</v>
      </c>
      <c r="BI172" s="268">
        <v>840</v>
      </c>
      <c r="BJ172" s="257">
        <f t="shared" si="130"/>
        <v>3402</v>
      </c>
      <c r="BK172" s="268">
        <v>1520</v>
      </c>
      <c r="BL172" s="257">
        <f t="shared" si="131"/>
        <v>6156</v>
      </c>
    </row>
    <row r="173" spans="1:64" ht="15.6">
      <c r="A173" s="250" t="s">
        <v>330</v>
      </c>
      <c r="B173" s="59" t="s">
        <v>221</v>
      </c>
      <c r="C173" s="354" t="s">
        <v>172</v>
      </c>
      <c r="D173" s="419"/>
      <c r="E173" s="281" t="s">
        <v>332</v>
      </c>
      <c r="F173" s="422"/>
      <c r="G173" s="317">
        <v>2023</v>
      </c>
      <c r="H173" s="323" t="s">
        <v>419</v>
      </c>
      <c r="I173" s="327" t="s">
        <v>190</v>
      </c>
      <c r="J173" s="331">
        <v>15</v>
      </c>
      <c r="K173" s="323" t="s">
        <v>210</v>
      </c>
      <c r="L173" s="323" t="s">
        <v>177</v>
      </c>
      <c r="M173" s="303" t="s">
        <v>192</v>
      </c>
      <c r="N173" s="303">
        <v>4.4000000000000004</v>
      </c>
      <c r="O173" s="303">
        <v>6.3</v>
      </c>
      <c r="P173" s="303">
        <v>6.65</v>
      </c>
      <c r="Q173" s="303">
        <v>6.65</v>
      </c>
      <c r="R173" s="303">
        <v>6.65</v>
      </c>
      <c r="S173" s="303">
        <v>6.65</v>
      </c>
      <c r="T173" s="303">
        <v>6.65</v>
      </c>
      <c r="U173" s="303">
        <v>6.65</v>
      </c>
      <c r="V173" s="303">
        <v>6.3</v>
      </c>
      <c r="W173" s="303">
        <v>6.3</v>
      </c>
      <c r="X173" s="303">
        <v>6.3</v>
      </c>
      <c r="Y173" s="303">
        <v>6.3</v>
      </c>
      <c r="Z173" s="303">
        <v>6.3</v>
      </c>
      <c r="AA173" s="303">
        <v>6.3</v>
      </c>
      <c r="AB173" s="59">
        <v>0.7</v>
      </c>
      <c r="AC173" s="59">
        <v>0.7</v>
      </c>
      <c r="AD173" s="59">
        <v>1</v>
      </c>
      <c r="AE173" s="59">
        <v>1</v>
      </c>
      <c r="AF173" s="59">
        <v>1</v>
      </c>
      <c r="AG173" s="59">
        <v>1</v>
      </c>
      <c r="AH173" s="59">
        <v>1</v>
      </c>
      <c r="AI173" s="59">
        <v>1.65</v>
      </c>
      <c r="AJ173" s="59">
        <v>1.65</v>
      </c>
      <c r="AK173" s="59">
        <v>1.65</v>
      </c>
      <c r="AL173" s="59">
        <v>1.65</v>
      </c>
      <c r="AM173" s="59">
        <v>1.65</v>
      </c>
      <c r="AN173" s="59">
        <v>1.65</v>
      </c>
      <c r="AO173" s="260">
        <v>17520</v>
      </c>
      <c r="AP173" s="254">
        <f t="shared" si="120"/>
        <v>12264</v>
      </c>
      <c r="AQ173" s="260">
        <v>12280</v>
      </c>
      <c r="AR173" s="254">
        <f t="shared" si="121"/>
        <v>12280</v>
      </c>
      <c r="AS173" s="270">
        <v>2200</v>
      </c>
      <c r="AT173" s="254">
        <f t="shared" si="122"/>
        <v>2200</v>
      </c>
      <c r="AU173" s="270">
        <v>680</v>
      </c>
      <c r="AV173" s="257">
        <f t="shared" si="123"/>
        <v>680</v>
      </c>
      <c r="AW173" s="270">
        <v>1449</v>
      </c>
      <c r="AX173" s="257">
        <f t="shared" si="124"/>
        <v>1449</v>
      </c>
      <c r="AY173" s="270">
        <v>80</v>
      </c>
      <c r="AZ173" s="257">
        <f t="shared" si="125"/>
        <v>80</v>
      </c>
      <c r="BA173" s="270">
        <v>1640</v>
      </c>
      <c r="BB173" s="257">
        <f t="shared" si="126"/>
        <v>2706</v>
      </c>
      <c r="BC173" s="270"/>
      <c r="BD173" s="257">
        <f t="shared" si="127"/>
        <v>0</v>
      </c>
      <c r="BE173" s="268">
        <v>80</v>
      </c>
      <c r="BF173" s="257">
        <f t="shared" si="128"/>
        <v>132</v>
      </c>
      <c r="BG173" s="268">
        <v>2720</v>
      </c>
      <c r="BH173" s="257">
        <f t="shared" si="129"/>
        <v>4488</v>
      </c>
      <c r="BI173" s="268">
        <v>12960</v>
      </c>
      <c r="BJ173" s="257">
        <f t="shared" si="130"/>
        <v>21384</v>
      </c>
      <c r="BK173" s="268"/>
      <c r="BL173" s="257">
        <f t="shared" si="131"/>
        <v>0</v>
      </c>
    </row>
    <row r="174" spans="1:64" ht="15.6">
      <c r="A174" s="250" t="s">
        <v>330</v>
      </c>
      <c r="B174" s="59" t="s">
        <v>221</v>
      </c>
      <c r="C174" s="354" t="s">
        <v>172</v>
      </c>
      <c r="D174" s="419"/>
      <c r="E174" s="281" t="s">
        <v>332</v>
      </c>
      <c r="F174" s="422"/>
      <c r="G174" s="317">
        <v>2023</v>
      </c>
      <c r="H174" s="323" t="s">
        <v>419</v>
      </c>
      <c r="I174" s="332" t="s">
        <v>183</v>
      </c>
      <c r="J174" s="331">
        <v>15</v>
      </c>
      <c r="K174" s="328" t="s">
        <v>243</v>
      </c>
      <c r="L174" s="323" t="s">
        <v>177</v>
      </c>
      <c r="M174" s="303" t="s">
        <v>192</v>
      </c>
      <c r="N174" s="303">
        <v>8.6</v>
      </c>
      <c r="O174" s="303">
        <v>12.5</v>
      </c>
      <c r="P174" s="303">
        <v>14.3</v>
      </c>
      <c r="Q174" s="303">
        <v>14.3</v>
      </c>
      <c r="R174" s="303">
        <v>14.3</v>
      </c>
      <c r="S174" s="303">
        <v>14.3</v>
      </c>
      <c r="T174" s="303">
        <v>14.3</v>
      </c>
      <c r="U174" s="303">
        <v>14.3</v>
      </c>
      <c r="V174" s="303">
        <v>12.5</v>
      </c>
      <c r="W174" s="303">
        <v>12.5</v>
      </c>
      <c r="X174" s="303">
        <v>12.5</v>
      </c>
      <c r="Y174" s="303">
        <v>12.5</v>
      </c>
      <c r="Z174" s="303">
        <v>12.5</v>
      </c>
      <c r="AA174" s="303">
        <v>12.5</v>
      </c>
      <c r="AB174" s="59">
        <v>1.5</v>
      </c>
      <c r="AC174" s="59">
        <v>1.5</v>
      </c>
      <c r="AD174" s="59">
        <v>2.5</v>
      </c>
      <c r="AE174" s="59">
        <v>2.5</v>
      </c>
      <c r="AF174" s="59">
        <v>2.5</v>
      </c>
      <c r="AG174" s="59">
        <v>2.5</v>
      </c>
      <c r="AH174" s="59">
        <v>2.5</v>
      </c>
      <c r="AI174" s="59">
        <v>4.05</v>
      </c>
      <c r="AJ174" s="59">
        <v>4.05</v>
      </c>
      <c r="AK174" s="59">
        <v>4.05</v>
      </c>
      <c r="AL174" s="59">
        <v>4.05</v>
      </c>
      <c r="AM174" s="59">
        <v>4.05</v>
      </c>
      <c r="AN174" s="59">
        <v>4.05</v>
      </c>
      <c r="AO174" s="260">
        <v>34923</v>
      </c>
      <c r="AP174" s="254">
        <f t="shared" si="120"/>
        <v>52384.5</v>
      </c>
      <c r="AQ174" s="260">
        <v>16480</v>
      </c>
      <c r="AR174" s="254">
        <f t="shared" si="121"/>
        <v>41200</v>
      </c>
      <c r="AS174" s="260">
        <v>10420</v>
      </c>
      <c r="AT174" s="254">
        <f t="shared" si="122"/>
        <v>26050</v>
      </c>
      <c r="AU174" s="260">
        <v>10800</v>
      </c>
      <c r="AV174" s="257">
        <f t="shared" si="123"/>
        <v>27000</v>
      </c>
      <c r="AW174" s="260">
        <v>16760</v>
      </c>
      <c r="AX174" s="257">
        <f t="shared" si="124"/>
        <v>41900</v>
      </c>
      <c r="AY174" s="260">
        <v>20400</v>
      </c>
      <c r="AZ174" s="257">
        <f t="shared" si="125"/>
        <v>51000</v>
      </c>
      <c r="BA174" s="260">
        <v>16800</v>
      </c>
      <c r="BB174" s="257">
        <f t="shared" si="126"/>
        <v>68040</v>
      </c>
      <c r="BC174" s="260">
        <v>34480</v>
      </c>
      <c r="BD174" s="257">
        <f t="shared" si="127"/>
        <v>139644</v>
      </c>
      <c r="BE174" s="268">
        <v>19560</v>
      </c>
      <c r="BF174" s="257">
        <f t="shared" si="128"/>
        <v>79218</v>
      </c>
      <c r="BG174" s="268">
        <v>45622</v>
      </c>
      <c r="BH174" s="257">
        <f t="shared" si="129"/>
        <v>184769.1</v>
      </c>
      <c r="BI174" s="268">
        <v>70240</v>
      </c>
      <c r="BJ174" s="257">
        <f t="shared" si="130"/>
        <v>284472</v>
      </c>
      <c r="BK174" s="268">
        <v>12960</v>
      </c>
      <c r="BL174" s="257">
        <f t="shared" si="131"/>
        <v>52488</v>
      </c>
    </row>
    <row r="175" spans="1:64" ht="15.6">
      <c r="A175" s="250" t="s">
        <v>330</v>
      </c>
      <c r="B175" s="59" t="s">
        <v>221</v>
      </c>
      <c r="C175" s="354" t="s">
        <v>172</v>
      </c>
      <c r="D175" s="419"/>
      <c r="E175" s="281" t="s">
        <v>332</v>
      </c>
      <c r="F175" s="422"/>
      <c r="G175" s="317">
        <v>2023</v>
      </c>
      <c r="H175" s="323" t="s">
        <v>419</v>
      </c>
      <c r="I175" s="327" t="s">
        <v>190</v>
      </c>
      <c r="J175" s="331">
        <v>15</v>
      </c>
      <c r="K175" s="328" t="s">
        <v>243</v>
      </c>
      <c r="L175" s="323" t="s">
        <v>177</v>
      </c>
      <c r="M175" s="303" t="s">
        <v>192</v>
      </c>
      <c r="N175" s="303">
        <v>2.8</v>
      </c>
      <c r="O175" s="303">
        <v>4.25</v>
      </c>
      <c r="P175" s="303">
        <v>4.6500000000000004</v>
      </c>
      <c r="Q175" s="303">
        <v>4.6500000000000004</v>
      </c>
      <c r="R175" s="303">
        <v>4.6500000000000004</v>
      </c>
      <c r="S175" s="303">
        <v>4.6500000000000004</v>
      </c>
      <c r="T175" s="303">
        <v>4.6500000000000004</v>
      </c>
      <c r="U175" s="303">
        <v>4.6500000000000004</v>
      </c>
      <c r="V175" s="303">
        <v>4.25</v>
      </c>
      <c r="W175" s="303">
        <v>4.25</v>
      </c>
      <c r="X175" s="303">
        <v>4.25</v>
      </c>
      <c r="Y175" s="303">
        <v>4.25</v>
      </c>
      <c r="Z175" s="303">
        <v>4.25</v>
      </c>
      <c r="AA175" s="303">
        <v>4.25</v>
      </c>
      <c r="AB175" s="59">
        <v>0.5</v>
      </c>
      <c r="AC175" s="59">
        <v>0.5</v>
      </c>
      <c r="AD175" s="59">
        <v>1</v>
      </c>
      <c r="AE175" s="59">
        <v>1</v>
      </c>
      <c r="AF175" s="59">
        <v>1</v>
      </c>
      <c r="AG175" s="59">
        <v>1</v>
      </c>
      <c r="AH175" s="59">
        <v>1</v>
      </c>
      <c r="AI175" s="59">
        <v>1.4</v>
      </c>
      <c r="AJ175" s="59">
        <v>1.4</v>
      </c>
      <c r="AK175" s="59">
        <v>1.4</v>
      </c>
      <c r="AL175" s="59">
        <v>1.4</v>
      </c>
      <c r="AM175" s="59">
        <v>1.4</v>
      </c>
      <c r="AN175" s="59">
        <v>1.4</v>
      </c>
      <c r="AO175" s="260">
        <v>73009</v>
      </c>
      <c r="AP175" s="254">
        <f t="shared" si="120"/>
        <v>36504.5</v>
      </c>
      <c r="AQ175" s="260">
        <v>26677</v>
      </c>
      <c r="AR175" s="254">
        <f t="shared" si="121"/>
        <v>26677</v>
      </c>
      <c r="AS175" s="260">
        <v>46120</v>
      </c>
      <c r="AT175" s="254">
        <f t="shared" si="122"/>
        <v>46120</v>
      </c>
      <c r="AU175" s="260">
        <v>6341</v>
      </c>
      <c r="AV175" s="257">
        <f t="shared" si="123"/>
        <v>6341</v>
      </c>
      <c r="AW175" s="260">
        <v>19440</v>
      </c>
      <c r="AX175" s="257">
        <f t="shared" si="124"/>
        <v>19440</v>
      </c>
      <c r="AY175" s="260">
        <v>54599</v>
      </c>
      <c r="AZ175" s="257">
        <f t="shared" si="125"/>
        <v>54599</v>
      </c>
      <c r="BA175" s="260">
        <v>30120</v>
      </c>
      <c r="BB175" s="257">
        <f t="shared" si="126"/>
        <v>42168</v>
      </c>
      <c r="BC175" s="260">
        <v>30480</v>
      </c>
      <c r="BD175" s="257">
        <f t="shared" si="127"/>
        <v>42672</v>
      </c>
      <c r="BE175" s="268">
        <v>42547</v>
      </c>
      <c r="BF175" s="257">
        <f t="shared" si="128"/>
        <v>59565.799999999996</v>
      </c>
      <c r="BG175" s="268">
        <v>84097</v>
      </c>
      <c r="BH175" s="257">
        <f t="shared" si="129"/>
        <v>117735.79999999999</v>
      </c>
      <c r="BI175" s="268">
        <v>73240</v>
      </c>
      <c r="BJ175" s="257">
        <f t="shared" si="130"/>
        <v>102536</v>
      </c>
      <c r="BK175" s="268">
        <v>102719</v>
      </c>
      <c r="BL175" s="257">
        <f t="shared" si="131"/>
        <v>143806.59999999998</v>
      </c>
    </row>
    <row r="176" spans="1:64" ht="15.6">
      <c r="A176" s="250" t="s">
        <v>330</v>
      </c>
      <c r="B176" s="59" t="s">
        <v>221</v>
      </c>
      <c r="C176" s="354" t="s">
        <v>172</v>
      </c>
      <c r="D176" s="419"/>
      <c r="E176" s="281" t="s">
        <v>332</v>
      </c>
      <c r="F176" s="422"/>
      <c r="G176" s="317">
        <v>2023</v>
      </c>
      <c r="H176" s="323" t="s">
        <v>419</v>
      </c>
      <c r="I176" s="332" t="s">
        <v>183</v>
      </c>
      <c r="J176" s="331">
        <v>15</v>
      </c>
      <c r="K176" s="323" t="s">
        <v>247</v>
      </c>
      <c r="L176" s="323" t="s">
        <v>177</v>
      </c>
      <c r="M176" s="303" t="s">
        <v>192</v>
      </c>
      <c r="N176" s="303">
        <v>9</v>
      </c>
      <c r="O176" s="303">
        <v>12.5</v>
      </c>
      <c r="P176" s="303">
        <v>15.2</v>
      </c>
      <c r="Q176" s="303">
        <v>15.2</v>
      </c>
      <c r="R176" s="303">
        <v>15.2</v>
      </c>
      <c r="S176" s="303">
        <v>15.2</v>
      </c>
      <c r="T176" s="303">
        <v>15.2</v>
      </c>
      <c r="U176" s="303">
        <v>15.2</v>
      </c>
      <c r="V176" s="303">
        <v>12.5</v>
      </c>
      <c r="W176" s="303">
        <v>12.5</v>
      </c>
      <c r="X176" s="303">
        <v>12.5</v>
      </c>
      <c r="Y176" s="303">
        <v>12.5</v>
      </c>
      <c r="Z176" s="303">
        <v>12.5</v>
      </c>
      <c r="AA176" s="303">
        <v>12.5</v>
      </c>
      <c r="AB176" s="59">
        <v>1.5</v>
      </c>
      <c r="AC176" s="59">
        <v>1.5</v>
      </c>
      <c r="AD176" s="59">
        <v>2.5</v>
      </c>
      <c r="AE176" s="59">
        <v>2.5</v>
      </c>
      <c r="AF176" s="59">
        <v>2.5</v>
      </c>
      <c r="AG176" s="59">
        <v>2.5</v>
      </c>
      <c r="AH176" s="59">
        <v>2.5</v>
      </c>
      <c r="AI176" s="59">
        <v>4.05</v>
      </c>
      <c r="AJ176" s="59">
        <v>4.05</v>
      </c>
      <c r="AK176" s="59">
        <v>4.05</v>
      </c>
      <c r="AL176" s="59">
        <v>4.05</v>
      </c>
      <c r="AM176" s="59">
        <v>4.05</v>
      </c>
      <c r="AN176" s="59">
        <v>4.05</v>
      </c>
      <c r="AO176" s="260"/>
      <c r="AP176" s="254">
        <f t="shared" si="120"/>
        <v>0</v>
      </c>
      <c r="AQ176" s="260"/>
      <c r="AR176" s="254">
        <f t="shared" si="121"/>
        <v>0</v>
      </c>
      <c r="AS176" s="261">
        <v>959</v>
      </c>
      <c r="AT176" s="254">
        <f t="shared" si="122"/>
        <v>2397.5</v>
      </c>
      <c r="AU176" s="256"/>
      <c r="AV176" s="257">
        <f t="shared" si="123"/>
        <v>0</v>
      </c>
      <c r="AW176" s="270"/>
      <c r="AX176" s="257">
        <f t="shared" si="124"/>
        <v>0</v>
      </c>
      <c r="AY176" s="270">
        <v>240</v>
      </c>
      <c r="AZ176" s="257">
        <f t="shared" si="125"/>
        <v>600</v>
      </c>
      <c r="BA176" s="268">
        <v>480</v>
      </c>
      <c r="BB176" s="257">
        <f t="shared" si="126"/>
        <v>1944</v>
      </c>
      <c r="BC176" s="268"/>
      <c r="BD176" s="257">
        <f t="shared" si="127"/>
        <v>0</v>
      </c>
      <c r="BE176" s="59"/>
      <c r="BF176" s="257">
        <f t="shared" si="128"/>
        <v>0</v>
      </c>
      <c r="BG176" s="59"/>
      <c r="BH176" s="257">
        <f t="shared" si="129"/>
        <v>0</v>
      </c>
      <c r="BI176" s="59"/>
      <c r="BJ176" s="257">
        <f t="shared" si="130"/>
        <v>0</v>
      </c>
      <c r="BK176" s="59">
        <v>240</v>
      </c>
      <c r="BL176" s="257">
        <f t="shared" si="131"/>
        <v>972</v>
      </c>
    </row>
    <row r="177" spans="1:64" ht="15.6">
      <c r="A177" s="250" t="s">
        <v>330</v>
      </c>
      <c r="B177" s="59" t="s">
        <v>221</v>
      </c>
      <c r="C177" s="354" t="s">
        <v>172</v>
      </c>
      <c r="D177" s="419"/>
      <c r="E177" s="281" t="s">
        <v>332</v>
      </c>
      <c r="F177" s="422"/>
      <c r="G177" s="317">
        <v>2023</v>
      </c>
      <c r="H177" s="323" t="s">
        <v>419</v>
      </c>
      <c r="I177" s="332" t="s">
        <v>183</v>
      </c>
      <c r="J177" s="331">
        <v>15</v>
      </c>
      <c r="K177" s="323" t="s">
        <v>248</v>
      </c>
      <c r="L177" s="323" t="s">
        <v>177</v>
      </c>
      <c r="M177" s="303" t="s">
        <v>192</v>
      </c>
      <c r="N177" s="303">
        <v>9</v>
      </c>
      <c r="O177" s="303">
        <v>12.5</v>
      </c>
      <c r="P177" s="303">
        <v>15.2</v>
      </c>
      <c r="Q177" s="303">
        <v>15.2</v>
      </c>
      <c r="R177" s="303">
        <v>15.2</v>
      </c>
      <c r="S177" s="303">
        <v>15.2</v>
      </c>
      <c r="T177" s="303">
        <v>15.2</v>
      </c>
      <c r="U177" s="303">
        <v>15.2</v>
      </c>
      <c r="V177" s="303">
        <v>12.5</v>
      </c>
      <c r="W177" s="303">
        <v>12.5</v>
      </c>
      <c r="X177" s="303">
        <v>12.5</v>
      </c>
      <c r="Y177" s="303">
        <v>12.5</v>
      </c>
      <c r="Z177" s="303">
        <v>12.5</v>
      </c>
      <c r="AA177" s="303">
        <v>12.5</v>
      </c>
      <c r="AB177" s="59">
        <v>1.5</v>
      </c>
      <c r="AC177" s="59">
        <v>1.5</v>
      </c>
      <c r="AD177" s="59">
        <v>2.5</v>
      </c>
      <c r="AE177" s="59">
        <v>2.5</v>
      </c>
      <c r="AF177" s="59">
        <v>2.5</v>
      </c>
      <c r="AG177" s="59">
        <v>2.5</v>
      </c>
      <c r="AH177" s="59">
        <v>2.5</v>
      </c>
      <c r="AI177" s="59">
        <v>4.05</v>
      </c>
      <c r="AJ177" s="59">
        <v>4.05</v>
      </c>
      <c r="AK177" s="59">
        <v>4.05</v>
      </c>
      <c r="AL177" s="59">
        <v>4.05</v>
      </c>
      <c r="AM177" s="59">
        <v>4.05</v>
      </c>
      <c r="AN177" s="59">
        <v>4.05</v>
      </c>
      <c r="AO177" s="260"/>
      <c r="AP177" s="254">
        <f t="shared" si="120"/>
        <v>0</v>
      </c>
      <c r="AQ177" s="260"/>
      <c r="AR177" s="254">
        <f t="shared" si="121"/>
        <v>0</v>
      </c>
      <c r="AS177" s="261">
        <v>880</v>
      </c>
      <c r="AT177" s="254">
        <f t="shared" si="122"/>
        <v>2200</v>
      </c>
      <c r="AU177" s="256"/>
      <c r="AV177" s="257">
        <f t="shared" si="123"/>
        <v>0</v>
      </c>
      <c r="AW177" s="270"/>
      <c r="AX177" s="257">
        <f t="shared" si="124"/>
        <v>0</v>
      </c>
      <c r="AY177" s="270">
        <v>480</v>
      </c>
      <c r="AZ177" s="257">
        <f t="shared" si="125"/>
        <v>1200</v>
      </c>
      <c r="BA177" s="268">
        <v>80</v>
      </c>
      <c r="BB177" s="257">
        <f t="shared" si="126"/>
        <v>324</v>
      </c>
      <c r="BC177" s="268"/>
      <c r="BD177" s="257">
        <f t="shared" si="127"/>
        <v>0</v>
      </c>
      <c r="BE177" s="59"/>
      <c r="BF177" s="257">
        <f t="shared" si="128"/>
        <v>0</v>
      </c>
      <c r="BG177" s="59"/>
      <c r="BH177" s="257">
        <f t="shared" si="129"/>
        <v>0</v>
      </c>
      <c r="BI177" s="59"/>
      <c r="BJ177" s="257">
        <f t="shared" si="130"/>
        <v>0</v>
      </c>
      <c r="BK177" s="59"/>
      <c r="BL177" s="257">
        <f t="shared" si="131"/>
        <v>0</v>
      </c>
    </row>
    <row r="178" spans="1:64" ht="15.6">
      <c r="A178" s="250" t="s">
        <v>330</v>
      </c>
      <c r="B178" s="59" t="s">
        <v>221</v>
      </c>
      <c r="C178" s="354" t="s">
        <v>172</v>
      </c>
      <c r="D178" s="419"/>
      <c r="E178" s="281" t="s">
        <v>332</v>
      </c>
      <c r="F178" s="422"/>
      <c r="G178" s="317">
        <v>2023</v>
      </c>
      <c r="H178" s="323" t="s">
        <v>419</v>
      </c>
      <c r="I178" s="332" t="s">
        <v>357</v>
      </c>
      <c r="J178" s="331">
        <v>15</v>
      </c>
      <c r="K178" s="323" t="s">
        <v>198</v>
      </c>
      <c r="L178" s="323" t="s">
        <v>420</v>
      </c>
      <c r="M178" s="303" t="s">
        <v>192</v>
      </c>
      <c r="N178" s="303">
        <v>2.8</v>
      </c>
      <c r="O178" s="303">
        <v>4.25</v>
      </c>
      <c r="P178" s="303">
        <v>4.6500000000000004</v>
      </c>
      <c r="Q178" s="303">
        <v>4.6500000000000004</v>
      </c>
      <c r="R178" s="303">
        <v>4.6500000000000004</v>
      </c>
      <c r="S178" s="303">
        <v>4.6500000000000004</v>
      </c>
      <c r="T178" s="303">
        <v>4.6500000000000004</v>
      </c>
      <c r="U178" s="303">
        <v>4.6500000000000004</v>
      </c>
      <c r="V178" s="303">
        <v>4.25</v>
      </c>
      <c r="W178" s="303">
        <v>4.25</v>
      </c>
      <c r="X178" s="303">
        <v>4.25</v>
      </c>
      <c r="Y178" s="303">
        <v>4.25</v>
      </c>
      <c r="Z178" s="303">
        <v>4.25</v>
      </c>
      <c r="AA178" s="303">
        <v>4.25</v>
      </c>
      <c r="AB178" s="59">
        <v>0</v>
      </c>
      <c r="AC178" s="59">
        <v>0</v>
      </c>
      <c r="AD178" s="59">
        <v>0.69</v>
      </c>
      <c r="AE178" s="59">
        <v>0.61</v>
      </c>
      <c r="AF178" s="59">
        <v>0.61</v>
      </c>
      <c r="AG178" s="59">
        <v>0.61</v>
      </c>
      <c r="AH178" s="59">
        <v>0.61</v>
      </c>
      <c r="AI178" s="59">
        <v>1.4</v>
      </c>
      <c r="AJ178" s="59">
        <v>1.4</v>
      </c>
      <c r="AK178" s="59">
        <v>1.4</v>
      </c>
      <c r="AL178" s="59">
        <v>1.4</v>
      </c>
      <c r="AM178" s="59">
        <v>1.4</v>
      </c>
      <c r="AN178" s="59">
        <v>1.4</v>
      </c>
      <c r="AO178" s="260"/>
      <c r="AP178" s="254">
        <f t="shared" si="120"/>
        <v>0</v>
      </c>
      <c r="AQ178" s="260">
        <v>1960</v>
      </c>
      <c r="AR178" s="254">
        <f t="shared" si="121"/>
        <v>1352.3999999999999</v>
      </c>
      <c r="AS178" s="261">
        <v>6000</v>
      </c>
      <c r="AT178" s="254">
        <f t="shared" si="122"/>
        <v>3660</v>
      </c>
      <c r="AU178" s="256">
        <v>20800</v>
      </c>
      <c r="AV178" s="257">
        <f t="shared" si="123"/>
        <v>12688</v>
      </c>
      <c r="AW178" s="270">
        <v>10720</v>
      </c>
      <c r="AX178" s="257">
        <f t="shared" si="124"/>
        <v>6539.2</v>
      </c>
      <c r="AY178" s="270">
        <v>8640</v>
      </c>
      <c r="AZ178" s="257">
        <f t="shared" si="125"/>
        <v>5270.4</v>
      </c>
      <c r="BA178" s="268">
        <v>5479</v>
      </c>
      <c r="BB178" s="257">
        <f t="shared" si="126"/>
        <v>7670.5999999999995</v>
      </c>
      <c r="BC178" s="268">
        <v>20674</v>
      </c>
      <c r="BD178" s="257">
        <f t="shared" si="127"/>
        <v>28943.599999999999</v>
      </c>
      <c r="BE178" s="256">
        <v>10557</v>
      </c>
      <c r="BF178" s="257">
        <f t="shared" si="128"/>
        <v>14779.8</v>
      </c>
      <c r="BG178" s="268">
        <v>18040</v>
      </c>
      <c r="BH178" s="257">
        <f t="shared" si="129"/>
        <v>25256</v>
      </c>
      <c r="BI178" s="59">
        <v>26459</v>
      </c>
      <c r="BJ178" s="257">
        <f t="shared" si="130"/>
        <v>37042.6</v>
      </c>
      <c r="BK178" s="59">
        <v>15800</v>
      </c>
      <c r="BL178" s="257">
        <f t="shared" si="131"/>
        <v>22120</v>
      </c>
    </row>
    <row r="179" spans="1:64" ht="15.6">
      <c r="A179" s="250" t="s">
        <v>330</v>
      </c>
      <c r="B179" s="59" t="s">
        <v>221</v>
      </c>
      <c r="C179" s="354" t="s">
        <v>172</v>
      </c>
      <c r="D179" s="419"/>
      <c r="E179" s="281" t="s">
        <v>332</v>
      </c>
      <c r="F179" s="422"/>
      <c r="G179" s="317">
        <v>2023</v>
      </c>
      <c r="H179" s="323" t="s">
        <v>421</v>
      </c>
      <c r="I179" s="330" t="s">
        <v>359</v>
      </c>
      <c r="J179" s="331">
        <v>15</v>
      </c>
      <c r="K179" s="323" t="s">
        <v>210</v>
      </c>
      <c r="L179" s="323" t="s">
        <v>420</v>
      </c>
      <c r="M179" s="303" t="s">
        <v>192</v>
      </c>
      <c r="N179" s="303">
        <v>8.6</v>
      </c>
      <c r="O179" s="303">
        <v>12.5</v>
      </c>
      <c r="P179" s="303">
        <v>14.3</v>
      </c>
      <c r="Q179" s="303">
        <v>14.3</v>
      </c>
      <c r="R179" s="303">
        <v>14.3</v>
      </c>
      <c r="S179" s="303">
        <v>14.3</v>
      </c>
      <c r="T179" s="303">
        <v>14.3</v>
      </c>
      <c r="U179" s="303">
        <v>14.3</v>
      </c>
      <c r="V179" s="303">
        <v>12.5</v>
      </c>
      <c r="W179" s="303">
        <v>12.5</v>
      </c>
      <c r="X179" s="303">
        <v>12.5</v>
      </c>
      <c r="Y179" s="303">
        <v>12.5</v>
      </c>
      <c r="Z179" s="303">
        <v>12.5</v>
      </c>
      <c r="AA179" s="303">
        <v>12.5</v>
      </c>
      <c r="AB179" s="304">
        <v>0</v>
      </c>
      <c r="AC179" s="304">
        <v>0</v>
      </c>
      <c r="AD179" s="304">
        <v>2.11</v>
      </c>
      <c r="AE179" s="304">
        <v>2.11</v>
      </c>
      <c r="AF179" s="304">
        <v>2.11</v>
      </c>
      <c r="AG179" s="304">
        <v>2.11</v>
      </c>
      <c r="AH179" s="304">
        <v>2.11</v>
      </c>
      <c r="AI179" s="59">
        <v>4.05</v>
      </c>
      <c r="AJ179" s="59">
        <v>4.05</v>
      </c>
      <c r="AK179" s="59">
        <v>4.05</v>
      </c>
      <c r="AL179" s="59">
        <v>4.05</v>
      </c>
      <c r="AM179" s="59">
        <v>4.05</v>
      </c>
      <c r="AN179" s="59">
        <v>4.05</v>
      </c>
      <c r="AO179" s="260"/>
      <c r="AP179" s="254">
        <f t="shared" si="120"/>
        <v>0</v>
      </c>
      <c r="AQ179" s="260"/>
      <c r="AR179" s="254">
        <f t="shared" si="121"/>
        <v>0</v>
      </c>
      <c r="AS179" s="260"/>
      <c r="AT179" s="254">
        <f t="shared" si="122"/>
        <v>0</v>
      </c>
      <c r="AU179" s="260"/>
      <c r="AV179" s="257">
        <f t="shared" si="123"/>
        <v>0</v>
      </c>
      <c r="AW179" s="260"/>
      <c r="AX179" s="257">
        <f t="shared" si="124"/>
        <v>0</v>
      </c>
      <c r="AY179" s="260">
        <v>4000</v>
      </c>
      <c r="AZ179" s="257">
        <f t="shared" si="125"/>
        <v>8440</v>
      </c>
      <c r="BA179" s="260">
        <v>1600</v>
      </c>
      <c r="BB179" s="257">
        <f t="shared" si="126"/>
        <v>6480</v>
      </c>
      <c r="BC179" s="260">
        <v>4840</v>
      </c>
      <c r="BD179" s="257">
        <f t="shared" si="127"/>
        <v>19602</v>
      </c>
      <c r="BE179" s="256">
        <v>1960</v>
      </c>
      <c r="BF179" s="257">
        <f t="shared" si="128"/>
        <v>7938</v>
      </c>
      <c r="BG179" s="268">
        <v>2000</v>
      </c>
      <c r="BH179" s="257">
        <f t="shared" si="129"/>
        <v>8100</v>
      </c>
      <c r="BI179" s="256">
        <v>6160</v>
      </c>
      <c r="BJ179" s="257">
        <f t="shared" si="130"/>
        <v>24948</v>
      </c>
      <c r="BK179" s="256">
        <v>4360</v>
      </c>
      <c r="BL179" s="257">
        <f t="shared" si="131"/>
        <v>17658</v>
      </c>
    </row>
    <row r="180" spans="1:64" ht="15.6">
      <c r="A180" s="250" t="s">
        <v>330</v>
      </c>
      <c r="B180" s="59" t="s">
        <v>221</v>
      </c>
      <c r="C180" s="354" t="s">
        <v>172</v>
      </c>
      <c r="D180" s="419"/>
      <c r="E180" s="281" t="s">
        <v>332</v>
      </c>
      <c r="F180" s="422"/>
      <c r="G180" s="317">
        <v>2023</v>
      </c>
      <c r="H180" s="323" t="s">
        <v>421</v>
      </c>
      <c r="I180" s="332" t="s">
        <v>357</v>
      </c>
      <c r="J180" s="331">
        <v>15</v>
      </c>
      <c r="K180" s="323" t="s">
        <v>210</v>
      </c>
      <c r="L180" s="323" t="s">
        <v>420</v>
      </c>
      <c r="M180" s="303" t="s">
        <v>192</v>
      </c>
      <c r="N180" s="303">
        <v>4.4000000000000004</v>
      </c>
      <c r="O180" s="303">
        <v>6.3</v>
      </c>
      <c r="P180" s="303">
        <v>6.65</v>
      </c>
      <c r="Q180" s="303">
        <v>6.65</v>
      </c>
      <c r="R180" s="303">
        <v>6.65</v>
      </c>
      <c r="S180" s="303">
        <v>6.65</v>
      </c>
      <c r="T180" s="303">
        <v>6.65</v>
      </c>
      <c r="U180" s="303">
        <v>6.65</v>
      </c>
      <c r="V180" s="303">
        <v>6.3</v>
      </c>
      <c r="W180" s="303">
        <v>6.3</v>
      </c>
      <c r="X180" s="303">
        <v>6.3</v>
      </c>
      <c r="Y180" s="303">
        <v>6.3</v>
      </c>
      <c r="Z180" s="303">
        <v>6.3</v>
      </c>
      <c r="AA180" s="303">
        <v>6.3</v>
      </c>
      <c r="AB180" s="304">
        <v>0</v>
      </c>
      <c r="AC180" s="304">
        <v>0</v>
      </c>
      <c r="AD180" s="304">
        <v>0.69</v>
      </c>
      <c r="AE180" s="59">
        <v>0.61</v>
      </c>
      <c r="AF180" s="59">
        <v>0.61</v>
      </c>
      <c r="AG180" s="59">
        <v>0.61</v>
      </c>
      <c r="AH180" s="59">
        <v>0.61</v>
      </c>
      <c r="AI180" s="59">
        <v>1.65</v>
      </c>
      <c r="AJ180" s="59">
        <v>1.65</v>
      </c>
      <c r="AK180" s="59">
        <v>1.65</v>
      </c>
      <c r="AL180" s="59">
        <v>1.65</v>
      </c>
      <c r="AM180" s="59">
        <v>1.65</v>
      </c>
      <c r="AN180" s="59">
        <v>1.65</v>
      </c>
      <c r="AO180" s="260"/>
      <c r="AP180" s="254">
        <f t="shared" si="120"/>
        <v>0</v>
      </c>
      <c r="AQ180" s="260">
        <v>920</v>
      </c>
      <c r="AR180" s="254">
        <f t="shared" si="121"/>
        <v>634.79999999999995</v>
      </c>
      <c r="AS180" s="260">
        <v>11120</v>
      </c>
      <c r="AT180" s="254">
        <f t="shared" si="122"/>
        <v>6783.2</v>
      </c>
      <c r="AU180" s="260">
        <v>20400</v>
      </c>
      <c r="AV180" s="257">
        <f t="shared" si="123"/>
        <v>12444</v>
      </c>
      <c r="AW180" s="260">
        <v>7079</v>
      </c>
      <c r="AX180" s="257">
        <f t="shared" si="124"/>
        <v>4318.1899999999996</v>
      </c>
      <c r="AY180" s="260">
        <v>6280</v>
      </c>
      <c r="AZ180" s="257">
        <f t="shared" si="125"/>
        <v>3830.7999999999997</v>
      </c>
      <c r="BA180" s="260">
        <v>5480</v>
      </c>
      <c r="BB180" s="257">
        <f t="shared" si="126"/>
        <v>9042</v>
      </c>
      <c r="BC180" s="260">
        <v>6240</v>
      </c>
      <c r="BD180" s="257">
        <f t="shared" si="127"/>
        <v>10296</v>
      </c>
      <c r="BE180" s="256">
        <v>3080</v>
      </c>
      <c r="BF180" s="257">
        <f t="shared" si="128"/>
        <v>5082</v>
      </c>
      <c r="BG180" s="268">
        <v>6880</v>
      </c>
      <c r="BH180" s="257">
        <f t="shared" si="129"/>
        <v>11352</v>
      </c>
      <c r="BI180" s="256">
        <v>7880</v>
      </c>
      <c r="BJ180" s="257">
        <f t="shared" si="130"/>
        <v>13002</v>
      </c>
      <c r="BK180" s="256">
        <v>4320</v>
      </c>
      <c r="BL180" s="257">
        <f t="shared" si="131"/>
        <v>7128</v>
      </c>
    </row>
    <row r="181" spans="1:64" ht="15.6">
      <c r="A181" s="250" t="s">
        <v>330</v>
      </c>
      <c r="B181" s="59" t="s">
        <v>221</v>
      </c>
      <c r="C181" s="354" t="s">
        <v>172</v>
      </c>
      <c r="D181" s="419"/>
      <c r="E181" s="281" t="s">
        <v>332</v>
      </c>
      <c r="F181" s="422"/>
      <c r="G181" s="317">
        <v>2023</v>
      </c>
      <c r="H181" s="323" t="s">
        <v>421</v>
      </c>
      <c r="I181" s="330" t="s">
        <v>359</v>
      </c>
      <c r="J181" s="331">
        <v>15</v>
      </c>
      <c r="K181" s="328" t="s">
        <v>243</v>
      </c>
      <c r="L181" s="323" t="s">
        <v>420</v>
      </c>
      <c r="M181" s="303" t="s">
        <v>192</v>
      </c>
      <c r="N181" s="303">
        <v>8.6</v>
      </c>
      <c r="O181" s="303">
        <v>12.5</v>
      </c>
      <c r="P181" s="303">
        <v>14.3</v>
      </c>
      <c r="Q181" s="303">
        <v>14.3</v>
      </c>
      <c r="R181" s="303">
        <v>14.3</v>
      </c>
      <c r="S181" s="303">
        <v>14.3</v>
      </c>
      <c r="T181" s="303">
        <v>14.3</v>
      </c>
      <c r="U181" s="303">
        <v>14.3</v>
      </c>
      <c r="V181" s="303">
        <v>12.5</v>
      </c>
      <c r="W181" s="303">
        <v>12.5</v>
      </c>
      <c r="X181" s="303">
        <v>12.5</v>
      </c>
      <c r="Y181" s="303">
        <v>12.5</v>
      </c>
      <c r="Z181" s="303">
        <v>12.5</v>
      </c>
      <c r="AA181" s="303">
        <v>12.5</v>
      </c>
      <c r="AB181" s="304">
        <v>0</v>
      </c>
      <c r="AC181" s="304">
        <v>0</v>
      </c>
      <c r="AD181" s="304">
        <v>2.11</v>
      </c>
      <c r="AE181" s="304">
        <v>2.11</v>
      </c>
      <c r="AF181" s="304">
        <v>2.11</v>
      </c>
      <c r="AG181" s="304">
        <v>2.11</v>
      </c>
      <c r="AH181" s="304">
        <v>2.11</v>
      </c>
      <c r="AI181" s="59">
        <v>4.05</v>
      </c>
      <c r="AJ181" s="59">
        <v>4.05</v>
      </c>
      <c r="AK181" s="59">
        <v>4.05</v>
      </c>
      <c r="AL181" s="59">
        <v>4.05</v>
      </c>
      <c r="AM181" s="59">
        <v>4.05</v>
      </c>
      <c r="AN181" s="59">
        <v>4.05</v>
      </c>
      <c r="AO181" s="260"/>
      <c r="AP181" s="254">
        <f t="shared" si="120"/>
        <v>0</v>
      </c>
      <c r="AQ181" s="260">
        <v>800</v>
      </c>
      <c r="AR181" s="254">
        <f t="shared" si="121"/>
        <v>1688</v>
      </c>
      <c r="AS181" s="260">
        <v>5120</v>
      </c>
      <c r="AT181" s="254">
        <f t="shared" si="122"/>
        <v>10803.199999999999</v>
      </c>
      <c r="AU181" s="260">
        <v>17720</v>
      </c>
      <c r="AV181" s="257">
        <f t="shared" si="123"/>
        <v>37389.199999999997</v>
      </c>
      <c r="AW181" s="260">
        <v>5120</v>
      </c>
      <c r="AX181" s="257">
        <f t="shared" si="124"/>
        <v>10803.199999999999</v>
      </c>
      <c r="AY181" s="260">
        <v>8040</v>
      </c>
      <c r="AZ181" s="257">
        <f t="shared" si="125"/>
        <v>16964.399999999998</v>
      </c>
      <c r="BA181" s="260">
        <v>4080</v>
      </c>
      <c r="BB181" s="257">
        <f t="shared" si="126"/>
        <v>16524</v>
      </c>
      <c r="BC181" s="260">
        <v>15880</v>
      </c>
      <c r="BD181" s="257">
        <f t="shared" si="127"/>
        <v>64314</v>
      </c>
      <c r="BE181" s="256">
        <v>29894</v>
      </c>
      <c r="BF181" s="257">
        <f t="shared" si="128"/>
        <v>121070.7</v>
      </c>
      <c r="BG181" s="268">
        <v>3880</v>
      </c>
      <c r="BH181" s="257">
        <f t="shared" si="129"/>
        <v>15714</v>
      </c>
      <c r="BI181" s="256">
        <v>3896</v>
      </c>
      <c r="BJ181" s="257">
        <f t="shared" si="130"/>
        <v>15778.8</v>
      </c>
      <c r="BK181" s="256">
        <v>7080</v>
      </c>
      <c r="BL181" s="257">
        <f t="shared" si="131"/>
        <v>28674</v>
      </c>
    </row>
    <row r="182" spans="1:64" ht="15.6">
      <c r="A182" s="250" t="s">
        <v>330</v>
      </c>
      <c r="B182" s="59" t="s">
        <v>221</v>
      </c>
      <c r="C182" s="354" t="s">
        <v>172</v>
      </c>
      <c r="D182" s="419"/>
      <c r="E182" s="281" t="s">
        <v>332</v>
      </c>
      <c r="F182" s="422"/>
      <c r="G182" s="317">
        <v>2023</v>
      </c>
      <c r="H182" s="323" t="s">
        <v>421</v>
      </c>
      <c r="I182" s="332" t="s">
        <v>357</v>
      </c>
      <c r="J182" s="331">
        <v>15</v>
      </c>
      <c r="K182" s="328" t="s">
        <v>243</v>
      </c>
      <c r="L182" s="323" t="s">
        <v>420</v>
      </c>
      <c r="M182" s="303" t="s">
        <v>192</v>
      </c>
      <c r="N182" s="303">
        <v>2.8</v>
      </c>
      <c r="O182" s="303">
        <v>4.25</v>
      </c>
      <c r="P182" s="303">
        <v>4.6500000000000004</v>
      </c>
      <c r="Q182" s="303">
        <v>4.6500000000000004</v>
      </c>
      <c r="R182" s="303">
        <v>4.6500000000000004</v>
      </c>
      <c r="S182" s="303">
        <v>4.6500000000000004</v>
      </c>
      <c r="T182" s="303">
        <v>4.6500000000000004</v>
      </c>
      <c r="U182" s="303">
        <v>4.6500000000000004</v>
      </c>
      <c r="V182" s="303">
        <v>4.25</v>
      </c>
      <c r="W182" s="303">
        <v>4.25</v>
      </c>
      <c r="X182" s="303">
        <v>4.25</v>
      </c>
      <c r="Y182" s="303">
        <v>4.25</v>
      </c>
      <c r="Z182" s="303">
        <v>4.25</v>
      </c>
      <c r="AA182" s="303">
        <v>4.25</v>
      </c>
      <c r="AB182" s="304">
        <v>0</v>
      </c>
      <c r="AC182" s="304">
        <v>0</v>
      </c>
      <c r="AD182" s="304">
        <v>0.69</v>
      </c>
      <c r="AE182" s="59">
        <v>0.61</v>
      </c>
      <c r="AF182" s="59">
        <v>0.61</v>
      </c>
      <c r="AG182" s="59">
        <v>0.61</v>
      </c>
      <c r="AH182" s="59">
        <v>0.61</v>
      </c>
      <c r="AI182" s="59">
        <v>1.4</v>
      </c>
      <c r="AJ182" s="59">
        <v>1.4</v>
      </c>
      <c r="AK182" s="59">
        <v>1.4</v>
      </c>
      <c r="AL182" s="59">
        <v>1.4</v>
      </c>
      <c r="AM182" s="59">
        <v>1.4</v>
      </c>
      <c r="AN182" s="59">
        <v>1.4</v>
      </c>
      <c r="AO182" s="260"/>
      <c r="AP182" s="254">
        <f t="shared" si="120"/>
        <v>0</v>
      </c>
      <c r="AQ182" s="260">
        <v>3000</v>
      </c>
      <c r="AR182" s="254">
        <f t="shared" si="121"/>
        <v>2070</v>
      </c>
      <c r="AS182" s="260">
        <v>13320</v>
      </c>
      <c r="AT182" s="254">
        <f t="shared" si="122"/>
        <v>8125.2</v>
      </c>
      <c r="AU182" s="260">
        <v>40754</v>
      </c>
      <c r="AV182" s="257">
        <f t="shared" si="123"/>
        <v>24859.94</v>
      </c>
      <c r="AW182" s="260">
        <v>25880</v>
      </c>
      <c r="AX182" s="257">
        <f t="shared" si="124"/>
        <v>15786.8</v>
      </c>
      <c r="AY182" s="260">
        <v>22840</v>
      </c>
      <c r="AZ182" s="257">
        <f t="shared" si="125"/>
        <v>13932.4</v>
      </c>
      <c r="BA182" s="260">
        <v>31960</v>
      </c>
      <c r="BB182" s="257">
        <f t="shared" si="126"/>
        <v>44744</v>
      </c>
      <c r="BC182" s="260">
        <v>33478</v>
      </c>
      <c r="BD182" s="257">
        <f t="shared" si="127"/>
        <v>46869.2</v>
      </c>
      <c r="BE182" s="256">
        <v>800</v>
      </c>
      <c r="BF182" s="257">
        <f t="shared" si="128"/>
        <v>1120</v>
      </c>
      <c r="BG182" s="268">
        <v>49598</v>
      </c>
      <c r="BH182" s="257">
        <f t="shared" si="129"/>
        <v>69437.2</v>
      </c>
      <c r="BI182" s="256">
        <v>17040</v>
      </c>
      <c r="BJ182" s="257">
        <f t="shared" si="130"/>
        <v>23856</v>
      </c>
      <c r="BK182" s="256">
        <v>43142</v>
      </c>
      <c r="BL182" s="257">
        <f t="shared" si="131"/>
        <v>60398.799999999996</v>
      </c>
    </row>
    <row r="183" spans="1:64" ht="15.6">
      <c r="A183" s="250" t="s">
        <v>330</v>
      </c>
      <c r="B183" s="59" t="s">
        <v>221</v>
      </c>
      <c r="C183" s="354" t="s">
        <v>172</v>
      </c>
      <c r="D183" s="419"/>
      <c r="E183" s="281" t="s">
        <v>332</v>
      </c>
      <c r="F183" s="422"/>
      <c r="G183" s="317">
        <v>2023</v>
      </c>
      <c r="H183" s="323" t="s">
        <v>421</v>
      </c>
      <c r="I183" s="330" t="s">
        <v>359</v>
      </c>
      <c r="J183" s="331">
        <v>15</v>
      </c>
      <c r="K183" s="323" t="s">
        <v>247</v>
      </c>
      <c r="L183" s="323" t="s">
        <v>420</v>
      </c>
      <c r="M183" s="303" t="s">
        <v>192</v>
      </c>
      <c r="N183" s="303">
        <v>9</v>
      </c>
      <c r="O183" s="303">
        <v>12.5</v>
      </c>
      <c r="P183" s="303">
        <v>15.2</v>
      </c>
      <c r="Q183" s="303">
        <v>15.2</v>
      </c>
      <c r="R183" s="303">
        <v>15.2</v>
      </c>
      <c r="S183" s="303">
        <v>15.2</v>
      </c>
      <c r="T183" s="303">
        <v>15.2</v>
      </c>
      <c r="U183" s="303">
        <v>15.2</v>
      </c>
      <c r="V183" s="303">
        <v>12.5</v>
      </c>
      <c r="W183" s="303">
        <v>12.5</v>
      </c>
      <c r="X183" s="303">
        <v>12.5</v>
      </c>
      <c r="Y183" s="303">
        <v>12.5</v>
      </c>
      <c r="Z183" s="303">
        <v>12.5</v>
      </c>
      <c r="AA183" s="303">
        <v>12.5</v>
      </c>
      <c r="AB183" s="304">
        <v>0</v>
      </c>
      <c r="AC183" s="304">
        <v>0</v>
      </c>
      <c r="AD183" s="304">
        <v>2.11</v>
      </c>
      <c r="AE183" s="304">
        <v>2.11</v>
      </c>
      <c r="AF183" s="304">
        <v>2.11</v>
      </c>
      <c r="AG183" s="304">
        <v>2.11</v>
      </c>
      <c r="AH183" s="304">
        <v>2.11</v>
      </c>
      <c r="AI183" s="59">
        <v>4.05</v>
      </c>
      <c r="AJ183" s="59">
        <v>4.05</v>
      </c>
      <c r="AK183" s="59">
        <v>4.05</v>
      </c>
      <c r="AL183" s="59">
        <v>4.05</v>
      </c>
      <c r="AM183" s="59">
        <v>4.05</v>
      </c>
      <c r="AN183" s="59">
        <v>4.05</v>
      </c>
      <c r="AO183" s="260"/>
      <c r="AP183" s="254">
        <f t="shared" si="120"/>
        <v>0</v>
      </c>
      <c r="AQ183" s="260"/>
      <c r="AR183" s="254">
        <f t="shared" si="121"/>
        <v>0</v>
      </c>
      <c r="AS183" s="260"/>
      <c r="AT183" s="254">
        <f t="shared" si="122"/>
        <v>0</v>
      </c>
      <c r="AU183" s="260"/>
      <c r="AV183" s="257">
        <f t="shared" si="123"/>
        <v>0</v>
      </c>
      <c r="AW183" s="260"/>
      <c r="AX183" s="257">
        <f t="shared" si="124"/>
        <v>0</v>
      </c>
      <c r="AY183" s="260"/>
      <c r="AZ183" s="257">
        <f t="shared" si="125"/>
        <v>0</v>
      </c>
      <c r="BA183" s="260"/>
      <c r="BB183" s="257">
        <f t="shared" si="126"/>
        <v>0</v>
      </c>
      <c r="BC183" s="260"/>
      <c r="BD183" s="257">
        <f t="shared" si="127"/>
        <v>0</v>
      </c>
      <c r="BE183" s="256"/>
      <c r="BF183" s="257">
        <f t="shared" si="128"/>
        <v>0</v>
      </c>
      <c r="BG183" s="256"/>
      <c r="BH183" s="257">
        <f t="shared" si="129"/>
        <v>0</v>
      </c>
      <c r="BI183" s="256"/>
      <c r="BJ183" s="257">
        <f t="shared" si="130"/>
        <v>0</v>
      </c>
      <c r="BK183" s="256"/>
      <c r="BL183" s="257">
        <f t="shared" si="131"/>
        <v>0</v>
      </c>
    </row>
    <row r="184" spans="1:64" ht="15.6">
      <c r="A184" s="250" t="s">
        <v>330</v>
      </c>
      <c r="B184" s="59" t="s">
        <v>221</v>
      </c>
      <c r="C184" s="354" t="s">
        <v>172</v>
      </c>
      <c r="D184" s="419"/>
      <c r="E184" s="281" t="s">
        <v>332</v>
      </c>
      <c r="F184" s="422"/>
      <c r="G184" s="317">
        <v>2023</v>
      </c>
      <c r="H184" s="323" t="s">
        <v>421</v>
      </c>
      <c r="I184" s="330" t="s">
        <v>359</v>
      </c>
      <c r="J184" s="331">
        <v>15</v>
      </c>
      <c r="K184" s="323" t="s">
        <v>248</v>
      </c>
      <c r="L184" s="323" t="s">
        <v>420</v>
      </c>
      <c r="M184" s="303" t="s">
        <v>192</v>
      </c>
      <c r="N184" s="303">
        <v>9</v>
      </c>
      <c r="O184" s="303">
        <v>12.5</v>
      </c>
      <c r="P184" s="303">
        <v>15.2</v>
      </c>
      <c r="Q184" s="303">
        <v>15.2</v>
      </c>
      <c r="R184" s="303">
        <v>15.2</v>
      </c>
      <c r="S184" s="303">
        <v>15.2</v>
      </c>
      <c r="T184" s="303">
        <v>15.2</v>
      </c>
      <c r="U184" s="303">
        <v>15.2</v>
      </c>
      <c r="V184" s="303">
        <v>12.5</v>
      </c>
      <c r="W184" s="303">
        <v>12.5</v>
      </c>
      <c r="X184" s="303">
        <v>12.5</v>
      </c>
      <c r="Y184" s="303">
        <v>12.5</v>
      </c>
      <c r="Z184" s="303">
        <v>12.5</v>
      </c>
      <c r="AA184" s="303">
        <v>12.5</v>
      </c>
      <c r="AB184" s="304">
        <v>0</v>
      </c>
      <c r="AC184" s="304">
        <v>0</v>
      </c>
      <c r="AD184" s="304">
        <v>2.11</v>
      </c>
      <c r="AE184" s="304">
        <v>2.11</v>
      </c>
      <c r="AF184" s="304">
        <v>2.11</v>
      </c>
      <c r="AG184" s="304">
        <v>2.11</v>
      </c>
      <c r="AH184" s="304">
        <v>2.11</v>
      </c>
      <c r="AI184" s="59">
        <v>4.05</v>
      </c>
      <c r="AJ184" s="59">
        <v>4.05</v>
      </c>
      <c r="AK184" s="59">
        <v>4.05</v>
      </c>
      <c r="AL184" s="59">
        <v>4.05</v>
      </c>
      <c r="AM184" s="59">
        <v>4.05</v>
      </c>
      <c r="AN184" s="59">
        <v>4.05</v>
      </c>
      <c r="AO184" s="260"/>
      <c r="AP184" s="254">
        <f t="shared" si="120"/>
        <v>0</v>
      </c>
      <c r="AQ184" s="260"/>
      <c r="AR184" s="254">
        <f t="shared" si="121"/>
        <v>0</v>
      </c>
      <c r="AS184" s="260"/>
      <c r="AT184" s="254">
        <f t="shared" si="122"/>
        <v>0</v>
      </c>
      <c r="AU184" s="260"/>
      <c r="AV184" s="257">
        <f t="shared" si="123"/>
        <v>0</v>
      </c>
      <c r="AW184" s="260"/>
      <c r="AX184" s="257">
        <f t="shared" si="124"/>
        <v>0</v>
      </c>
      <c r="AY184" s="260"/>
      <c r="AZ184" s="257">
        <f t="shared" si="125"/>
        <v>0</v>
      </c>
      <c r="BA184" s="260"/>
      <c r="BB184" s="257">
        <f t="shared" si="126"/>
        <v>0</v>
      </c>
      <c r="BC184" s="260"/>
      <c r="BD184" s="257">
        <f t="shared" si="127"/>
        <v>0</v>
      </c>
      <c r="BE184" s="256"/>
      <c r="BF184" s="257">
        <f t="shared" si="128"/>
        <v>0</v>
      </c>
      <c r="BG184" s="256"/>
      <c r="BH184" s="257">
        <f t="shared" si="129"/>
        <v>0</v>
      </c>
      <c r="BI184" s="256"/>
      <c r="BJ184" s="257">
        <f t="shared" si="130"/>
        <v>0</v>
      </c>
      <c r="BK184" s="256"/>
      <c r="BL184" s="257">
        <f t="shared" si="131"/>
        <v>0</v>
      </c>
    </row>
    <row r="185" spans="1:64" ht="15.6">
      <c r="A185" s="250" t="s">
        <v>330</v>
      </c>
      <c r="B185" s="59" t="s">
        <v>221</v>
      </c>
      <c r="C185" s="354" t="s">
        <v>172</v>
      </c>
      <c r="D185" s="419"/>
      <c r="E185" s="281" t="s">
        <v>332</v>
      </c>
      <c r="F185" s="422"/>
      <c r="G185" s="317" t="s">
        <v>239</v>
      </c>
      <c r="H185" s="323" t="s">
        <v>240</v>
      </c>
      <c r="I185" s="332" t="s">
        <v>249</v>
      </c>
      <c r="J185" s="331" t="s">
        <v>241</v>
      </c>
      <c r="K185" s="323" t="s">
        <v>422</v>
      </c>
      <c r="L185" s="323" t="s">
        <v>177</v>
      </c>
      <c r="M185" s="303" t="s">
        <v>178</v>
      </c>
      <c r="N185" s="303">
        <v>10.9</v>
      </c>
      <c r="O185" s="303">
        <v>13.5</v>
      </c>
      <c r="P185" s="303">
        <v>13.5</v>
      </c>
      <c r="Q185" s="303">
        <v>13.5</v>
      </c>
      <c r="R185" s="303">
        <v>13.5</v>
      </c>
      <c r="S185" s="303">
        <v>13.5</v>
      </c>
      <c r="T185" s="303">
        <v>13.5</v>
      </c>
      <c r="U185" s="303">
        <v>13.5</v>
      </c>
      <c r="V185" s="303">
        <v>13.5</v>
      </c>
      <c r="W185" s="303">
        <v>13.5</v>
      </c>
      <c r="X185" s="303">
        <v>13.5</v>
      </c>
      <c r="Y185" s="303">
        <v>13.5</v>
      </c>
      <c r="Z185" s="303">
        <v>13.5</v>
      </c>
      <c r="AA185" s="303">
        <v>13.5</v>
      </c>
      <c r="AB185" s="304">
        <v>2.6</v>
      </c>
      <c r="AC185" s="304">
        <v>2.6</v>
      </c>
      <c r="AD185" s="304">
        <v>2.6</v>
      </c>
      <c r="AE185" s="304">
        <v>2.6</v>
      </c>
      <c r="AF185" s="304">
        <v>2.6</v>
      </c>
      <c r="AG185" s="304">
        <v>2.6</v>
      </c>
      <c r="AH185" s="304">
        <v>2.6</v>
      </c>
      <c r="AI185" s="304">
        <v>2.6</v>
      </c>
      <c r="AJ185" s="304">
        <v>2.6</v>
      </c>
      <c r="AK185" s="304">
        <v>2.6</v>
      </c>
      <c r="AL185" s="304">
        <v>2.6</v>
      </c>
      <c r="AM185" s="304">
        <v>2.6</v>
      </c>
      <c r="AN185" s="304">
        <v>2.6</v>
      </c>
      <c r="AO185" s="260"/>
      <c r="AP185" s="254">
        <f t="shared" si="120"/>
        <v>0</v>
      </c>
      <c r="AQ185" s="260"/>
      <c r="AR185" s="254">
        <f t="shared" si="121"/>
        <v>0</v>
      </c>
      <c r="AS185" s="260"/>
      <c r="AT185" s="254">
        <f t="shared" si="122"/>
        <v>0</v>
      </c>
      <c r="AU185" s="260"/>
      <c r="AV185" s="257">
        <f t="shared" si="123"/>
        <v>0</v>
      </c>
      <c r="AW185" s="260"/>
      <c r="AX185" s="257">
        <f t="shared" si="124"/>
        <v>0</v>
      </c>
      <c r="AY185" s="260"/>
      <c r="AZ185" s="257">
        <f t="shared" si="125"/>
        <v>0</v>
      </c>
      <c r="BA185" s="260"/>
      <c r="BB185" s="257">
        <f t="shared" si="126"/>
        <v>0</v>
      </c>
      <c r="BC185" s="260"/>
      <c r="BD185" s="257">
        <f t="shared" si="127"/>
        <v>0</v>
      </c>
      <c r="BE185" s="256"/>
      <c r="BF185" s="257">
        <f t="shared" si="128"/>
        <v>0</v>
      </c>
      <c r="BG185" s="256"/>
      <c r="BH185" s="257">
        <f t="shared" si="129"/>
        <v>0</v>
      </c>
      <c r="BI185" s="256">
        <v>80</v>
      </c>
      <c r="BJ185" s="257">
        <f t="shared" si="130"/>
        <v>208</v>
      </c>
      <c r="BK185" s="256">
        <v>1600</v>
      </c>
      <c r="BL185" s="257">
        <f t="shared" si="131"/>
        <v>4160</v>
      </c>
    </row>
    <row r="186" spans="1:64" ht="15.6">
      <c r="A186" s="250" t="s">
        <v>330</v>
      </c>
      <c r="B186" s="59" t="s">
        <v>221</v>
      </c>
      <c r="C186" s="354" t="s">
        <v>172</v>
      </c>
      <c r="D186" s="419"/>
      <c r="E186" s="281" t="s">
        <v>332</v>
      </c>
      <c r="F186" s="422"/>
      <c r="G186" s="317" t="s">
        <v>239</v>
      </c>
      <c r="H186" s="323" t="s">
        <v>240</v>
      </c>
      <c r="I186" s="327" t="s">
        <v>249</v>
      </c>
      <c r="J186" s="331" t="s">
        <v>241</v>
      </c>
      <c r="K186" s="323" t="s">
        <v>423</v>
      </c>
      <c r="L186" s="323" t="s">
        <v>177</v>
      </c>
      <c r="M186" s="303" t="s">
        <v>178</v>
      </c>
      <c r="N186" s="303">
        <v>10.9</v>
      </c>
      <c r="O186" s="303">
        <v>13.5</v>
      </c>
      <c r="P186" s="303">
        <v>13.5</v>
      </c>
      <c r="Q186" s="303">
        <v>13.5</v>
      </c>
      <c r="R186" s="303">
        <v>13.5</v>
      </c>
      <c r="S186" s="303">
        <v>13.5</v>
      </c>
      <c r="T186" s="303">
        <v>13.5</v>
      </c>
      <c r="U186" s="303">
        <v>13.5</v>
      </c>
      <c r="V186" s="303">
        <v>13.5</v>
      </c>
      <c r="W186" s="303">
        <v>13.5</v>
      </c>
      <c r="X186" s="303">
        <v>13.5</v>
      </c>
      <c r="Y186" s="303">
        <v>13.5</v>
      </c>
      <c r="Z186" s="303">
        <v>13.5</v>
      </c>
      <c r="AA186" s="303">
        <v>13.5</v>
      </c>
      <c r="AB186" s="304">
        <v>2.6</v>
      </c>
      <c r="AC186" s="304">
        <v>2.6</v>
      </c>
      <c r="AD186" s="304">
        <v>2.6</v>
      </c>
      <c r="AE186" s="304">
        <v>2.6</v>
      </c>
      <c r="AF186" s="304">
        <v>2.6</v>
      </c>
      <c r="AG186" s="304">
        <v>2.6</v>
      </c>
      <c r="AH186" s="304">
        <v>2.6</v>
      </c>
      <c r="AI186" s="304">
        <v>2.6</v>
      </c>
      <c r="AJ186" s="304">
        <v>2.6</v>
      </c>
      <c r="AK186" s="304">
        <v>2.6</v>
      </c>
      <c r="AL186" s="304">
        <v>2.6</v>
      </c>
      <c r="AM186" s="304">
        <v>2.6</v>
      </c>
      <c r="AN186" s="304">
        <v>2.6</v>
      </c>
      <c r="AO186" s="260"/>
      <c r="AP186" s="254">
        <f t="shared" si="120"/>
        <v>0</v>
      </c>
      <c r="AQ186" s="260"/>
      <c r="AR186" s="254">
        <f t="shared" si="121"/>
        <v>0</v>
      </c>
      <c r="AS186" s="260"/>
      <c r="AT186" s="254">
        <f t="shared" si="122"/>
        <v>0</v>
      </c>
      <c r="AU186" s="260"/>
      <c r="AV186" s="257">
        <f t="shared" si="123"/>
        <v>0</v>
      </c>
      <c r="AW186" s="260"/>
      <c r="AX186" s="257">
        <f t="shared" si="124"/>
        <v>0</v>
      </c>
      <c r="AY186" s="260"/>
      <c r="AZ186" s="257">
        <f t="shared" si="125"/>
        <v>0</v>
      </c>
      <c r="BA186" s="260"/>
      <c r="BB186" s="257">
        <f t="shared" si="126"/>
        <v>0</v>
      </c>
      <c r="BC186" s="260"/>
      <c r="BD186" s="257">
        <f t="shared" si="127"/>
        <v>0</v>
      </c>
      <c r="BE186" s="256"/>
      <c r="BF186" s="257">
        <f t="shared" si="128"/>
        <v>0</v>
      </c>
      <c r="BG186" s="256"/>
      <c r="BH186" s="257">
        <f t="shared" si="129"/>
        <v>0</v>
      </c>
      <c r="BI186" s="256">
        <v>1120</v>
      </c>
      <c r="BJ186" s="257">
        <f t="shared" si="130"/>
        <v>2912</v>
      </c>
      <c r="BK186" s="256">
        <v>1000</v>
      </c>
      <c r="BL186" s="257">
        <f t="shared" si="131"/>
        <v>2600</v>
      </c>
    </row>
    <row r="187" spans="1:64" ht="15.6">
      <c r="A187" s="250" t="s">
        <v>330</v>
      </c>
      <c r="B187" s="59" t="s">
        <v>221</v>
      </c>
      <c r="C187" s="354" t="s">
        <v>172</v>
      </c>
      <c r="D187" s="419"/>
      <c r="E187" s="281" t="s">
        <v>332</v>
      </c>
      <c r="F187" s="422"/>
      <c r="G187" s="317">
        <v>2023</v>
      </c>
      <c r="H187" s="323" t="s">
        <v>421</v>
      </c>
      <c r="I187" s="330" t="s">
        <v>359</v>
      </c>
      <c r="J187" s="331">
        <v>15</v>
      </c>
      <c r="K187" s="323" t="s">
        <v>422</v>
      </c>
      <c r="L187" s="323" t="s">
        <v>177</v>
      </c>
      <c r="M187" s="303" t="s">
        <v>192</v>
      </c>
      <c r="N187" s="303">
        <v>9.9</v>
      </c>
      <c r="O187" s="303">
        <v>13.4</v>
      </c>
      <c r="P187" s="303">
        <v>13.4</v>
      </c>
      <c r="Q187" s="303">
        <v>13.4</v>
      </c>
      <c r="R187" s="303">
        <v>13.4</v>
      </c>
      <c r="S187" s="303">
        <v>13.4</v>
      </c>
      <c r="T187" s="303">
        <v>13.4</v>
      </c>
      <c r="U187" s="303">
        <v>13.4</v>
      </c>
      <c r="V187" s="303">
        <v>13.4</v>
      </c>
      <c r="W187" s="303">
        <v>13.4</v>
      </c>
      <c r="X187" s="303">
        <v>13.4</v>
      </c>
      <c r="Y187" s="303">
        <v>13.4</v>
      </c>
      <c r="Z187" s="303">
        <v>13.4</v>
      </c>
      <c r="AA187" s="303">
        <v>13.4</v>
      </c>
      <c r="AB187" s="304">
        <v>3.5</v>
      </c>
      <c r="AC187" s="304">
        <v>3.5</v>
      </c>
      <c r="AD187" s="304">
        <v>3.5</v>
      </c>
      <c r="AE187" s="304">
        <v>3.5</v>
      </c>
      <c r="AF187" s="304">
        <v>3.5</v>
      </c>
      <c r="AG187" s="304">
        <v>3.5</v>
      </c>
      <c r="AH187" s="304">
        <v>3.5</v>
      </c>
      <c r="AI187" s="304">
        <v>3.5</v>
      </c>
      <c r="AJ187" s="304">
        <v>3.5</v>
      </c>
      <c r="AK187" s="304">
        <v>3.5</v>
      </c>
      <c r="AL187" s="304">
        <v>3.5</v>
      </c>
      <c r="AM187" s="304">
        <v>3.5</v>
      </c>
      <c r="AN187" s="304">
        <v>3.5</v>
      </c>
      <c r="AO187" s="260"/>
      <c r="AP187" s="254">
        <f t="shared" si="120"/>
        <v>0</v>
      </c>
      <c r="AQ187" s="260"/>
      <c r="AR187" s="254">
        <f t="shared" si="121"/>
        <v>0</v>
      </c>
      <c r="AS187" s="260"/>
      <c r="AT187" s="254">
        <f t="shared" si="122"/>
        <v>0</v>
      </c>
      <c r="AU187" s="260"/>
      <c r="AV187" s="257">
        <f t="shared" si="123"/>
        <v>0</v>
      </c>
      <c r="AW187" s="260"/>
      <c r="AX187" s="257">
        <f t="shared" si="124"/>
        <v>0</v>
      </c>
      <c r="AY187" s="260"/>
      <c r="AZ187" s="257">
        <f t="shared" si="125"/>
        <v>0</v>
      </c>
      <c r="BA187" s="260"/>
      <c r="BB187" s="257">
        <f t="shared" si="126"/>
        <v>0</v>
      </c>
      <c r="BC187" s="260"/>
      <c r="BD187" s="257">
        <f t="shared" si="127"/>
        <v>0</v>
      </c>
      <c r="BE187" s="256"/>
      <c r="BF187" s="257">
        <f t="shared" si="128"/>
        <v>0</v>
      </c>
      <c r="BG187" s="256"/>
      <c r="BH187" s="257">
        <f t="shared" si="129"/>
        <v>0</v>
      </c>
      <c r="BI187" s="256"/>
      <c r="BJ187" s="257">
        <f t="shared" si="130"/>
        <v>0</v>
      </c>
      <c r="BK187" s="256"/>
      <c r="BL187" s="257">
        <f t="shared" si="131"/>
        <v>0</v>
      </c>
    </row>
    <row r="188" spans="1:64" ht="15.6">
      <c r="A188" s="250" t="s">
        <v>330</v>
      </c>
      <c r="B188" s="59" t="s">
        <v>221</v>
      </c>
      <c r="C188" s="354" t="s">
        <v>172</v>
      </c>
      <c r="D188" s="419"/>
      <c r="E188" s="281" t="s">
        <v>332</v>
      </c>
      <c r="F188" s="422"/>
      <c r="G188" s="317">
        <v>2023</v>
      </c>
      <c r="H188" s="323" t="s">
        <v>421</v>
      </c>
      <c r="I188" s="330" t="s">
        <v>359</v>
      </c>
      <c r="J188" s="331">
        <v>15</v>
      </c>
      <c r="K188" s="323" t="s">
        <v>423</v>
      </c>
      <c r="L188" s="323" t="s">
        <v>177</v>
      </c>
      <c r="M188" s="303" t="s">
        <v>192</v>
      </c>
      <c r="N188" s="303">
        <v>9.9</v>
      </c>
      <c r="O188" s="303">
        <v>13.4</v>
      </c>
      <c r="P188" s="303">
        <v>13.4</v>
      </c>
      <c r="Q188" s="303">
        <v>13.4</v>
      </c>
      <c r="R188" s="303">
        <v>13.4</v>
      </c>
      <c r="S188" s="303">
        <v>13.4</v>
      </c>
      <c r="T188" s="303">
        <v>13.4</v>
      </c>
      <c r="U188" s="303">
        <v>13.4</v>
      </c>
      <c r="V188" s="303">
        <v>13.4</v>
      </c>
      <c r="W188" s="303">
        <v>13.4</v>
      </c>
      <c r="X188" s="303">
        <v>13.4</v>
      </c>
      <c r="Y188" s="303">
        <v>13.4</v>
      </c>
      <c r="Z188" s="303">
        <v>13.4</v>
      </c>
      <c r="AA188" s="303">
        <v>13.4</v>
      </c>
      <c r="AB188" s="304">
        <v>3.5</v>
      </c>
      <c r="AC188" s="304">
        <v>3.5</v>
      </c>
      <c r="AD188" s="304">
        <v>3.5</v>
      </c>
      <c r="AE188" s="304">
        <v>3.5</v>
      </c>
      <c r="AF188" s="304">
        <v>3.5</v>
      </c>
      <c r="AG188" s="304">
        <v>3.5</v>
      </c>
      <c r="AH188" s="304">
        <v>3.5</v>
      </c>
      <c r="AI188" s="304">
        <v>3.5</v>
      </c>
      <c r="AJ188" s="304">
        <v>3.5</v>
      </c>
      <c r="AK188" s="304">
        <v>3.5</v>
      </c>
      <c r="AL188" s="304">
        <v>3.5</v>
      </c>
      <c r="AM188" s="304">
        <v>3.5</v>
      </c>
      <c r="AN188" s="304">
        <v>3.5</v>
      </c>
      <c r="AO188" s="260"/>
      <c r="AP188" s="254">
        <f t="shared" si="120"/>
        <v>0</v>
      </c>
      <c r="AQ188" s="260"/>
      <c r="AR188" s="254">
        <f t="shared" si="121"/>
        <v>0</v>
      </c>
      <c r="AS188" s="260"/>
      <c r="AT188" s="254">
        <f t="shared" si="122"/>
        <v>0</v>
      </c>
      <c r="AU188" s="260"/>
      <c r="AV188" s="257">
        <f t="shared" si="123"/>
        <v>0</v>
      </c>
      <c r="AW188" s="260"/>
      <c r="AX188" s="257">
        <f t="shared" si="124"/>
        <v>0</v>
      </c>
      <c r="AY188" s="260"/>
      <c r="AZ188" s="257">
        <f t="shared" si="125"/>
        <v>0</v>
      </c>
      <c r="BA188" s="260"/>
      <c r="BB188" s="257">
        <f t="shared" si="126"/>
        <v>0</v>
      </c>
      <c r="BC188" s="260"/>
      <c r="BD188" s="257">
        <f t="shared" si="127"/>
        <v>0</v>
      </c>
      <c r="BE188" s="256"/>
      <c r="BF188" s="257">
        <f t="shared" si="128"/>
        <v>0</v>
      </c>
      <c r="BG188" s="256"/>
      <c r="BH188" s="257">
        <f t="shared" si="129"/>
        <v>0</v>
      </c>
      <c r="BI188" s="256">
        <v>400</v>
      </c>
      <c r="BJ188" s="257">
        <f t="shared" si="130"/>
        <v>1400</v>
      </c>
      <c r="BK188" s="256">
        <v>720</v>
      </c>
      <c r="BL188" s="257">
        <f t="shared" si="131"/>
        <v>2520</v>
      </c>
    </row>
    <row r="189" spans="1:64" ht="15.6">
      <c r="A189" s="250"/>
      <c r="C189" s="354"/>
      <c r="D189" s="419"/>
      <c r="E189" s="281"/>
      <c r="F189" s="422"/>
      <c r="G189" s="317"/>
      <c r="H189" s="323"/>
      <c r="I189" s="330"/>
      <c r="J189" s="331"/>
      <c r="K189" s="323"/>
      <c r="L189" s="32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3"/>
      <c r="Y189" s="303"/>
      <c r="Z189" s="303"/>
      <c r="AA189" s="303"/>
      <c r="AB189" s="304"/>
      <c r="AC189" s="304"/>
      <c r="AD189" s="304"/>
      <c r="AE189" s="304"/>
      <c r="AF189" s="304"/>
      <c r="AG189" s="304"/>
      <c r="AH189" s="304"/>
      <c r="AI189" s="304"/>
      <c r="AJ189" s="304"/>
      <c r="AK189" s="304"/>
      <c r="AL189" s="304"/>
      <c r="AM189" s="304"/>
      <c r="AN189" s="304"/>
      <c r="AO189" s="260"/>
      <c r="AP189" s="254"/>
      <c r="AQ189" s="260"/>
      <c r="AR189" s="254"/>
      <c r="AS189" s="260"/>
      <c r="AT189" s="254"/>
      <c r="AU189" s="260"/>
      <c r="AV189" s="257"/>
      <c r="AW189" s="260"/>
      <c r="AX189" s="257"/>
      <c r="AY189" s="260"/>
      <c r="AZ189" s="257"/>
      <c r="BA189" s="260"/>
      <c r="BB189" s="257"/>
      <c r="BC189" s="260"/>
      <c r="BD189" s="257"/>
      <c r="BE189" s="256"/>
      <c r="BF189" s="257"/>
      <c r="BG189" s="256"/>
      <c r="BH189" s="257"/>
      <c r="BI189" s="256"/>
      <c r="BJ189" s="257"/>
      <c r="BK189" s="256"/>
      <c r="BL189" s="257"/>
    </row>
    <row r="190" spans="1:64" ht="15.6">
      <c r="A190" s="250"/>
      <c r="C190" s="354"/>
      <c r="D190" s="419"/>
      <c r="E190" s="281"/>
      <c r="F190" s="422"/>
      <c r="G190" s="317"/>
      <c r="H190" s="323"/>
      <c r="I190" s="330"/>
      <c r="J190" s="331"/>
      <c r="K190" s="323"/>
      <c r="L190" s="323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  <c r="X190" s="303"/>
      <c r="Y190" s="303"/>
      <c r="Z190" s="303"/>
      <c r="AA190" s="303"/>
      <c r="AB190" s="304"/>
      <c r="AC190" s="304"/>
      <c r="AD190" s="304"/>
      <c r="AE190" s="304"/>
      <c r="AF190" s="304"/>
      <c r="AG190" s="304"/>
      <c r="AH190" s="304"/>
      <c r="AI190" s="304"/>
      <c r="AJ190" s="304"/>
      <c r="AK190" s="304"/>
      <c r="AL190" s="304"/>
      <c r="AM190" s="304"/>
      <c r="AN190" s="304"/>
      <c r="AO190" s="260"/>
      <c r="AP190" s="254"/>
      <c r="AQ190" s="260"/>
      <c r="AR190" s="254"/>
      <c r="AS190" s="260"/>
      <c r="AT190" s="254"/>
      <c r="AU190" s="260"/>
      <c r="AV190" s="257"/>
      <c r="AW190" s="260"/>
      <c r="AX190" s="257"/>
      <c r="AY190" s="260"/>
      <c r="AZ190" s="257"/>
      <c r="BA190" s="260"/>
      <c r="BB190" s="257"/>
      <c r="BC190" s="260"/>
      <c r="BD190" s="257"/>
      <c r="BE190" s="256"/>
      <c r="BF190" s="257"/>
      <c r="BG190" s="256"/>
      <c r="BH190" s="257"/>
      <c r="BI190" s="256"/>
      <c r="BJ190" s="257"/>
      <c r="BK190" s="256"/>
      <c r="BL190" s="257"/>
    </row>
    <row r="191" spans="1:64" ht="15.6">
      <c r="A191" s="250"/>
      <c r="C191" s="354"/>
      <c r="D191" s="419"/>
      <c r="E191" s="281"/>
      <c r="F191" s="422"/>
      <c r="G191" s="317"/>
      <c r="H191" s="323"/>
      <c r="I191" s="330"/>
      <c r="J191" s="331"/>
      <c r="K191" s="323"/>
      <c r="L191" s="32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303"/>
      <c r="AB191" s="304"/>
      <c r="AC191" s="304"/>
      <c r="AD191" s="304"/>
      <c r="AE191" s="304"/>
      <c r="AF191" s="304"/>
      <c r="AG191" s="304"/>
      <c r="AH191" s="304"/>
      <c r="AI191" s="304"/>
      <c r="AJ191" s="304"/>
      <c r="AK191" s="304"/>
      <c r="AL191" s="304"/>
      <c r="AM191" s="304"/>
      <c r="AN191" s="304"/>
      <c r="AO191" s="260"/>
      <c r="AP191" s="254"/>
      <c r="AQ191" s="260"/>
      <c r="AR191" s="254"/>
      <c r="AS191" s="260"/>
      <c r="AT191" s="254"/>
      <c r="AU191" s="260"/>
      <c r="AV191" s="257"/>
      <c r="AW191" s="260"/>
      <c r="AX191" s="257"/>
      <c r="AY191" s="260"/>
      <c r="AZ191" s="257"/>
      <c r="BA191" s="260"/>
      <c r="BB191" s="257"/>
      <c r="BC191" s="260"/>
      <c r="BD191" s="257"/>
      <c r="BE191" s="256"/>
      <c r="BF191" s="257"/>
      <c r="BG191" s="256"/>
      <c r="BH191" s="257"/>
      <c r="BI191" s="256"/>
      <c r="BJ191" s="257"/>
      <c r="BK191" s="256"/>
      <c r="BL191" s="257"/>
    </row>
    <row r="192" spans="1:64">
      <c r="A192" s="250"/>
      <c r="C192" s="354"/>
      <c r="D192" s="419"/>
      <c r="E192" s="281"/>
      <c r="F192" s="422"/>
      <c r="G192" s="59"/>
      <c r="H192" s="59"/>
      <c r="I192" s="59"/>
      <c r="J192" s="302"/>
      <c r="K192" s="59"/>
      <c r="L192" s="59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1"/>
      <c r="AD192" s="301"/>
      <c r="AE192" s="301"/>
      <c r="AF192" s="59"/>
      <c r="AG192" s="59"/>
      <c r="AH192" s="59"/>
      <c r="AI192" s="59"/>
      <c r="AJ192" s="59"/>
      <c r="AK192" s="59"/>
      <c r="AL192" s="59"/>
      <c r="AM192" s="59"/>
      <c r="AN192" s="59"/>
      <c r="AO192" s="255"/>
      <c r="AP192" s="254"/>
      <c r="AQ192" s="255"/>
      <c r="AR192" s="254"/>
      <c r="AS192" s="255"/>
      <c r="AT192" s="254"/>
      <c r="AU192" s="59"/>
      <c r="AV192" s="257"/>
      <c r="AW192" s="270"/>
      <c r="AX192" s="257"/>
      <c r="AY192" s="270"/>
      <c r="AZ192" s="257"/>
      <c r="BA192" s="59"/>
      <c r="BB192" s="257"/>
      <c r="BC192" s="59"/>
      <c r="BD192" s="257"/>
      <c r="BE192" s="59"/>
      <c r="BF192" s="257"/>
      <c r="BG192" s="59"/>
      <c r="BH192" s="257"/>
      <c r="BI192" s="59"/>
      <c r="BJ192" s="257"/>
      <c r="BK192" s="59"/>
      <c r="BL192" s="257"/>
    </row>
    <row r="193" spans="1:64" ht="15" thickBot="1">
      <c r="A193" s="250"/>
      <c r="C193" s="354"/>
      <c r="D193" s="420"/>
      <c r="E193" s="282"/>
      <c r="F193" s="422"/>
      <c r="G193" s="59"/>
      <c r="H193" s="59"/>
      <c r="I193" s="59"/>
      <c r="J193" s="302"/>
      <c r="K193" s="59"/>
      <c r="L193" s="59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1"/>
      <c r="AD193" s="301"/>
      <c r="AE193" s="301"/>
      <c r="AF193" s="59"/>
      <c r="AG193" s="59"/>
      <c r="AH193" s="59"/>
      <c r="AI193" s="59"/>
      <c r="AJ193" s="59"/>
      <c r="AK193" s="59"/>
      <c r="AL193" s="59"/>
      <c r="AM193" s="59"/>
      <c r="AN193" s="59"/>
      <c r="AO193" s="255"/>
      <c r="AP193" s="254"/>
      <c r="AQ193" s="255"/>
      <c r="AR193" s="254"/>
      <c r="AS193" s="255"/>
      <c r="AT193" s="254"/>
      <c r="AU193" s="59"/>
      <c r="AV193" s="257"/>
      <c r="AW193" s="270"/>
      <c r="AX193" s="257"/>
      <c r="AY193" s="270"/>
      <c r="AZ193" s="257"/>
      <c r="BA193" s="59"/>
      <c r="BB193" s="257"/>
      <c r="BC193" s="59"/>
      <c r="BD193" s="257"/>
      <c r="BE193" s="59"/>
      <c r="BF193" s="257"/>
      <c r="BG193" s="59"/>
      <c r="BH193" s="257"/>
      <c r="BI193" s="59"/>
      <c r="BJ193" s="257"/>
      <c r="BK193" s="59"/>
      <c r="BL193" s="257"/>
    </row>
  </sheetData>
  <mergeCells count="25">
    <mergeCell ref="D149:D193"/>
    <mergeCell ref="F149:F193"/>
    <mergeCell ref="F131:F137"/>
    <mergeCell ref="D138:D148"/>
    <mergeCell ref="E138:E148"/>
    <mergeCell ref="F138:F148"/>
    <mergeCell ref="D62:D137"/>
    <mergeCell ref="F62:F76"/>
    <mergeCell ref="F77:F85"/>
    <mergeCell ref="F86:F105"/>
    <mergeCell ref="F106:F108"/>
    <mergeCell ref="F109:F116"/>
    <mergeCell ref="F117:F118"/>
    <mergeCell ref="F119:F130"/>
    <mergeCell ref="D3:D61"/>
    <mergeCell ref="F3:F5"/>
    <mergeCell ref="F31:F32"/>
    <mergeCell ref="F33:F34"/>
    <mergeCell ref="F35:F38"/>
    <mergeCell ref="F6:F13"/>
    <mergeCell ref="F14:F24"/>
    <mergeCell ref="F25:F28"/>
    <mergeCell ref="F29:F30"/>
    <mergeCell ref="F39:F52"/>
    <mergeCell ref="F53:F61"/>
  </mergeCells>
  <phoneticPr fontId="3" type="noConversion"/>
  <conditionalFormatting sqref="G3:G4">
    <cfRule type="duplicateValues" dxfId="274" priority="17"/>
  </conditionalFormatting>
  <conditionalFormatting sqref="G6">
    <cfRule type="duplicateValues" dxfId="273" priority="3"/>
  </conditionalFormatting>
  <conditionalFormatting sqref="G7">
    <cfRule type="duplicateValues" dxfId="272" priority="2"/>
  </conditionalFormatting>
  <conditionalFormatting sqref="G8">
    <cfRule type="duplicateValues" dxfId="271" priority="16"/>
  </conditionalFormatting>
  <conditionalFormatting sqref="G14">
    <cfRule type="duplicateValues" dxfId="270" priority="13"/>
  </conditionalFormatting>
  <conditionalFormatting sqref="G25">
    <cfRule type="duplicateValues" dxfId="269" priority="1"/>
  </conditionalFormatting>
  <conditionalFormatting sqref="G29">
    <cfRule type="duplicateValues" dxfId="268" priority="11"/>
  </conditionalFormatting>
  <conditionalFormatting sqref="G31">
    <cfRule type="duplicateValues" dxfId="267" priority="6"/>
  </conditionalFormatting>
  <conditionalFormatting sqref="G32">
    <cfRule type="duplicateValues" dxfId="266" priority="5"/>
  </conditionalFormatting>
  <conditionalFormatting sqref="G33">
    <cfRule type="duplicateValues" dxfId="265" priority="4"/>
  </conditionalFormatting>
  <conditionalFormatting sqref="G35">
    <cfRule type="duplicateValues" dxfId="264" priority="8"/>
  </conditionalFormatting>
  <conditionalFormatting sqref="G77">
    <cfRule type="duplicateValues" dxfId="263" priority="7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8"/>
  <sheetViews>
    <sheetView topLeftCell="A7" zoomScale="80" zoomScaleNormal="80" workbookViewId="0">
      <selection activeCell="K28" sqref="K28"/>
    </sheetView>
  </sheetViews>
  <sheetFormatPr defaultRowHeight="17.100000000000001"/>
  <cols>
    <col min="2" max="2" width="16.5" customWidth="1"/>
    <col min="3" max="3" width="17.125" customWidth="1"/>
    <col min="4" max="4" width="14.375" customWidth="1"/>
    <col min="5" max="5" width="14.125" customWidth="1"/>
    <col min="6" max="6" width="18.375" customWidth="1"/>
  </cols>
  <sheetData>
    <row r="2" spans="2:8" ht="17.45" thickBot="1"/>
    <row r="3" spans="2:8" ht="17.45" thickBot="1">
      <c r="B3" s="149" t="s">
        <v>30</v>
      </c>
      <c r="C3" s="144" t="s">
        <v>424</v>
      </c>
      <c r="D3" s="144" t="s">
        <v>425</v>
      </c>
      <c r="E3" s="145" t="s">
        <v>426</v>
      </c>
      <c r="F3" s="144" t="s">
        <v>34</v>
      </c>
      <c r="H3" s="150"/>
    </row>
    <row r="4" spans="2:8" ht="17.45" thickBot="1">
      <c r="B4" s="143" t="s">
        <v>35</v>
      </c>
      <c r="C4" s="144">
        <f>SUM('FY25'!AP1)</f>
        <v>575736.99000000011</v>
      </c>
      <c r="D4" s="144">
        <f>SUM('FY25'!AR1)</f>
        <v>899411.85999999987</v>
      </c>
      <c r="E4" s="145">
        <f>SUM('FY25'!AT1)</f>
        <v>489460.90000000014</v>
      </c>
      <c r="F4" s="144">
        <f>SUM(C4:E4)</f>
        <v>1964609.7500000002</v>
      </c>
    </row>
    <row r="5" spans="2:8" ht="17.45" thickBot="1">
      <c r="B5" s="143" t="s">
        <v>36</v>
      </c>
      <c r="C5" s="144">
        <v>0</v>
      </c>
      <c r="D5" s="144">
        <v>0</v>
      </c>
      <c r="E5" s="145">
        <v>10388.4</v>
      </c>
      <c r="F5" s="144">
        <f t="shared" ref="F5:F6" si="0">SUM(C5:E5)</f>
        <v>10388.4</v>
      </c>
    </row>
    <row r="6" spans="2:8" ht="17.45" thickBot="1">
      <c r="B6" s="146" t="s">
        <v>37</v>
      </c>
      <c r="C6" s="147">
        <v>0</v>
      </c>
      <c r="D6" s="147">
        <v>0</v>
      </c>
      <c r="E6" s="148">
        <v>0</v>
      </c>
      <c r="F6" s="144">
        <f t="shared" si="0"/>
        <v>0</v>
      </c>
      <c r="H6" t="s">
        <v>38</v>
      </c>
    </row>
    <row r="7" spans="2:8" ht="17.45" thickBot="1">
      <c r="B7" s="143" t="s">
        <v>39</v>
      </c>
      <c r="C7" s="144">
        <f>SUM(C4:C6)</f>
        <v>575736.99000000011</v>
      </c>
      <c r="D7" s="144">
        <f t="shared" ref="D7:F7" si="1">SUM(D4:D6)</f>
        <v>899411.85999999987</v>
      </c>
      <c r="E7" s="144">
        <f t="shared" si="1"/>
        <v>499849.30000000016</v>
      </c>
      <c r="F7" s="144">
        <f t="shared" si="1"/>
        <v>1974998.1500000001</v>
      </c>
    </row>
    <row r="8" spans="2:8">
      <c r="H8" t="s">
        <v>40</v>
      </c>
    </row>
    <row r="9" spans="2:8" ht="17.45" thickBot="1"/>
    <row r="10" spans="2:8" ht="17.45" thickBot="1">
      <c r="B10" s="149" t="s">
        <v>30</v>
      </c>
      <c r="C10" s="144" t="s">
        <v>427</v>
      </c>
      <c r="D10" s="144" t="s">
        <v>428</v>
      </c>
      <c r="E10" s="145" t="s">
        <v>429</v>
      </c>
      <c r="F10" s="144" t="s">
        <v>44</v>
      </c>
      <c r="H10" t="s">
        <v>45</v>
      </c>
    </row>
    <row r="11" spans="2:8" ht="17.45" thickBot="1">
      <c r="B11" s="143" t="s">
        <v>35</v>
      </c>
      <c r="C11" s="144">
        <f>SUM('FY25'!AV1)</f>
        <v>596846.92000000016</v>
      </c>
      <c r="D11" s="144">
        <f>SUM('FY25'!AX1)</f>
        <v>1117691.8199999998</v>
      </c>
      <c r="E11" s="145">
        <f>SUM('FY25'!AZ1)</f>
        <v>1039626.46</v>
      </c>
      <c r="F11" s="144">
        <f>SUM(C11:E11)</f>
        <v>2754165.2</v>
      </c>
    </row>
    <row r="12" spans="2:8" ht="17.45" thickBot="1">
      <c r="B12" s="143" t="s">
        <v>36</v>
      </c>
      <c r="C12" s="144">
        <v>0</v>
      </c>
      <c r="D12" s="144">
        <v>32832.89</v>
      </c>
      <c r="E12" s="145">
        <v>0</v>
      </c>
      <c r="F12" s="144">
        <f t="shared" ref="F12:F13" si="2">SUM(C12:E12)</f>
        <v>32832.89</v>
      </c>
      <c r="H12" t="s">
        <v>46</v>
      </c>
    </row>
    <row r="13" spans="2:8" ht="17.45" thickBot="1">
      <c r="B13" s="146" t="s">
        <v>37</v>
      </c>
      <c r="C13" s="147">
        <v>0</v>
      </c>
      <c r="D13" s="147">
        <v>0</v>
      </c>
      <c r="E13" s="148">
        <v>0</v>
      </c>
      <c r="F13" s="144">
        <f t="shared" si="2"/>
        <v>0</v>
      </c>
    </row>
    <row r="14" spans="2:8" ht="17.45" thickBot="1">
      <c r="B14" s="143" t="s">
        <v>39</v>
      </c>
      <c r="C14" s="144">
        <f>SUM(C11:C13)</f>
        <v>596846.92000000016</v>
      </c>
      <c r="D14" s="144">
        <f t="shared" ref="D14:F14" si="3">SUM(D11:D13)</f>
        <v>1150524.7099999997</v>
      </c>
      <c r="E14" s="144">
        <f t="shared" si="3"/>
        <v>1039626.46</v>
      </c>
      <c r="F14" s="144">
        <f t="shared" si="3"/>
        <v>2786998.0900000003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149" t="s">
        <v>30</v>
      </c>
      <c r="C17" s="144" t="s">
        <v>430</v>
      </c>
      <c r="D17" s="144" t="s">
        <v>431</v>
      </c>
      <c r="E17" s="145" t="s">
        <v>432</v>
      </c>
      <c r="F17" s="144" t="s">
        <v>52</v>
      </c>
      <c r="H17" t="s">
        <v>53</v>
      </c>
    </row>
    <row r="18" spans="2:8" ht="17.45" thickBot="1">
      <c r="B18" s="143" t="s">
        <v>35</v>
      </c>
      <c r="C18" s="144">
        <f>SUM('FY25'!BB1)</f>
        <v>1064109.8399999999</v>
      </c>
      <c r="D18" s="144">
        <f>SUM('FY25'!BD1)</f>
        <v>1157504.2600000002</v>
      </c>
      <c r="E18" s="145">
        <f>SUM('FY25'!BF1)</f>
        <v>1112718.68</v>
      </c>
      <c r="F18" s="144">
        <f>SUM(C18:E18)</f>
        <v>3334332.7800000003</v>
      </c>
    </row>
    <row r="19" spans="2:8" ht="17.45" thickBot="1">
      <c r="B19" s="143" t="s">
        <v>36</v>
      </c>
      <c r="C19" s="144">
        <v>0</v>
      </c>
      <c r="D19" s="144">
        <v>91172.63</v>
      </c>
      <c r="E19" s="145">
        <v>28639.79</v>
      </c>
      <c r="F19" s="144">
        <f t="shared" ref="F19:F20" si="4">SUM(C19:E19)</f>
        <v>119812.42000000001</v>
      </c>
    </row>
    <row r="20" spans="2:8" ht="17.45" thickBot="1">
      <c r="B20" s="146" t="s">
        <v>37</v>
      </c>
      <c r="C20" s="147">
        <v>0</v>
      </c>
      <c r="D20" s="147">
        <v>0</v>
      </c>
      <c r="E20" s="148">
        <v>0</v>
      </c>
      <c r="F20" s="144">
        <f t="shared" si="4"/>
        <v>0</v>
      </c>
    </row>
    <row r="21" spans="2:8" ht="17.45" thickBot="1">
      <c r="B21" s="143" t="s">
        <v>39</v>
      </c>
      <c r="C21" s="144">
        <f>SUM(C18:C20)</f>
        <v>1064109.8399999999</v>
      </c>
      <c r="D21" s="144">
        <f t="shared" ref="D21:F21" si="5">SUM(D18:D20)</f>
        <v>1248676.8900000001</v>
      </c>
      <c r="E21" s="144">
        <f t="shared" si="5"/>
        <v>1141358.47</v>
      </c>
      <c r="F21" s="144">
        <f t="shared" si="5"/>
        <v>3454145.2</v>
      </c>
    </row>
    <row r="23" spans="2:8" ht="17.45" thickBot="1"/>
    <row r="24" spans="2:8" ht="17.45" thickBot="1">
      <c r="B24" s="149" t="s">
        <v>30</v>
      </c>
      <c r="C24" s="144" t="s">
        <v>433</v>
      </c>
      <c r="D24" s="144" t="s">
        <v>434</v>
      </c>
      <c r="E24" s="145" t="s">
        <v>435</v>
      </c>
      <c r="F24" s="144" t="s">
        <v>57</v>
      </c>
    </row>
    <row r="25" spans="2:8" ht="17.45" thickBot="1">
      <c r="B25" s="143" t="s">
        <v>35</v>
      </c>
      <c r="C25" s="144">
        <f>SUM('FY25'!BH1)</f>
        <v>1064241.8500000001</v>
      </c>
      <c r="D25" s="144">
        <f>SUM('FY25'!BJ1)</f>
        <v>1166386.94</v>
      </c>
      <c r="E25" s="145">
        <f>SUM('FY25'!BL1)</f>
        <v>825994.70000000019</v>
      </c>
      <c r="F25" s="144">
        <f>SUM(C25:E25)</f>
        <v>3056623.49</v>
      </c>
    </row>
    <row r="26" spans="2:8" ht="17.45" thickBot="1">
      <c r="B26" s="143" t="s">
        <v>36</v>
      </c>
      <c r="C26" s="144">
        <v>0</v>
      </c>
      <c r="D26" s="144">
        <v>0</v>
      </c>
      <c r="E26" s="145">
        <v>21143.37</v>
      </c>
      <c r="F26" s="144">
        <f t="shared" ref="F26:F27" si="6">SUM(C26:E26)</f>
        <v>21143.37</v>
      </c>
    </row>
    <row r="27" spans="2:8" ht="17.45" thickBot="1">
      <c r="B27" s="146" t="s">
        <v>37</v>
      </c>
      <c r="C27" s="147">
        <v>0</v>
      </c>
      <c r="D27" s="147">
        <v>0</v>
      </c>
      <c r="E27" s="148">
        <v>0</v>
      </c>
      <c r="F27" s="144">
        <f t="shared" si="6"/>
        <v>0</v>
      </c>
    </row>
    <row r="28" spans="2:8" ht="17.45" thickBot="1">
      <c r="B28" s="143" t="s">
        <v>39</v>
      </c>
      <c r="C28" s="144">
        <f>SUM(C25:C27)</f>
        <v>1064241.8500000001</v>
      </c>
      <c r="D28" s="144">
        <f t="shared" ref="D28:F28" si="7">SUM(D25:D27)</f>
        <v>1166386.94</v>
      </c>
      <c r="E28" s="144">
        <f t="shared" si="7"/>
        <v>847138.07000000018</v>
      </c>
      <c r="F28" s="144">
        <f t="shared" si="7"/>
        <v>3077766.8600000003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139"/>
  <sheetViews>
    <sheetView topLeftCell="A109" zoomScale="60" zoomScaleNormal="60" workbookViewId="0">
      <selection activeCell="K136" sqref="K136"/>
    </sheetView>
  </sheetViews>
  <sheetFormatPr defaultRowHeight="17.100000000000001"/>
  <cols>
    <col min="1" max="1" width="2.375" customWidth="1"/>
    <col min="2" max="2" width="26.5" customWidth="1"/>
    <col min="3" max="3" width="22.375" customWidth="1"/>
    <col min="4" max="4" width="20.375" customWidth="1"/>
    <col min="5" max="5" width="14.375" customWidth="1"/>
    <col min="6" max="7" width="18.375" customWidth="1"/>
  </cols>
  <sheetData>
    <row r="3" spans="2:7" ht="17.45" thickBot="1">
      <c r="B3" s="45" t="s">
        <v>58</v>
      </c>
      <c r="C3" s="46"/>
      <c r="D3" s="46"/>
      <c r="E3" s="46"/>
      <c r="F3" s="46"/>
      <c r="G3" s="46"/>
    </row>
    <row r="4" spans="2:7" ht="29.45" thickBot="1">
      <c r="B4" s="47"/>
      <c r="C4" s="48" t="s">
        <v>59</v>
      </c>
      <c r="D4" s="56">
        <v>45597</v>
      </c>
      <c r="E4" s="56">
        <v>45627</v>
      </c>
      <c r="F4" s="56">
        <v>45658</v>
      </c>
      <c r="G4" s="49" t="s">
        <v>436</v>
      </c>
    </row>
    <row r="5" spans="2:7" ht="17.45" thickBot="1">
      <c r="B5" s="437" t="s">
        <v>61</v>
      </c>
      <c r="C5" s="51" t="s">
        <v>62</v>
      </c>
      <c r="D5" s="51">
        <f>SUM('FY25'!AP$276:AP$374)*0.25</f>
        <v>48492.525000000001</v>
      </c>
      <c r="E5" s="51">
        <f>SUM('FY25'!AR276:AR374)*0.25</f>
        <v>123738.6875</v>
      </c>
      <c r="F5" s="51">
        <f>SUM('FY25'!AT276:AT374)*0.25</f>
        <v>53862.762500000004</v>
      </c>
      <c r="G5" s="51">
        <f>SUM(D5:F5)</f>
        <v>226093.97500000001</v>
      </c>
    </row>
    <row r="6" spans="2:7" ht="17.45" thickBot="1">
      <c r="B6" s="438"/>
      <c r="C6" s="51" t="s">
        <v>322</v>
      </c>
      <c r="D6" s="51">
        <f>SUM('FY25'!AP$6:AP$19)</f>
        <v>55790.119999999995</v>
      </c>
      <c r="E6" s="51">
        <f>SUM('FY25'!AR6:AR19)</f>
        <v>81240.87999999999</v>
      </c>
      <c r="F6" s="51">
        <f>SUM('FY25'!AT6:AT19)</f>
        <v>60397.35</v>
      </c>
      <c r="G6" s="51">
        <f t="shared" ref="G6:G24" si="0">SUM(D6:F6)</f>
        <v>197428.35</v>
      </c>
    </row>
    <row r="7" spans="2:7" ht="17.45" thickBot="1">
      <c r="B7" s="438"/>
      <c r="C7" s="51" t="s">
        <v>65</v>
      </c>
      <c r="D7" s="51">
        <f>SUM('FY25'!AP$20:AP$39)</f>
        <v>0</v>
      </c>
      <c r="E7" s="51">
        <f>SUM('FY25'!AR20:AR39)</f>
        <v>0</v>
      </c>
      <c r="F7" s="51">
        <f>SUM('FY25'!AT20:AT39)</f>
        <v>0</v>
      </c>
      <c r="G7" s="51">
        <f t="shared" si="0"/>
        <v>0</v>
      </c>
    </row>
    <row r="8" spans="2:7" ht="17.45" thickBot="1">
      <c r="B8" s="438"/>
      <c r="C8" s="51" t="s">
        <v>66</v>
      </c>
      <c r="D8" s="51">
        <f>SUM('FY25'!AP$40:AP$48)</f>
        <v>25741.760000000002</v>
      </c>
      <c r="E8" s="51">
        <f>SUM('FY25'!AR40:AR48)</f>
        <v>26996.300000000003</v>
      </c>
      <c r="F8" s="51">
        <f>SUM('FY25'!AT40:AT48)</f>
        <v>23963.98</v>
      </c>
      <c r="G8" s="51">
        <f t="shared" si="0"/>
        <v>76702.040000000008</v>
      </c>
    </row>
    <row r="9" spans="2:7" ht="17.45" thickBot="1">
      <c r="B9" s="438"/>
      <c r="C9" s="51" t="s">
        <v>67</v>
      </c>
      <c r="D9" s="51">
        <f>SUM('FY25'!AP$66:AP$67)</f>
        <v>0</v>
      </c>
      <c r="E9" s="51">
        <f>SUM('FY25'!AR66:AR67)</f>
        <v>0</v>
      </c>
      <c r="F9" s="51">
        <f>SUM('FY25'!AT66:AT67)</f>
        <v>0</v>
      </c>
      <c r="G9" s="51">
        <f t="shared" si="0"/>
        <v>0</v>
      </c>
    </row>
    <row r="10" spans="2:7" ht="17.45" thickBot="1">
      <c r="B10" s="438"/>
      <c r="C10" s="51" t="s">
        <v>68</v>
      </c>
      <c r="D10" s="51">
        <f>SUM('FY25'!AP$68:AP$71)</f>
        <v>0</v>
      </c>
      <c r="E10" s="51">
        <f>SUM('FY25'!AR68:AR71)</f>
        <v>0</v>
      </c>
      <c r="F10" s="51">
        <f>SUM('FY25'!AT68:AT71)</f>
        <v>0</v>
      </c>
      <c r="G10" s="51">
        <f t="shared" si="0"/>
        <v>0</v>
      </c>
    </row>
    <row r="11" spans="2:7" ht="17.45" thickBot="1">
      <c r="B11" s="438"/>
      <c r="C11" s="51" t="s">
        <v>69</v>
      </c>
      <c r="D11" s="51">
        <f>SUM('FY25'!AP$72:AP$102)*0.7</f>
        <v>27914.039999999997</v>
      </c>
      <c r="E11" s="51">
        <f>SUM('FY25'!AR72:AR102)*0.7</f>
        <v>26084.295999999991</v>
      </c>
      <c r="F11" s="51">
        <f>SUM('FY25'!AT72:AT102)*0.7</f>
        <v>27566.420000000002</v>
      </c>
      <c r="G11" s="51">
        <f t="shared" si="0"/>
        <v>81564.755999999994</v>
      </c>
    </row>
    <row r="12" spans="2:7" ht="17.45" thickBot="1">
      <c r="B12" s="438"/>
      <c r="C12" s="51" t="s">
        <v>70</v>
      </c>
      <c r="D12" s="51">
        <f>SUM('FY25'!AP$49:AP$50)</f>
        <v>0</v>
      </c>
      <c r="E12" s="51">
        <f>SUM('FY25'!AR49:AR50)</f>
        <v>0</v>
      </c>
      <c r="F12" s="51">
        <f>SUM('FY25'!AT49:AT50)</f>
        <v>0</v>
      </c>
      <c r="G12" s="51">
        <f t="shared" si="0"/>
        <v>0</v>
      </c>
    </row>
    <row r="13" spans="2:7" ht="17.45" thickBot="1">
      <c r="B13" s="438"/>
      <c r="C13" s="51" t="s">
        <v>71</v>
      </c>
      <c r="D13" s="51">
        <f>SUM('FY25'!AP$51:AP$65)</f>
        <v>3261.41</v>
      </c>
      <c r="E13" s="51">
        <f>SUM('FY25'!AR51:AR65)</f>
        <v>25590.67</v>
      </c>
      <c r="F13" s="51">
        <f>SUM('FY25'!AT51:AT65)</f>
        <v>3931.6</v>
      </c>
      <c r="G13" s="51">
        <f t="shared" si="0"/>
        <v>32783.68</v>
      </c>
    </row>
    <row r="14" spans="2:7" ht="17.45" thickBot="1">
      <c r="B14" s="438"/>
      <c r="C14" s="50" t="s">
        <v>72</v>
      </c>
      <c r="D14" s="52"/>
      <c r="E14" s="52"/>
      <c r="F14" s="52"/>
      <c r="G14" s="51">
        <f t="shared" si="0"/>
        <v>0</v>
      </c>
    </row>
    <row r="15" spans="2:7" ht="17.45" thickBot="1">
      <c r="B15" s="439"/>
      <c r="C15" s="53" t="s">
        <v>73</v>
      </c>
      <c r="D15" s="51">
        <f>SUM('FY25'!AP$103:AP$169)</f>
        <v>110410.42000000001</v>
      </c>
      <c r="E15" s="51">
        <f>SUM('FY25'!AR103:AR169)</f>
        <v>114374.58</v>
      </c>
      <c r="F15" s="51">
        <f>SUM('FY25'!AT103:AT169)</f>
        <v>82016.600000000006</v>
      </c>
      <c r="G15" s="51">
        <f t="shared" si="0"/>
        <v>306801.59999999998</v>
      </c>
    </row>
    <row r="16" spans="2:7" ht="17.45" thickBot="1">
      <c r="B16" s="440" t="s">
        <v>74</v>
      </c>
      <c r="C16" s="51" t="s">
        <v>75</v>
      </c>
      <c r="D16" s="51">
        <f>SUM('FY25'!AP$276:AP$374)*0.75+SUM('FY25'!AP170:AP181)</f>
        <v>148306.57500000001</v>
      </c>
      <c r="E16" s="51">
        <f>SUM('FY25'!AR276:AR374)*0.75+SUM('FY25'!AR170:AR181)</f>
        <v>371240.0625</v>
      </c>
      <c r="F16" s="51">
        <f>SUM('FY25'!AT276:AT374)*0.75+SUM('FY25'!AT170:AT181)</f>
        <v>161660.28750000001</v>
      </c>
      <c r="G16" s="51">
        <f t="shared" si="0"/>
        <v>681206.92500000005</v>
      </c>
    </row>
    <row r="17" spans="2:7" ht="17.45" thickBot="1">
      <c r="B17" s="441"/>
      <c r="C17" s="51" t="s">
        <v>69</v>
      </c>
      <c r="D17" s="51">
        <f>SUM('FY25'!AP$72:AP$102)*0.3</f>
        <v>11963.159999999998</v>
      </c>
      <c r="E17" s="51">
        <f>SUM('FY25'!AR72:AR102)*0.3</f>
        <v>11178.983999999997</v>
      </c>
      <c r="F17" s="51">
        <f>SUM('FY25'!AT72:AT102)*0.3</f>
        <v>11814.180000000002</v>
      </c>
      <c r="G17" s="51">
        <f t="shared" si="0"/>
        <v>34956.323999999993</v>
      </c>
    </row>
    <row r="18" spans="2:7" ht="17.45" thickBot="1">
      <c r="B18" s="441"/>
      <c r="C18" s="51" t="s">
        <v>76</v>
      </c>
      <c r="D18" s="51">
        <f>SUM('FY25'!AP$186:AP$203)</f>
        <v>63652.500000000007</v>
      </c>
      <c r="E18" s="51">
        <f>SUM('FY25'!AR186:AR203)</f>
        <v>52516.3</v>
      </c>
      <c r="F18" s="51">
        <f>SUM('FY25'!AT186:AT203)</f>
        <v>18281.8</v>
      </c>
      <c r="G18" s="51">
        <f t="shared" si="0"/>
        <v>134450.6</v>
      </c>
    </row>
    <row r="19" spans="2:7" ht="17.45" thickBot="1">
      <c r="B19" s="441"/>
      <c r="C19" s="51" t="s">
        <v>77</v>
      </c>
      <c r="D19" s="51">
        <f>SUM('FY25'!AP$204:AP$206)</f>
        <v>9884</v>
      </c>
      <c r="E19" s="51">
        <f>SUM('FY25'!AR204:AR206)</f>
        <v>12520</v>
      </c>
      <c r="F19" s="51">
        <f>SUM('FY25'!AT204:AT206)</f>
        <v>10750</v>
      </c>
      <c r="G19" s="51">
        <f t="shared" si="0"/>
        <v>33154</v>
      </c>
    </row>
    <row r="20" spans="2:7" ht="17.45" thickBot="1">
      <c r="B20" s="441"/>
      <c r="C20" s="51" t="s">
        <v>78</v>
      </c>
      <c r="D20" s="51">
        <f>SUM('FY25'!AP$207:AP$221)</f>
        <v>9421.2000000000007</v>
      </c>
      <c r="E20" s="51">
        <f>SUM('FY25'!AR207:AR221)</f>
        <v>14851.2</v>
      </c>
      <c r="F20" s="51">
        <f>SUM('FY25'!AT207:AT221)</f>
        <v>11228.1</v>
      </c>
      <c r="G20" s="51">
        <f t="shared" si="0"/>
        <v>35500.5</v>
      </c>
    </row>
    <row r="21" spans="2:7" ht="17.45" thickBot="1">
      <c r="B21" s="441"/>
      <c r="C21" s="51" t="s">
        <v>79</v>
      </c>
      <c r="D21" s="51">
        <f>SUM('FY25'!AP$222:AP$223)</f>
        <v>0</v>
      </c>
      <c r="E21" s="51">
        <f>SUM('FY25'!AR222:AR223)</f>
        <v>0</v>
      </c>
      <c r="F21" s="51">
        <f>SUM('FY25'!AT222:AT223)</f>
        <v>0</v>
      </c>
      <c r="G21" s="51">
        <f t="shared" si="0"/>
        <v>0</v>
      </c>
    </row>
    <row r="22" spans="2:7" ht="17.45" thickBot="1">
      <c r="B22" s="441"/>
      <c r="C22" s="51" t="s">
        <v>80</v>
      </c>
      <c r="D22" s="51">
        <f>SUM('FY25'!AP$224:AP$249)</f>
        <v>59494.8</v>
      </c>
      <c r="E22" s="51">
        <f>SUM('FY25'!AR224:AR249)</f>
        <v>39003.1</v>
      </c>
      <c r="F22" s="51">
        <f>SUM('FY25'!AT224:AT249)</f>
        <v>23515.5</v>
      </c>
      <c r="G22" s="51">
        <f t="shared" si="0"/>
        <v>122013.4</v>
      </c>
    </row>
    <row r="23" spans="2:7" ht="17.45" thickBot="1">
      <c r="B23" s="441"/>
      <c r="C23" s="51" t="s">
        <v>72</v>
      </c>
      <c r="D23" s="51">
        <f>SUM('FY25'!AP257:AP275)</f>
        <v>1404.48</v>
      </c>
      <c r="E23" s="51">
        <f>SUM('FY25'!AR257:AR275)</f>
        <v>76.800000000000011</v>
      </c>
      <c r="F23" s="51">
        <f>SUM('FY25'!AT257:AT275)</f>
        <v>472.32000000000005</v>
      </c>
      <c r="G23" s="51">
        <f t="shared" si="0"/>
        <v>1953.6</v>
      </c>
    </row>
    <row r="24" spans="2:7" ht="17.45" thickBot="1">
      <c r="B24" s="442"/>
      <c r="C24" s="51" t="s">
        <v>73</v>
      </c>
      <c r="D24" s="51">
        <f>SUM('FY25'!AP$250:AP$256)</f>
        <v>0</v>
      </c>
      <c r="E24" s="51">
        <f>SUM('FY25'!AR250:AR256)</f>
        <v>0</v>
      </c>
      <c r="F24" s="51">
        <f>SUM('FY25'!AT250:AT256)</f>
        <v>0</v>
      </c>
      <c r="G24" s="51">
        <f t="shared" si="0"/>
        <v>0</v>
      </c>
    </row>
    <row r="25" spans="2:7" ht="17.45" thickBot="1">
      <c r="B25" s="46"/>
      <c r="C25" s="46"/>
      <c r="D25" s="46"/>
      <c r="E25" s="46"/>
      <c r="F25" s="46"/>
      <c r="G25" s="54">
        <f>SUM(G5:G24)</f>
        <v>1964609.7500000002</v>
      </c>
    </row>
    <row r="26" spans="2:7">
      <c r="B26" s="46"/>
      <c r="C26" s="46"/>
      <c r="D26" s="46"/>
      <c r="E26" s="46"/>
      <c r="F26" s="46"/>
      <c r="G26" s="46"/>
    </row>
    <row r="27" spans="2:7" ht="17.45" thickBot="1">
      <c r="B27" s="45" t="s">
        <v>58</v>
      </c>
      <c r="C27" s="46"/>
      <c r="D27" s="46"/>
      <c r="E27" s="46"/>
      <c r="F27" s="46"/>
      <c r="G27" s="46"/>
    </row>
    <row r="28" spans="2:7" ht="29.45" thickBot="1">
      <c r="B28" s="118"/>
      <c r="C28" s="48" t="s">
        <v>81</v>
      </c>
      <c r="D28" s="56">
        <v>45597</v>
      </c>
      <c r="E28" s="56">
        <v>45627</v>
      </c>
      <c r="F28" s="56">
        <v>45658</v>
      </c>
      <c r="G28" s="49" t="s">
        <v>436</v>
      </c>
    </row>
    <row r="29" spans="2:7" ht="17.45" thickBot="1">
      <c r="B29" s="436" t="s">
        <v>82</v>
      </c>
      <c r="C29" s="51" t="s">
        <v>83</v>
      </c>
      <c r="D29" s="51"/>
      <c r="E29" s="51"/>
      <c r="F29" s="51"/>
      <c r="G29" s="51"/>
    </row>
    <row r="30" spans="2:7" ht="17.45" thickBot="1">
      <c r="B30" s="436"/>
      <c r="C30" s="51" t="s">
        <v>84</v>
      </c>
      <c r="D30" s="51"/>
      <c r="E30" s="51"/>
      <c r="F30" s="51"/>
      <c r="G30" s="51"/>
    </row>
    <row r="31" spans="2:7" ht="17.45" thickBot="1">
      <c r="B31" s="436"/>
      <c r="C31" s="51" t="s">
        <v>85</v>
      </c>
      <c r="D31" s="51">
        <f>SUM(D5:D24)</f>
        <v>575736.99</v>
      </c>
      <c r="E31" s="51">
        <f>SUM(E5:E24)</f>
        <v>899411.86</v>
      </c>
      <c r="F31" s="51">
        <f>SUM(F5:F24)</f>
        <v>489460.89999999997</v>
      </c>
      <c r="G31" s="51">
        <f t="shared" ref="G31" si="1">SUM(D31:F31)</f>
        <v>1964609.75</v>
      </c>
    </row>
    <row r="32" spans="2:7" ht="17.45" thickBot="1">
      <c r="B32" s="436"/>
      <c r="C32" s="51" t="s">
        <v>86</v>
      </c>
      <c r="D32" s="51"/>
      <c r="E32" s="51"/>
      <c r="F32" s="51"/>
      <c r="G32" s="51"/>
    </row>
    <row r="33" spans="2:7" ht="17.45" thickBot="1">
      <c r="B33" s="436"/>
      <c r="C33" s="51" t="s">
        <v>87</v>
      </c>
      <c r="D33" s="51"/>
      <c r="E33" s="51"/>
      <c r="F33" s="51"/>
      <c r="G33" s="51"/>
    </row>
    <row r="34" spans="2:7" ht="17.45" thickBot="1">
      <c r="B34" s="436"/>
      <c r="C34" s="51" t="s">
        <v>88</v>
      </c>
      <c r="D34" s="51"/>
      <c r="E34" s="51"/>
      <c r="F34" s="51"/>
      <c r="G34" s="51"/>
    </row>
    <row r="35" spans="2:7" ht="17.45" thickBot="1">
      <c r="B35" s="46"/>
      <c r="C35" s="46"/>
      <c r="D35" s="46"/>
      <c r="E35" s="46"/>
      <c r="F35" s="54" t="s">
        <v>89</v>
      </c>
      <c r="G35" s="55">
        <f>SUM(G29:G34)</f>
        <v>1964609.75</v>
      </c>
    </row>
    <row r="38" spans="2:7" ht="17.45" thickBot="1">
      <c r="B38" s="45" t="s">
        <v>90</v>
      </c>
      <c r="C38" s="46"/>
      <c r="D38" s="46"/>
      <c r="E38" s="46"/>
      <c r="F38" s="46"/>
      <c r="G38" s="46"/>
    </row>
    <row r="39" spans="2:7" ht="29.45" thickBot="1">
      <c r="B39" s="47"/>
      <c r="C39" s="48" t="s">
        <v>59</v>
      </c>
      <c r="D39" s="56">
        <v>45689</v>
      </c>
      <c r="E39" s="56">
        <v>45717</v>
      </c>
      <c r="F39" s="56">
        <v>45748</v>
      </c>
      <c r="G39" s="49" t="s">
        <v>437</v>
      </c>
    </row>
    <row r="40" spans="2:7" ht="17.45" thickBot="1">
      <c r="B40" s="437" t="s">
        <v>61</v>
      </c>
      <c r="C40" s="51" t="s">
        <v>62</v>
      </c>
      <c r="D40" s="51">
        <f>SUM('FY25'!AV$276:AV$374)*0.25</f>
        <v>64072.162500000006</v>
      </c>
      <c r="E40" s="51">
        <f>SUM('FY25'!AX$276:AX$374)*0.25</f>
        <v>136038.79999999999</v>
      </c>
      <c r="F40" s="51">
        <f>SUM('FY25'!AZ$276:AZ$374)*0.25</f>
        <v>72675.887500000012</v>
      </c>
      <c r="G40" s="51">
        <f t="shared" ref="G40:G59" si="2">SUM(D40:F40)</f>
        <v>272786.84999999998</v>
      </c>
    </row>
    <row r="41" spans="2:7" ht="17.45" thickBot="1">
      <c r="B41" s="438"/>
      <c r="C41" s="51" t="s">
        <v>322</v>
      </c>
      <c r="D41" s="51">
        <f>SUM('FY25'!AV$6:AV$19)</f>
        <v>48888.85</v>
      </c>
      <c r="E41" s="51">
        <f>SUM('FY25'!AX$6:AX$19)</f>
        <v>105022.95</v>
      </c>
      <c r="F41" s="51">
        <f>SUM('FY25'!AZ$6:AZ$19)</f>
        <v>65178.909999999996</v>
      </c>
      <c r="G41" s="51">
        <f t="shared" si="2"/>
        <v>219090.71</v>
      </c>
    </row>
    <row r="42" spans="2:7" ht="17.45" thickBot="1">
      <c r="B42" s="438"/>
      <c r="C42" s="51" t="s">
        <v>65</v>
      </c>
      <c r="D42" s="51">
        <f>SUM('FY25'!AV$20:AV$39)</f>
        <v>0</v>
      </c>
      <c r="E42" s="51">
        <f>SUM('FY25'!AX$20:AX$39)</f>
        <v>27744.5</v>
      </c>
      <c r="F42" s="51">
        <f>SUM('FY25'!AZ$20:AZ$39)</f>
        <v>86587.599999999991</v>
      </c>
      <c r="G42" s="51">
        <f t="shared" si="2"/>
        <v>114332.09999999999</v>
      </c>
    </row>
    <row r="43" spans="2:7" ht="17.45" thickBot="1">
      <c r="B43" s="438"/>
      <c r="C43" s="51" t="s">
        <v>66</v>
      </c>
      <c r="D43" s="51">
        <f>SUM('FY25'!AV$40:AV$48)</f>
        <v>37234.5</v>
      </c>
      <c r="E43" s="51">
        <f>SUM('FY25'!AX$40:AX$48)</f>
        <v>31167.800000000003</v>
      </c>
      <c r="F43" s="51">
        <f>SUM('FY25'!AZ$40:AZ$48)</f>
        <v>40765.340000000011</v>
      </c>
      <c r="G43" s="51">
        <f t="shared" si="2"/>
        <v>109167.64000000001</v>
      </c>
    </row>
    <row r="44" spans="2:7" ht="17.45" thickBot="1">
      <c r="B44" s="438"/>
      <c r="C44" s="51" t="s">
        <v>67</v>
      </c>
      <c r="D44" s="51">
        <f>SUM('FY25'!AV$66:AV$67)</f>
        <v>0</v>
      </c>
      <c r="E44" s="51">
        <f>SUM('FY25'!AX$66:AX$67)</f>
        <v>0</v>
      </c>
      <c r="F44" s="51">
        <f>SUM('FY25'!AZ$66:AZ$67)</f>
        <v>0</v>
      </c>
      <c r="G44" s="51">
        <f t="shared" si="2"/>
        <v>0</v>
      </c>
    </row>
    <row r="45" spans="2:7" ht="17.45" thickBot="1">
      <c r="B45" s="438"/>
      <c r="C45" s="51" t="s">
        <v>68</v>
      </c>
      <c r="D45" s="51">
        <f>SUM('FY25'!AV$68:AV$71)</f>
        <v>0</v>
      </c>
      <c r="E45" s="51">
        <f>SUM('FY25'!AX$68:AX$71)</f>
        <v>0</v>
      </c>
      <c r="F45" s="51">
        <f>SUM('FY25'!AZ$68:AZ$71)</f>
        <v>0</v>
      </c>
      <c r="G45" s="51">
        <f t="shared" si="2"/>
        <v>0</v>
      </c>
    </row>
    <row r="46" spans="2:7" ht="17.45" thickBot="1">
      <c r="B46" s="438"/>
      <c r="C46" s="51" t="s">
        <v>69</v>
      </c>
      <c r="D46" s="51">
        <f>SUM('FY25'!AV$72:AV$102)*0.7</f>
        <v>19925.079999999998</v>
      </c>
      <c r="E46" s="51">
        <f>SUM('FY25'!AX$72:AX$102)*0.7</f>
        <v>19825.602999999999</v>
      </c>
      <c r="F46" s="51">
        <f>SUM('FY25'!AZ$72:AZ$102)*0.7</f>
        <v>28145.319999999992</v>
      </c>
      <c r="G46" s="51">
        <f t="shared" si="2"/>
        <v>67896.002999999997</v>
      </c>
    </row>
    <row r="47" spans="2:7" ht="17.45" thickBot="1">
      <c r="B47" s="438"/>
      <c r="C47" s="51" t="s">
        <v>70</v>
      </c>
      <c r="D47" s="51">
        <f>SUM('FY25'!AV$49:AV$50)</f>
        <v>0</v>
      </c>
      <c r="E47" s="51">
        <f>SUM('FY25'!AX$49:AX$50)</f>
        <v>0</v>
      </c>
      <c r="F47" s="51">
        <f>SUM('FY25'!AZ$49:AZ$50)</f>
        <v>0</v>
      </c>
      <c r="G47" s="51">
        <f t="shared" si="2"/>
        <v>0</v>
      </c>
    </row>
    <row r="48" spans="2:7" ht="17.45" thickBot="1">
      <c r="B48" s="438"/>
      <c r="C48" s="51" t="s">
        <v>71</v>
      </c>
      <c r="D48" s="51">
        <f>SUM('FY25'!AV$51:AV$65)</f>
        <v>18958.28</v>
      </c>
      <c r="E48" s="51">
        <f>SUM('FY25'!AX$51:AX$65)</f>
        <v>9640.1999999999989</v>
      </c>
      <c r="F48" s="51">
        <f>SUM('FY25'!AZ$51:AZ$65)</f>
        <v>15280.8</v>
      </c>
      <c r="G48" s="51">
        <f t="shared" si="2"/>
        <v>43879.28</v>
      </c>
    </row>
    <row r="49" spans="2:7" ht="17.45" thickBot="1">
      <c r="B49" s="438"/>
      <c r="C49" s="50" t="s">
        <v>72</v>
      </c>
      <c r="D49" s="52"/>
      <c r="E49" s="52"/>
      <c r="F49" s="52"/>
      <c r="G49" s="51">
        <f t="shared" si="2"/>
        <v>0</v>
      </c>
    </row>
    <row r="50" spans="2:7" ht="17.45" thickBot="1">
      <c r="B50" s="439"/>
      <c r="C50" s="53" t="s">
        <v>73</v>
      </c>
      <c r="D50" s="51">
        <f>SUM('FY25'!AV$103:AV$169)</f>
        <v>105192.52</v>
      </c>
      <c r="E50" s="51">
        <f>SUM('FY25'!AX$103:AX$169)</f>
        <v>116630.6</v>
      </c>
      <c r="F50" s="51">
        <f>SUM('FY25'!AZ$103:AZ$169)</f>
        <v>101462.37999999999</v>
      </c>
      <c r="G50" s="51">
        <f t="shared" si="2"/>
        <v>323285.5</v>
      </c>
    </row>
    <row r="51" spans="2:7" ht="17.45" thickBot="1">
      <c r="B51" s="440" t="s">
        <v>74</v>
      </c>
      <c r="C51" s="51" t="s">
        <v>75</v>
      </c>
      <c r="D51" s="51">
        <f>SUM('FY25'!AV$276:AV$374)*0.75+SUM('FY25'!AV170:AV181)</f>
        <v>192228.48750000002</v>
      </c>
      <c r="E51" s="51">
        <f>SUM('FY25'!AX$276:AX$374)*0.75+SUM('FY25'!AX170:AX181)</f>
        <v>408116.39999999997</v>
      </c>
      <c r="F51" s="51">
        <f>SUM('FY25'!AZ$276:AZ$374)*0.75+SUM('FY25'!AZ170:AZ181)</f>
        <v>218027.66250000003</v>
      </c>
      <c r="G51" s="51">
        <f t="shared" si="2"/>
        <v>818372.55</v>
      </c>
    </row>
    <row r="52" spans="2:7" ht="17.45" thickBot="1">
      <c r="B52" s="441"/>
      <c r="C52" s="51" t="s">
        <v>69</v>
      </c>
      <c r="D52" s="51">
        <f>SUM('FY25'!AV$72:AV$102)*0.3</f>
        <v>8539.32</v>
      </c>
      <c r="E52" s="51">
        <f>SUM('FY25'!AX$72:AX$102)*0.3</f>
        <v>8496.6869999999999</v>
      </c>
      <c r="F52" s="51">
        <f>SUM('FY25'!AZ$72:AZ$102)*0.3</f>
        <v>12062.279999999997</v>
      </c>
      <c r="G52" s="51">
        <f t="shared" si="2"/>
        <v>29098.286999999997</v>
      </c>
    </row>
    <row r="53" spans="2:7" ht="17.45" thickBot="1">
      <c r="B53" s="441"/>
      <c r="C53" s="51" t="s">
        <v>76</v>
      </c>
      <c r="D53" s="51">
        <f>SUM('FY25'!AV$186:AV$203)</f>
        <v>28057.1</v>
      </c>
      <c r="E53" s="51">
        <f>SUM('FY25'!AX$186:AX$203)</f>
        <v>81165.400000000009</v>
      </c>
      <c r="F53" s="51">
        <f>SUM('FY25'!AZ$186:AZ$203)</f>
        <v>62708.600000000006</v>
      </c>
      <c r="G53" s="51">
        <f t="shared" si="2"/>
        <v>171931.1</v>
      </c>
    </row>
    <row r="54" spans="2:7" ht="17.45" thickBot="1">
      <c r="B54" s="441"/>
      <c r="C54" s="51" t="s">
        <v>77</v>
      </c>
      <c r="D54" s="51">
        <f>SUM('FY25'!AV$204:AV$206)</f>
        <v>5600</v>
      </c>
      <c r="E54" s="51">
        <f>SUM('FY25'!AX$204:AX$206)</f>
        <v>4800</v>
      </c>
      <c r="F54" s="51">
        <f>SUM('FY25'!AZ$204:AZ$206)</f>
        <v>1500</v>
      </c>
      <c r="G54" s="51">
        <f t="shared" si="2"/>
        <v>11900</v>
      </c>
    </row>
    <row r="55" spans="2:7" ht="17.45" thickBot="1">
      <c r="B55" s="441"/>
      <c r="C55" s="51" t="s">
        <v>78</v>
      </c>
      <c r="D55" s="51">
        <f>SUM('FY25'!AV$207:AV$221)</f>
        <v>2577.6</v>
      </c>
      <c r="E55" s="51">
        <f>SUM('FY25'!AX$207:AX$221)</f>
        <v>79856</v>
      </c>
      <c r="F55" s="51">
        <f>SUM('FY25'!AZ$207:AZ$221)</f>
        <v>146162</v>
      </c>
      <c r="G55" s="51">
        <f t="shared" si="2"/>
        <v>228595.6</v>
      </c>
    </row>
    <row r="56" spans="2:7" ht="17.45" thickBot="1">
      <c r="B56" s="441"/>
      <c r="C56" s="51" t="s">
        <v>79</v>
      </c>
      <c r="D56" s="51">
        <f>SUM('FY25'!AV$222:AV$223)</f>
        <v>0</v>
      </c>
      <c r="E56" s="51">
        <f>SUM('FY25'!AX$222:AX$223)</f>
        <v>0</v>
      </c>
      <c r="F56" s="51">
        <f>SUM('FY25'!AZ$222:AZ$223)</f>
        <v>0</v>
      </c>
      <c r="G56" s="51">
        <f t="shared" si="2"/>
        <v>0</v>
      </c>
    </row>
    <row r="57" spans="2:7" ht="17.45" thickBot="1">
      <c r="B57" s="441"/>
      <c r="C57" s="51" t="s">
        <v>80</v>
      </c>
      <c r="D57" s="51">
        <f>SUM('FY25'!AV$224:AV$249)</f>
        <v>65302.3</v>
      </c>
      <c r="E57" s="51">
        <f>SUM('FY25'!AX$224:AX$249)</f>
        <v>89179.200000000012</v>
      </c>
      <c r="F57" s="51">
        <f>SUM('FY25'!AZ$224:AZ$249)</f>
        <v>188063.6</v>
      </c>
      <c r="G57" s="51">
        <f t="shared" si="2"/>
        <v>342545.1</v>
      </c>
    </row>
    <row r="58" spans="2:7" ht="17.45" thickBot="1">
      <c r="B58" s="441"/>
      <c r="C58" s="51" t="s">
        <v>72</v>
      </c>
      <c r="D58" s="51">
        <f>SUM('FY25'!AV257:AV275)</f>
        <v>270.72000000000003</v>
      </c>
      <c r="E58" s="51">
        <f>SUM('FY25'!AX257:AX275)</f>
        <v>7.68</v>
      </c>
      <c r="F58" s="51">
        <f>SUM('FY25'!AZ257:AZ275)</f>
        <v>1006.0800000000002</v>
      </c>
      <c r="G58" s="51">
        <f t="shared" si="2"/>
        <v>1284.4800000000002</v>
      </c>
    </row>
    <row r="59" spans="2:7" ht="17.45" thickBot="1">
      <c r="B59" s="442"/>
      <c r="C59" s="51" t="s">
        <v>73</v>
      </c>
      <c r="D59" s="51">
        <f>SUM('FY25'!AV$250:AV$256)</f>
        <v>0</v>
      </c>
      <c r="E59" s="51">
        <f>SUM('FY25'!AX$250:AX$256)</f>
        <v>0</v>
      </c>
      <c r="F59" s="51">
        <f>SUM('FY25'!AZ$250:AZ$256)</f>
        <v>0</v>
      </c>
      <c r="G59" s="51">
        <f t="shared" si="2"/>
        <v>0</v>
      </c>
    </row>
    <row r="60" spans="2:7" ht="17.45" thickBot="1">
      <c r="B60" s="46"/>
      <c r="C60" s="46"/>
      <c r="D60" s="46"/>
      <c r="E60" s="46"/>
      <c r="F60" s="46"/>
      <c r="G60" s="54">
        <f>SUM(G40:G59)</f>
        <v>2754165.2</v>
      </c>
    </row>
    <row r="61" spans="2:7">
      <c r="B61" s="46"/>
      <c r="C61" s="46"/>
      <c r="D61" s="46"/>
      <c r="E61" s="46"/>
      <c r="F61" s="46"/>
      <c r="G61" s="46"/>
    </row>
    <row r="62" spans="2:7" ht="17.45" thickBot="1">
      <c r="B62" s="45" t="s">
        <v>90</v>
      </c>
      <c r="C62" s="46"/>
      <c r="D62" s="46"/>
      <c r="E62" s="46"/>
      <c r="F62" s="46"/>
      <c r="G62" s="46"/>
    </row>
    <row r="63" spans="2:7" ht="29.45" thickBot="1">
      <c r="B63" s="47"/>
      <c r="C63" s="48" t="s">
        <v>81</v>
      </c>
      <c r="D63" s="56">
        <v>45689</v>
      </c>
      <c r="E63" s="56">
        <v>45717</v>
      </c>
      <c r="F63" s="56">
        <v>45748</v>
      </c>
      <c r="G63" s="49" t="s">
        <v>437</v>
      </c>
    </row>
    <row r="64" spans="2:7" ht="17.45" thickBot="1">
      <c r="B64" s="436" t="s">
        <v>82</v>
      </c>
      <c r="C64" s="51" t="s">
        <v>83</v>
      </c>
      <c r="D64" s="51"/>
      <c r="E64" s="51"/>
      <c r="F64" s="51"/>
      <c r="G64" s="51"/>
    </row>
    <row r="65" spans="2:7" ht="17.45" thickBot="1">
      <c r="B65" s="436" t="s">
        <v>82</v>
      </c>
      <c r="C65" s="51" t="s">
        <v>84</v>
      </c>
      <c r="D65" s="51"/>
      <c r="E65" s="51"/>
      <c r="F65" s="51"/>
      <c r="G65" s="51"/>
    </row>
    <row r="66" spans="2:7" ht="17.45" thickBot="1">
      <c r="B66" s="436"/>
      <c r="C66" s="51" t="s">
        <v>85</v>
      </c>
      <c r="D66" s="51">
        <f>SUM(D40:D59)</f>
        <v>596846.92000000004</v>
      </c>
      <c r="E66" s="51">
        <f>SUM(E40:E59)</f>
        <v>1117691.8199999998</v>
      </c>
      <c r="F66" s="51">
        <f>SUM(F40:F59)</f>
        <v>1039626.4600000001</v>
      </c>
      <c r="G66" s="51">
        <f t="shared" ref="G66" si="3">SUM(D66:F66)</f>
        <v>2754165.1999999997</v>
      </c>
    </row>
    <row r="67" spans="2:7" ht="17.45" thickBot="1">
      <c r="B67" s="436"/>
      <c r="C67" s="51" t="s">
        <v>86</v>
      </c>
      <c r="D67" s="51"/>
      <c r="E67" s="51"/>
      <c r="F67" s="51"/>
      <c r="G67" s="51"/>
    </row>
    <row r="68" spans="2:7" ht="17.45" thickBot="1">
      <c r="B68" s="436"/>
      <c r="C68" s="51" t="s">
        <v>87</v>
      </c>
      <c r="D68" s="51"/>
      <c r="E68" s="51"/>
      <c r="F68" s="51"/>
      <c r="G68" s="51"/>
    </row>
    <row r="69" spans="2:7" ht="17.45" thickBot="1">
      <c r="B69" s="436"/>
      <c r="C69" s="51" t="s">
        <v>88</v>
      </c>
      <c r="D69" s="51"/>
      <c r="E69" s="51"/>
      <c r="F69" s="51"/>
      <c r="G69" s="51"/>
    </row>
    <row r="70" spans="2:7" ht="17.45" thickBot="1">
      <c r="B70" s="46"/>
      <c r="C70" s="46"/>
      <c r="D70" s="46"/>
      <c r="E70" s="46"/>
      <c r="F70" s="54" t="s">
        <v>89</v>
      </c>
      <c r="G70" s="55">
        <f>SUM(G64:G69)</f>
        <v>2754165.1999999997</v>
      </c>
    </row>
    <row r="73" spans="2:7" ht="17.45" thickBot="1">
      <c r="B73" s="45" t="s">
        <v>93</v>
      </c>
      <c r="C73" s="46"/>
      <c r="D73" s="46"/>
      <c r="E73" s="46"/>
      <c r="F73" s="46"/>
      <c r="G73" s="46"/>
    </row>
    <row r="74" spans="2:7" ht="29.45" thickBot="1">
      <c r="B74" s="47"/>
      <c r="C74" s="48" t="s">
        <v>59</v>
      </c>
      <c r="D74" s="56">
        <v>45778</v>
      </c>
      <c r="E74" s="56">
        <v>45809</v>
      </c>
      <c r="F74" s="56">
        <v>45839</v>
      </c>
      <c r="G74" s="49" t="s">
        <v>438</v>
      </c>
    </row>
    <row r="75" spans="2:7" ht="17.45" thickBot="1">
      <c r="B75" s="437" t="s">
        <v>61</v>
      </c>
      <c r="C75" s="51" t="s">
        <v>62</v>
      </c>
      <c r="D75" s="51">
        <f>SUM('FY25'!BB$276:BB$374)*0.25</f>
        <v>96696.524999999994</v>
      </c>
      <c r="E75" s="51">
        <f>SUM('FY25'!BD$276:BD$374)*0.25</f>
        <v>109958.33749999999</v>
      </c>
      <c r="F75" s="51">
        <f>SUM('FY25'!BF$276:BF$374)*0.25</f>
        <v>70226.849999999991</v>
      </c>
      <c r="G75" s="51">
        <f t="shared" ref="G75:G94" si="4">SUM(D75:F75)</f>
        <v>276881.71249999997</v>
      </c>
    </row>
    <row r="76" spans="2:7" ht="17.45" thickBot="1">
      <c r="B76" s="438"/>
      <c r="C76" s="51" t="s">
        <v>322</v>
      </c>
      <c r="D76" s="51">
        <f>SUM('FY25'!BB$6:BB$19)</f>
        <v>72697.66</v>
      </c>
      <c r="E76" s="51">
        <f>SUM('FY25'!BD$6:BD$19)</f>
        <v>91289.42</v>
      </c>
      <c r="F76" s="51">
        <f>SUM('FY25'!BF$6:BF$19)</f>
        <v>79325.450000000012</v>
      </c>
      <c r="G76" s="51">
        <f t="shared" si="4"/>
        <v>243312.53000000003</v>
      </c>
    </row>
    <row r="77" spans="2:7" ht="17.45" thickBot="1">
      <c r="B77" s="438"/>
      <c r="C77" s="51" t="s">
        <v>65</v>
      </c>
      <c r="D77" s="51">
        <f>SUM('FY25'!BB$20:BB$39)</f>
        <v>55718.04</v>
      </c>
      <c r="E77" s="51">
        <f>SUM('FY25'!BD$20:BD$39)</f>
        <v>113923.59999999998</v>
      </c>
      <c r="F77" s="51">
        <f>SUM('FY25'!BF$20:BF$39)</f>
        <v>200975.99000000005</v>
      </c>
      <c r="G77" s="51">
        <f t="shared" si="4"/>
        <v>370617.63</v>
      </c>
    </row>
    <row r="78" spans="2:7" ht="17.45" thickBot="1">
      <c r="B78" s="438"/>
      <c r="C78" s="51" t="s">
        <v>66</v>
      </c>
      <c r="D78" s="51">
        <f>SUM('FY25'!BB$40:BB$48)</f>
        <v>29087.200000000001</v>
      </c>
      <c r="E78" s="51">
        <f>SUM('FY25'!BD$40:BD$48)</f>
        <v>38975.199999999997</v>
      </c>
      <c r="F78" s="51">
        <f>SUM('FY25'!BF$40:BF$48)</f>
        <v>28308</v>
      </c>
      <c r="G78" s="51">
        <f t="shared" si="4"/>
        <v>96370.4</v>
      </c>
    </row>
    <row r="79" spans="2:7" ht="17.45" thickBot="1">
      <c r="B79" s="438"/>
      <c r="C79" s="51" t="s">
        <v>67</v>
      </c>
      <c r="D79" s="51">
        <f>SUM('FY25'!BB$66:BB$67)</f>
        <v>0</v>
      </c>
      <c r="E79" s="51">
        <f>SUM('FY25'!BD$66:BD$67)</f>
        <v>0</v>
      </c>
      <c r="F79" s="51">
        <f>SUM('FY25'!BF$66:BF$67)</f>
        <v>0</v>
      </c>
      <c r="G79" s="51">
        <f t="shared" si="4"/>
        <v>0</v>
      </c>
    </row>
    <row r="80" spans="2:7" ht="17.45" thickBot="1">
      <c r="B80" s="438"/>
      <c r="C80" s="51" t="s">
        <v>68</v>
      </c>
      <c r="D80" s="51">
        <f>SUM('FY25'!BB$68:BB$71)</f>
        <v>0</v>
      </c>
      <c r="E80" s="51">
        <f>SUM('FY25'!BD$68:BD$71)</f>
        <v>0</v>
      </c>
      <c r="F80" s="51">
        <f>SUM('FY25'!BF$68:BF$71)</f>
        <v>0</v>
      </c>
      <c r="G80" s="51">
        <f t="shared" si="4"/>
        <v>0</v>
      </c>
    </row>
    <row r="81" spans="2:7" ht="17.45" thickBot="1">
      <c r="B81" s="438"/>
      <c r="C81" s="51" t="s">
        <v>69</v>
      </c>
      <c r="D81" s="51">
        <f>SUM('FY25'!BB$72:BB$102)*0.7</f>
        <v>28942.172000000002</v>
      </c>
      <c r="E81" s="51">
        <f>SUM('FY25'!BD$72:BD$102)*0.7</f>
        <v>21962.079999999998</v>
      </c>
      <c r="F81" s="51">
        <f>SUM('FY25'!BF$72:BF$102)*0.7</f>
        <v>17137.511999999999</v>
      </c>
      <c r="G81" s="51">
        <f t="shared" si="4"/>
        <v>68041.763999999996</v>
      </c>
    </row>
    <row r="82" spans="2:7" ht="17.45" thickBot="1">
      <c r="B82" s="438"/>
      <c r="C82" s="51" t="s">
        <v>70</v>
      </c>
      <c r="D82" s="51">
        <f>SUM('FY25'!BB$49:BB$50)</f>
        <v>0</v>
      </c>
      <c r="E82" s="51">
        <f>SUM('FY25'!BD$49:BD$50)</f>
        <v>0</v>
      </c>
      <c r="F82" s="51">
        <f>SUM('FY25'!BF$49:BF$50)</f>
        <v>0</v>
      </c>
      <c r="G82" s="51">
        <f t="shared" si="4"/>
        <v>0</v>
      </c>
    </row>
    <row r="83" spans="2:7" ht="17.45" thickBot="1">
      <c r="B83" s="438"/>
      <c r="C83" s="51" t="s">
        <v>71</v>
      </c>
      <c r="D83" s="51">
        <f>SUM('FY25'!BB$51:BB$65)</f>
        <v>12261.599999999999</v>
      </c>
      <c r="E83" s="51">
        <f>SUM('FY25'!BD$51:BD$65)</f>
        <v>9620.81</v>
      </c>
      <c r="F83" s="51">
        <f>SUM('FY25'!BF$51:BF$65)</f>
        <v>13737.199999999999</v>
      </c>
      <c r="G83" s="51">
        <f t="shared" si="4"/>
        <v>35619.609999999993</v>
      </c>
    </row>
    <row r="84" spans="2:7" ht="17.45" thickBot="1">
      <c r="B84" s="438"/>
      <c r="C84" s="50" t="s">
        <v>72</v>
      </c>
      <c r="D84" s="52"/>
      <c r="E84" s="52"/>
      <c r="F84" s="52"/>
      <c r="G84" s="51">
        <f t="shared" si="4"/>
        <v>0</v>
      </c>
    </row>
    <row r="85" spans="2:7" ht="17.45" thickBot="1">
      <c r="B85" s="439"/>
      <c r="C85" s="53" t="s">
        <v>73</v>
      </c>
      <c r="D85" s="51">
        <f>SUM('FY25'!BB$103:BB$169)</f>
        <v>67100.62</v>
      </c>
      <c r="E85" s="51">
        <f>SUM('FY25'!BD$103:BD$169)</f>
        <v>114509.87999999995</v>
      </c>
      <c r="F85" s="51">
        <f>SUM('FY25'!BF$103:BF$169)</f>
        <v>45290.87999999999</v>
      </c>
      <c r="G85" s="51">
        <f t="shared" si="4"/>
        <v>226901.37999999995</v>
      </c>
    </row>
    <row r="86" spans="2:7" ht="17.45" thickBot="1">
      <c r="B86" s="440" t="s">
        <v>74</v>
      </c>
      <c r="C86" s="51" t="s">
        <v>75</v>
      </c>
      <c r="D86" s="51">
        <f>SUM('FY25'!BB$276:BB$374)*0.75+SUM('FY25'!BB170:BB181)</f>
        <v>290089.57499999995</v>
      </c>
      <c r="E86" s="51">
        <f>SUM('FY25'!BD$276:BD$374)*0.75+SUM('FY25'!BD170:BD181)</f>
        <v>329875.01249999995</v>
      </c>
      <c r="F86" s="51">
        <f>SUM('FY25'!BF$276:BF$374)*0.75+SUM('FY25'!BF170:BF181)</f>
        <v>210680.55</v>
      </c>
      <c r="G86" s="51">
        <f t="shared" si="4"/>
        <v>830645.13749999995</v>
      </c>
    </row>
    <row r="87" spans="2:7" ht="17.45" thickBot="1">
      <c r="B87" s="441"/>
      <c r="C87" s="51" t="s">
        <v>69</v>
      </c>
      <c r="D87" s="51">
        <f>SUM('FY25'!BB$72:BB$102)*0.3</f>
        <v>12403.788000000002</v>
      </c>
      <c r="E87" s="51">
        <f>SUM('FY25'!BD$72:BD$102)*0.3</f>
        <v>9412.32</v>
      </c>
      <c r="F87" s="51">
        <f>SUM('FY25'!BF$72:BF$102)*0.3</f>
        <v>7344.6480000000001</v>
      </c>
      <c r="G87" s="51">
        <f t="shared" si="4"/>
        <v>29160.756000000001</v>
      </c>
    </row>
    <row r="88" spans="2:7" ht="17.45" thickBot="1">
      <c r="B88" s="441"/>
      <c r="C88" s="51" t="s">
        <v>76</v>
      </c>
      <c r="D88" s="51">
        <f>SUM('FY25'!BB$186:BB$203)</f>
        <v>88430.300000000017</v>
      </c>
      <c r="E88" s="51">
        <f>SUM('FY25'!BD$186:BD$203)</f>
        <v>104749.25</v>
      </c>
      <c r="F88" s="51">
        <f>SUM('FY25'!BF$186:BF$203)</f>
        <v>96053.400000000023</v>
      </c>
      <c r="G88" s="51">
        <f t="shared" si="4"/>
        <v>289232.95000000007</v>
      </c>
    </row>
    <row r="89" spans="2:7" ht="17.45" thickBot="1">
      <c r="B89" s="441"/>
      <c r="C89" s="51" t="s">
        <v>77</v>
      </c>
      <c r="D89" s="51">
        <f>SUM('FY25'!BB$204:BB$206)</f>
        <v>2000</v>
      </c>
      <c r="E89" s="51">
        <f>SUM('FY25'!BD$204:BD$206)</f>
        <v>3700</v>
      </c>
      <c r="F89" s="51">
        <f>SUM('FY25'!BF$204:BF$206)</f>
        <v>1900</v>
      </c>
      <c r="G89" s="51">
        <f t="shared" si="4"/>
        <v>7600</v>
      </c>
    </row>
    <row r="90" spans="2:7" ht="17.45" thickBot="1">
      <c r="B90" s="441"/>
      <c r="C90" s="51" t="s">
        <v>78</v>
      </c>
      <c r="D90" s="51">
        <f>SUM('FY25'!BB$207:BB$221)</f>
        <v>165747.54999999999</v>
      </c>
      <c r="E90" s="51">
        <f>SUM('FY25'!BD$207:BD$221)</f>
        <v>96088</v>
      </c>
      <c r="F90" s="51">
        <f>SUM('FY25'!BF$207:BF$221)</f>
        <v>93172</v>
      </c>
      <c r="G90" s="51">
        <f t="shared" si="4"/>
        <v>355007.55</v>
      </c>
    </row>
    <row r="91" spans="2:7" ht="17.45" thickBot="1">
      <c r="B91" s="441"/>
      <c r="C91" s="51" t="s">
        <v>79</v>
      </c>
      <c r="D91" s="51">
        <f>SUM('FY25'!BB$222:BB$223)</f>
        <v>0</v>
      </c>
      <c r="E91" s="51">
        <f>SUM('FY25'!BD$222:BD$223)</f>
        <v>0</v>
      </c>
      <c r="F91" s="51">
        <f>SUM('FY25'!BF$222:BF$223)</f>
        <v>0</v>
      </c>
      <c r="G91" s="51">
        <f t="shared" si="4"/>
        <v>0</v>
      </c>
    </row>
    <row r="92" spans="2:7" ht="17.45" thickBot="1">
      <c r="B92" s="441"/>
      <c r="C92" s="51" t="s">
        <v>80</v>
      </c>
      <c r="D92" s="51">
        <f>SUM('FY25'!BB$224:BB$249)</f>
        <v>142641.04999999999</v>
      </c>
      <c r="E92" s="51">
        <f>SUM('FY25'!BD$224:BD$249)</f>
        <v>112758.75</v>
      </c>
      <c r="F92" s="51">
        <f>SUM('FY25'!BF$224:BF$249)</f>
        <v>248566.2</v>
      </c>
      <c r="G92" s="51">
        <f t="shared" si="4"/>
        <v>503966</v>
      </c>
    </row>
    <row r="93" spans="2:7" ht="17.45" thickBot="1">
      <c r="B93" s="441"/>
      <c r="C93" s="51" t="s">
        <v>72</v>
      </c>
      <c r="D93" s="51">
        <f>SUM('FY25'!BB257:BB275)</f>
        <v>293.76000000000005</v>
      </c>
      <c r="E93" s="51">
        <f>SUM('FY25'!BD257:BD275)</f>
        <v>681.6</v>
      </c>
      <c r="F93" s="51">
        <f>SUM('FY25'!BF257:BF275)</f>
        <v>0</v>
      </c>
      <c r="G93" s="51">
        <f t="shared" si="4"/>
        <v>975.36000000000013</v>
      </c>
    </row>
    <row r="94" spans="2:7" ht="17.45" thickBot="1">
      <c r="B94" s="442"/>
      <c r="C94" s="51" t="s">
        <v>73</v>
      </c>
      <c r="D94" s="51">
        <f>SUM('FY25'!BB$250:BB$256)</f>
        <v>0</v>
      </c>
      <c r="E94" s="51">
        <f>SUM('FY25'!BD$250:BD$256)</f>
        <v>0</v>
      </c>
      <c r="F94" s="51">
        <f>SUM('FY25'!BF$250:BF$256)</f>
        <v>0</v>
      </c>
      <c r="G94" s="51">
        <f t="shared" si="4"/>
        <v>0</v>
      </c>
    </row>
    <row r="95" spans="2:7" ht="17.45" thickBot="1">
      <c r="B95" s="46"/>
      <c r="C95" s="46"/>
      <c r="D95" s="46"/>
      <c r="E95" s="46"/>
      <c r="F95" s="46"/>
      <c r="G95" s="54">
        <f>SUM(G75:G94)</f>
        <v>3334332.78</v>
      </c>
    </row>
    <row r="96" spans="2:7">
      <c r="B96" s="46"/>
      <c r="C96" s="46"/>
      <c r="D96" s="46"/>
      <c r="E96" s="46"/>
      <c r="F96" s="46"/>
      <c r="G96" s="46"/>
    </row>
    <row r="97" spans="2:7" ht="17.45" thickBot="1">
      <c r="B97" s="45" t="s">
        <v>93</v>
      </c>
      <c r="C97" s="46"/>
      <c r="D97" s="46"/>
      <c r="E97" s="46"/>
      <c r="F97" s="46"/>
      <c r="G97" s="46"/>
    </row>
    <row r="98" spans="2:7" ht="29.45" thickBot="1">
      <c r="B98" s="118"/>
      <c r="C98" s="48" t="s">
        <v>81</v>
      </c>
      <c r="D98" s="56">
        <v>45778</v>
      </c>
      <c r="E98" s="56">
        <v>45809</v>
      </c>
      <c r="F98" s="56">
        <v>45839</v>
      </c>
      <c r="G98" s="49" t="s">
        <v>438</v>
      </c>
    </row>
    <row r="99" spans="2:7" ht="17.45" thickBot="1">
      <c r="B99" s="436" t="s">
        <v>82</v>
      </c>
      <c r="C99" s="51" t="s">
        <v>83</v>
      </c>
      <c r="D99" s="51"/>
      <c r="E99" s="51"/>
      <c r="F99" s="51"/>
      <c r="G99" s="51"/>
    </row>
    <row r="100" spans="2:7" ht="17.45" thickBot="1">
      <c r="B100" s="436"/>
      <c r="C100" s="51" t="s">
        <v>84</v>
      </c>
      <c r="D100" s="51"/>
      <c r="E100" s="51"/>
      <c r="F100" s="51"/>
      <c r="G100" s="51"/>
    </row>
    <row r="101" spans="2:7" ht="17.45" thickBot="1">
      <c r="B101" s="436"/>
      <c r="C101" s="51" t="s">
        <v>85</v>
      </c>
      <c r="D101" s="51">
        <f>SUM(D75:D94)</f>
        <v>1064109.8400000001</v>
      </c>
      <c r="E101" s="51">
        <f>SUM(E75:E94)</f>
        <v>1157504.2599999998</v>
      </c>
      <c r="F101" s="51">
        <f>SUM(F75:F94)</f>
        <v>1112718.6800000002</v>
      </c>
      <c r="G101" s="51">
        <f t="shared" ref="G101" si="5">SUM(D101:F101)</f>
        <v>3334332.78</v>
      </c>
    </row>
    <row r="102" spans="2:7" ht="17.45" thickBot="1">
      <c r="B102" s="436"/>
      <c r="C102" s="51" t="s">
        <v>86</v>
      </c>
      <c r="D102" s="51"/>
      <c r="E102" s="51"/>
      <c r="F102" s="51"/>
      <c r="G102" s="51"/>
    </row>
    <row r="103" spans="2:7" ht="17.45" thickBot="1">
      <c r="B103" s="436"/>
      <c r="C103" s="51" t="s">
        <v>87</v>
      </c>
      <c r="D103" s="51"/>
      <c r="E103" s="51"/>
      <c r="F103" s="51"/>
      <c r="G103" s="51"/>
    </row>
    <row r="104" spans="2:7" ht="17.45" thickBot="1">
      <c r="B104" s="436"/>
      <c r="C104" s="51" t="s">
        <v>88</v>
      </c>
      <c r="D104" s="51"/>
      <c r="E104" s="51"/>
      <c r="F104" s="51"/>
      <c r="G104" s="51"/>
    </row>
    <row r="105" spans="2:7" ht="17.45" thickBot="1">
      <c r="B105" s="46"/>
      <c r="C105" s="46"/>
      <c r="D105" s="46"/>
      <c r="E105" s="46"/>
      <c r="F105" s="54" t="s">
        <v>89</v>
      </c>
      <c r="G105" s="55">
        <f>SUM(G99:G104)</f>
        <v>3334332.78</v>
      </c>
    </row>
    <row r="107" spans="2:7" ht="17.45" thickBot="1">
      <c r="B107" s="45" t="s">
        <v>95</v>
      </c>
      <c r="C107" s="46"/>
      <c r="D107" s="46"/>
      <c r="E107" s="46"/>
      <c r="F107" s="46"/>
      <c r="G107" s="46"/>
    </row>
    <row r="108" spans="2:7" ht="29.45" thickBot="1">
      <c r="B108" s="47"/>
      <c r="C108" s="48" t="s">
        <v>59</v>
      </c>
      <c r="D108" s="56">
        <v>45870</v>
      </c>
      <c r="E108" s="56">
        <v>45901</v>
      </c>
      <c r="F108" s="56">
        <v>45931</v>
      </c>
      <c r="G108" s="49" t="s">
        <v>439</v>
      </c>
    </row>
    <row r="109" spans="2:7" ht="17.45" thickBot="1">
      <c r="B109" s="437" t="s">
        <v>61</v>
      </c>
      <c r="C109" s="51" t="s">
        <v>62</v>
      </c>
      <c r="D109" s="51">
        <f>SUM('FY25'!BH$276:BH$374)*0.25</f>
        <v>87795.537500000006</v>
      </c>
      <c r="E109" s="51">
        <f>SUM('FY25'!BJ$276:BJ$374)*0.25</f>
        <v>113440.625</v>
      </c>
      <c r="F109" s="51">
        <f>SUM('FY25'!BL$276:BL$374)*0.25</f>
        <v>75420.674999999988</v>
      </c>
      <c r="G109" s="51">
        <f t="shared" ref="G109:G128" si="6">SUM(D109:F109)</f>
        <v>276656.83750000002</v>
      </c>
    </row>
    <row r="110" spans="2:7" ht="17.45" thickBot="1">
      <c r="B110" s="438"/>
      <c r="C110" s="51" t="s">
        <v>322</v>
      </c>
      <c r="D110" s="51">
        <f>SUM('FY25'!BH$6:BH$19)</f>
        <v>77708.2</v>
      </c>
      <c r="E110" s="51">
        <f>SUM('FY25'!BJ$6:BJ$19)</f>
        <v>51374.2</v>
      </c>
      <c r="F110" s="51">
        <f>SUM('FY25'!BL$6:BL$19)</f>
        <v>60975.55</v>
      </c>
      <c r="G110" s="51">
        <f t="shared" si="6"/>
        <v>190057.95</v>
      </c>
    </row>
    <row r="111" spans="2:7" ht="17.45" thickBot="1">
      <c r="B111" s="438"/>
      <c r="C111" s="51" t="s">
        <v>65</v>
      </c>
      <c r="D111" s="51">
        <f>SUM('FY25'!BH$20:BH$39)</f>
        <v>178817.09999999998</v>
      </c>
      <c r="E111" s="51">
        <f>SUM('FY25'!BJ$20:BJ$39)</f>
        <v>72461.820000000007</v>
      </c>
      <c r="F111" s="51">
        <f>SUM('FY25'!BL$20:BL$39)</f>
        <v>79134.709999999977</v>
      </c>
      <c r="G111" s="51">
        <f t="shared" si="6"/>
        <v>330413.62999999995</v>
      </c>
    </row>
    <row r="112" spans="2:7" ht="17.45" thickBot="1">
      <c r="B112" s="438"/>
      <c r="C112" s="51" t="s">
        <v>66</v>
      </c>
      <c r="D112" s="51">
        <f>SUM('FY25'!BH$40:BH$48)</f>
        <v>21417.9</v>
      </c>
      <c r="E112" s="51">
        <f>SUM('FY25'!BJ$40:BJ$48)</f>
        <v>38220</v>
      </c>
      <c r="F112" s="51">
        <f>SUM('FY25'!BL$40:BL$48)</f>
        <v>26518.800000000003</v>
      </c>
      <c r="G112" s="51">
        <f t="shared" si="6"/>
        <v>86156.700000000012</v>
      </c>
    </row>
    <row r="113" spans="2:7" ht="17.45" thickBot="1">
      <c r="B113" s="438"/>
      <c r="C113" s="51" t="s">
        <v>67</v>
      </c>
      <c r="D113" s="51">
        <f>SUM('FY25'!BH$66:BH$67)</f>
        <v>0</v>
      </c>
      <c r="E113" s="51">
        <f>SUM('FY25'!BJ$66:BJ$67)</f>
        <v>0</v>
      </c>
      <c r="F113" s="51">
        <f>SUM('FY25'!BL$66:BL$67)</f>
        <v>0</v>
      </c>
      <c r="G113" s="51">
        <f t="shared" si="6"/>
        <v>0</v>
      </c>
    </row>
    <row r="114" spans="2:7" ht="17.45" thickBot="1">
      <c r="B114" s="438"/>
      <c r="C114" s="51" t="s">
        <v>68</v>
      </c>
      <c r="D114" s="51">
        <f>SUM('FY25'!BH$68:BH$71)</f>
        <v>0</v>
      </c>
      <c r="E114" s="51">
        <f>SUM('FY25'!BJ$68:BJ$71)</f>
        <v>0</v>
      </c>
      <c r="F114" s="51">
        <f>SUM('FY25'!BL$68:BL$71)</f>
        <v>0</v>
      </c>
      <c r="G114" s="51">
        <f t="shared" si="6"/>
        <v>0</v>
      </c>
    </row>
    <row r="115" spans="2:7" ht="17.45" thickBot="1">
      <c r="B115" s="438"/>
      <c r="C115" s="51" t="s">
        <v>69</v>
      </c>
      <c r="D115" s="51">
        <f>SUM('FY25'!BH$72:BH$102)*0.7</f>
        <v>37131.807999999997</v>
      </c>
      <c r="E115" s="51">
        <f>SUM('FY25'!BJ$72:BJ$102)*0.7</f>
        <v>39417.756000000001</v>
      </c>
      <c r="F115" s="51">
        <f>SUM('FY25'!BL$72:BL$102)*0.7</f>
        <v>34019.691999999988</v>
      </c>
      <c r="G115" s="51">
        <f t="shared" si="6"/>
        <v>110569.25599999999</v>
      </c>
    </row>
    <row r="116" spans="2:7" ht="17.45" thickBot="1">
      <c r="B116" s="438"/>
      <c r="C116" s="51" t="s">
        <v>70</v>
      </c>
      <c r="D116" s="51">
        <f>SUM('FY25'!BH$49:BH$50)</f>
        <v>0</v>
      </c>
      <c r="E116" s="51">
        <f>SUM('FY25'!BJ$49:BJ$50)</f>
        <v>0</v>
      </c>
      <c r="F116" s="51">
        <f>SUM('FY25'!BL$49:BL$50)</f>
        <v>0</v>
      </c>
      <c r="G116" s="51">
        <f t="shared" si="6"/>
        <v>0</v>
      </c>
    </row>
    <row r="117" spans="2:7" ht="17.45" thickBot="1">
      <c r="B117" s="438"/>
      <c r="C117" s="51" t="s">
        <v>71</v>
      </c>
      <c r="D117" s="51">
        <f>SUM('FY25'!BH$51:BH$65)</f>
        <v>3786</v>
      </c>
      <c r="E117" s="51">
        <f>SUM('FY25'!BJ$51:BJ$65)</f>
        <v>21226.3</v>
      </c>
      <c r="F117" s="51">
        <f>SUM('FY25'!BL$51:BL$65)</f>
        <v>11553.199999999999</v>
      </c>
      <c r="G117" s="51">
        <f t="shared" si="6"/>
        <v>36565.5</v>
      </c>
    </row>
    <row r="118" spans="2:7" ht="17.45" thickBot="1">
      <c r="B118" s="438"/>
      <c r="C118" s="50" t="s">
        <v>72</v>
      </c>
      <c r="D118" s="52"/>
      <c r="E118" s="52"/>
      <c r="F118" s="52"/>
      <c r="G118" s="51">
        <f t="shared" si="6"/>
        <v>0</v>
      </c>
    </row>
    <row r="119" spans="2:7" ht="17.45" thickBot="1">
      <c r="B119" s="439"/>
      <c r="C119" s="53" t="s">
        <v>73</v>
      </c>
      <c r="D119" s="51">
        <f>SUM('FY25'!BH$103:BH$169)</f>
        <v>40757.950000000004</v>
      </c>
      <c r="E119" s="51">
        <f>SUM('FY25'!BJ$103:BJ$169)</f>
        <v>44978.84</v>
      </c>
      <c r="F119" s="51">
        <f>SUM('FY25'!BL$103:BL$169)</f>
        <v>11124.200000000003</v>
      </c>
      <c r="G119" s="51">
        <f t="shared" si="6"/>
        <v>96860.99</v>
      </c>
    </row>
    <row r="120" spans="2:7" ht="17.45" thickBot="1">
      <c r="B120" s="440" t="s">
        <v>74</v>
      </c>
      <c r="C120" s="51" t="s">
        <v>75</v>
      </c>
      <c r="D120" s="51">
        <f>SUM('FY25'!BH$276:BH$374)*0.75+SUM('FY25'!BH170:BH181)</f>
        <v>263386.61250000005</v>
      </c>
      <c r="E120" s="51">
        <f>SUM('FY25'!BJ$276:BJ$374)*0.75+SUM('FY25'!BJ170:BJ181)</f>
        <v>340321.875</v>
      </c>
      <c r="F120" s="51">
        <f>SUM('FY25'!BL$276:BL$374)*0.75+SUM('FY25'!BL170:BL181)</f>
        <v>226262.02499999997</v>
      </c>
      <c r="G120" s="51">
        <f t="shared" si="6"/>
        <v>829970.51249999995</v>
      </c>
    </row>
    <row r="121" spans="2:7" ht="17.45" thickBot="1">
      <c r="B121" s="441"/>
      <c r="C121" s="51" t="s">
        <v>69</v>
      </c>
      <c r="D121" s="51">
        <f>SUM('FY25'!BH$72:BH$102)*0.3</f>
        <v>15913.632</v>
      </c>
      <c r="E121" s="51">
        <f>SUM('FY25'!BJ$72:BJ$102)*0.3</f>
        <v>16893.324000000001</v>
      </c>
      <c r="F121" s="51">
        <f>SUM('FY25'!BL$72:BL$102)*0.3</f>
        <v>14579.867999999997</v>
      </c>
      <c r="G121" s="51">
        <f t="shared" si="6"/>
        <v>47386.823999999993</v>
      </c>
    </row>
    <row r="122" spans="2:7" ht="17.45" thickBot="1">
      <c r="B122" s="441"/>
      <c r="C122" s="51" t="s">
        <v>76</v>
      </c>
      <c r="D122" s="51">
        <f>SUM('FY25'!BH$186:BH$203)</f>
        <v>113251.85000000002</v>
      </c>
      <c r="E122" s="51">
        <f>SUM('FY25'!BJ$186:BJ$203)</f>
        <v>106826.4</v>
      </c>
      <c r="F122" s="51">
        <f>SUM('FY25'!BL$186:BL$203)</f>
        <v>72122.450000000012</v>
      </c>
      <c r="G122" s="51">
        <f t="shared" si="6"/>
        <v>292200.7</v>
      </c>
    </row>
    <row r="123" spans="2:7" ht="17.45" thickBot="1">
      <c r="B123" s="441"/>
      <c r="C123" s="51" t="s">
        <v>77</v>
      </c>
      <c r="D123" s="51">
        <f>SUM('FY25'!BH$204:BH$206)</f>
        <v>500</v>
      </c>
      <c r="E123" s="51">
        <f>SUM('FY25'!BJ$204:BJ$206)</f>
        <v>100</v>
      </c>
      <c r="F123" s="51">
        <f>SUM('FY25'!BL$204:BL$206)</f>
        <v>1200</v>
      </c>
      <c r="G123" s="51">
        <f t="shared" si="6"/>
        <v>1800</v>
      </c>
    </row>
    <row r="124" spans="2:7" ht="17.45" thickBot="1">
      <c r="B124" s="441"/>
      <c r="C124" s="51" t="s">
        <v>78</v>
      </c>
      <c r="D124" s="51">
        <f>SUM('FY25'!BH$207:BH$221)</f>
        <v>101977.5</v>
      </c>
      <c r="E124" s="51">
        <f>SUM('FY25'!BJ$207:BJ$221)</f>
        <v>186555</v>
      </c>
      <c r="F124" s="51">
        <f>SUM('FY25'!BL$207:BL$221)</f>
        <v>101064.75</v>
      </c>
      <c r="G124" s="51">
        <f t="shared" si="6"/>
        <v>389597.25</v>
      </c>
    </row>
    <row r="125" spans="2:7" ht="17.45" thickBot="1">
      <c r="B125" s="441"/>
      <c r="C125" s="51" t="s">
        <v>79</v>
      </c>
      <c r="D125" s="51">
        <f>SUM('FY25'!BH$222:BH$223)</f>
        <v>0</v>
      </c>
      <c r="E125" s="51">
        <f>SUM('FY25'!BJ$222:BJ$223)</f>
        <v>0</v>
      </c>
      <c r="F125" s="51">
        <f>SUM('FY25'!BL$222:BL$223)</f>
        <v>0</v>
      </c>
      <c r="G125" s="51">
        <f t="shared" si="6"/>
        <v>0</v>
      </c>
    </row>
    <row r="126" spans="2:7" ht="17.45" thickBot="1">
      <c r="B126" s="441"/>
      <c r="C126" s="51" t="s">
        <v>80</v>
      </c>
      <c r="D126" s="51">
        <f>SUM('FY25'!BH$224:BH$249)</f>
        <v>121460.8</v>
      </c>
      <c r="E126" s="51">
        <f>SUM('FY25'!BJ$224:BJ$249)</f>
        <v>134210.79999999999</v>
      </c>
      <c r="F126" s="51">
        <f>SUM('FY25'!BL$224:BL$249)</f>
        <v>111531.1</v>
      </c>
      <c r="G126" s="51">
        <f t="shared" si="6"/>
        <v>367202.69999999995</v>
      </c>
    </row>
    <row r="127" spans="2:7" ht="17.45" thickBot="1">
      <c r="B127" s="441"/>
      <c r="C127" s="51" t="s">
        <v>72</v>
      </c>
      <c r="D127" s="51">
        <f>SUM('FY25'!BH257:BH275)</f>
        <v>336.96000000000004</v>
      </c>
      <c r="E127" s="51">
        <f>SUM('FY25'!BJ257:BJ275)</f>
        <v>360.00000000000006</v>
      </c>
      <c r="F127" s="51">
        <f>SUM('FY25'!BL257:BL275)</f>
        <v>487.68000000000006</v>
      </c>
      <c r="G127" s="51">
        <f t="shared" si="6"/>
        <v>1184.6400000000001</v>
      </c>
    </row>
    <row r="128" spans="2:7" ht="17.45" thickBot="1">
      <c r="B128" s="442"/>
      <c r="C128" s="51" t="s">
        <v>73</v>
      </c>
      <c r="D128" s="51">
        <f>SUM('FY25'!BH$250:BH$256)</f>
        <v>0</v>
      </c>
      <c r="E128" s="51">
        <f>SUM('FY25'!BJ$250:BJ$256)</f>
        <v>0</v>
      </c>
      <c r="F128" s="51">
        <f>SUM('FY25'!BL$250:BL$256)</f>
        <v>0</v>
      </c>
      <c r="G128" s="51">
        <f t="shared" si="6"/>
        <v>0</v>
      </c>
    </row>
    <row r="129" spans="2:7" ht="17.45" thickBot="1">
      <c r="B129" s="46"/>
      <c r="C129" s="46"/>
      <c r="D129" s="46"/>
      <c r="E129" s="46"/>
      <c r="F129" s="46"/>
      <c r="G129" s="54">
        <f>SUM(G109:G128)</f>
        <v>3056623.4899999998</v>
      </c>
    </row>
    <row r="130" spans="2:7">
      <c r="B130" s="46"/>
      <c r="C130" s="46"/>
      <c r="D130" s="46"/>
      <c r="E130" s="46"/>
      <c r="F130" s="46"/>
      <c r="G130" s="46"/>
    </row>
    <row r="131" spans="2:7" ht="17.45" thickBot="1">
      <c r="B131" s="45" t="s">
        <v>95</v>
      </c>
      <c r="C131" s="46"/>
      <c r="D131" s="46"/>
      <c r="E131" s="46"/>
      <c r="F131" s="46"/>
      <c r="G131" s="46"/>
    </row>
    <row r="132" spans="2:7" ht="29.45" thickBot="1">
      <c r="B132" s="118"/>
      <c r="C132" s="48" t="s">
        <v>81</v>
      </c>
      <c r="D132" s="56">
        <v>45870</v>
      </c>
      <c r="E132" s="56">
        <v>45901</v>
      </c>
      <c r="F132" s="56">
        <v>45931</v>
      </c>
      <c r="G132" s="49" t="s">
        <v>439</v>
      </c>
    </row>
    <row r="133" spans="2:7" ht="17.45" thickBot="1">
      <c r="B133" s="436" t="s">
        <v>82</v>
      </c>
      <c r="C133" s="51" t="s">
        <v>83</v>
      </c>
      <c r="D133" s="51"/>
      <c r="E133" s="51"/>
      <c r="F133" s="51"/>
      <c r="G133" s="51"/>
    </row>
    <row r="134" spans="2:7" ht="17.45" thickBot="1">
      <c r="B134" s="436"/>
      <c r="C134" s="51" t="s">
        <v>84</v>
      </c>
      <c r="D134" s="51"/>
      <c r="E134" s="51"/>
      <c r="F134" s="51"/>
      <c r="G134" s="51"/>
    </row>
    <row r="135" spans="2:7" ht="17.45" thickBot="1">
      <c r="B135" s="436"/>
      <c r="C135" s="51" t="s">
        <v>85</v>
      </c>
      <c r="D135" s="51">
        <f>SUM(D109:D128)</f>
        <v>1064241.8499999999</v>
      </c>
      <c r="E135" s="51">
        <f>SUM(E109:E128)</f>
        <v>1166386.94</v>
      </c>
      <c r="F135" s="51">
        <f>SUM(F109:F128)</f>
        <v>825994.7</v>
      </c>
      <c r="G135" s="51">
        <f t="shared" ref="G135" si="7">SUM(D135:F135)</f>
        <v>3056623.49</v>
      </c>
    </row>
    <row r="136" spans="2:7" ht="17.45" thickBot="1">
      <c r="B136" s="436"/>
      <c r="C136" s="51" t="s">
        <v>86</v>
      </c>
      <c r="D136" s="51"/>
      <c r="E136" s="51"/>
      <c r="F136" s="51"/>
      <c r="G136" s="51"/>
    </row>
    <row r="137" spans="2:7" ht="17.45" thickBot="1">
      <c r="B137" s="436"/>
      <c r="C137" s="51" t="s">
        <v>87</v>
      </c>
      <c r="D137" s="51"/>
      <c r="E137" s="51"/>
      <c r="F137" s="51"/>
      <c r="G137" s="51"/>
    </row>
    <row r="138" spans="2:7" ht="17.45" thickBot="1">
      <c r="B138" s="436"/>
      <c r="C138" s="51" t="s">
        <v>88</v>
      </c>
      <c r="D138" s="51"/>
      <c r="E138" s="51"/>
      <c r="F138" s="51"/>
      <c r="G138" s="51"/>
    </row>
    <row r="139" spans="2:7" ht="17.45" thickBot="1">
      <c r="B139" s="46"/>
      <c r="C139" s="46"/>
      <c r="D139" s="46"/>
      <c r="E139" s="46"/>
      <c r="F139" s="54" t="s">
        <v>89</v>
      </c>
      <c r="G139" s="55">
        <f>SUM(G133:G138)</f>
        <v>3056623.49</v>
      </c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P374"/>
  <sheetViews>
    <sheetView zoomScale="55" zoomScaleNormal="55" workbookViewId="0">
      <pane xSplit="13" ySplit="2" topLeftCell="BI3" activePane="bottomRight" state="frozen"/>
      <selection pane="bottomRight" activeCell="M19" sqref="M19"/>
      <selection pane="bottomLeft" activeCell="A3" sqref="A3"/>
      <selection pane="topRight" activeCell="N1" sqref="N1"/>
    </sheetView>
  </sheetViews>
  <sheetFormatPr defaultColWidth="9" defaultRowHeight="14.45"/>
  <cols>
    <col min="1" max="1" width="5.25" style="251" customWidth="1"/>
    <col min="2" max="2" width="9" style="59"/>
    <col min="3" max="3" width="7.5" style="1" customWidth="1"/>
    <col min="4" max="4" width="12.125" style="1" customWidth="1"/>
    <col min="5" max="5" width="11.375" style="1" customWidth="1"/>
    <col min="6" max="6" width="13.375" style="1" customWidth="1"/>
    <col min="7" max="7" width="11.125" style="1" customWidth="1"/>
    <col min="8" max="8" width="27.875" style="1" customWidth="1"/>
    <col min="9" max="9" width="11.5" style="1" customWidth="1"/>
    <col min="10" max="10" width="8.375" style="32" bestFit="1" customWidth="1"/>
    <col min="11" max="11" width="24.375" style="1" customWidth="1"/>
    <col min="12" max="12" width="11" style="1" customWidth="1"/>
    <col min="13" max="13" width="18" style="27" customWidth="1"/>
    <col min="14" max="27" width="10.5" style="27" customWidth="1"/>
    <col min="28" max="28" width="12" style="27" customWidth="1"/>
    <col min="29" max="31" width="11.375" style="3" customWidth="1"/>
    <col min="32" max="40" width="11.375" style="1" customWidth="1"/>
    <col min="41" max="41" width="16.375" style="5" hidden="1" customWidth="1"/>
    <col min="42" max="42" width="16.375" style="6" hidden="1" customWidth="1"/>
    <col min="43" max="43" width="16.375" style="5" hidden="1" customWidth="1"/>
    <col min="44" max="44" width="16.375" style="6" hidden="1" customWidth="1"/>
    <col min="45" max="45" width="16.375" style="5" hidden="1" customWidth="1"/>
    <col min="46" max="46" width="16.375" style="6" hidden="1" customWidth="1"/>
    <col min="47" max="58" width="16.375" style="1" hidden="1" customWidth="1"/>
    <col min="59" max="64" width="16.375" style="1" customWidth="1"/>
    <col min="65" max="65" width="14.875" style="1" customWidth="1"/>
    <col min="66" max="66" width="13" style="1" customWidth="1"/>
    <col min="67" max="67" width="9" style="1"/>
    <col min="68" max="68" width="28.375" style="1" customWidth="1"/>
    <col min="69" max="16384" width="9" style="1"/>
  </cols>
  <sheetData>
    <row r="1" spans="1:68" s="2" customFormat="1" ht="86.85" customHeight="1" thickBot="1">
      <c r="A1" s="315"/>
      <c r="B1" s="57"/>
      <c r="C1" s="57"/>
      <c r="D1" s="57" t="s">
        <v>97</v>
      </c>
      <c r="E1" s="41" t="s">
        <v>98</v>
      </c>
      <c r="F1" s="8"/>
      <c r="G1" s="29" t="s">
        <v>440</v>
      </c>
      <c r="H1" s="29" t="s">
        <v>441</v>
      </c>
      <c r="I1" s="40" t="s">
        <v>442</v>
      </c>
      <c r="J1" s="40" t="s">
        <v>443</v>
      </c>
      <c r="K1" s="40" t="s">
        <v>444</v>
      </c>
      <c r="L1" s="40" t="s">
        <v>445</v>
      </c>
      <c r="M1" s="393" t="s">
        <v>446</v>
      </c>
      <c r="N1" s="40"/>
      <c r="O1" s="19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4"/>
      <c r="AD1" s="4"/>
      <c r="AE1" s="4"/>
      <c r="AO1" s="4"/>
      <c r="AP1" s="4">
        <f>SUM(AP3:AP1103)</f>
        <v>575736.99000000011</v>
      </c>
      <c r="AQ1" s="4"/>
      <c r="AR1" s="4">
        <f>SUM(AR3:AR1103)</f>
        <v>899411.85999999987</v>
      </c>
      <c r="AS1" s="4"/>
      <c r="AT1" s="4">
        <f>SUM(AT3:AT1103)</f>
        <v>489460.90000000014</v>
      </c>
      <c r="AV1" s="2">
        <f>SUM(AV3:AV1103)</f>
        <v>596846.92000000016</v>
      </c>
      <c r="AX1" s="2">
        <f>SUM(AX3:AX1103)</f>
        <v>1117691.8199999998</v>
      </c>
      <c r="AZ1" s="2">
        <f>SUM(AZ3:AZ1103)</f>
        <v>1039626.46</v>
      </c>
      <c r="BB1" s="2">
        <f>SUM(BB3:BB1103)</f>
        <v>1064109.8399999999</v>
      </c>
      <c r="BD1" s="2">
        <f>SUM(BD3:BD1103)</f>
        <v>1157504.2600000002</v>
      </c>
      <c r="BF1" s="2">
        <f>SUM(BF3:BF1103)</f>
        <v>1112718.68</v>
      </c>
      <c r="BH1" s="2">
        <f>SUM(BH3:BH1103)</f>
        <v>1064241.8500000001</v>
      </c>
      <c r="BJ1" s="2">
        <f>SUM(BJ3:BJ1103)</f>
        <v>1166386.94</v>
      </c>
      <c r="BL1" s="2">
        <f>SUM(BL3:BL1103)</f>
        <v>825994.70000000019</v>
      </c>
      <c r="BM1" s="40" t="s">
        <v>447</v>
      </c>
      <c r="BN1" s="40" t="s">
        <v>448</v>
      </c>
      <c r="BO1" s="40" t="s">
        <v>449</v>
      </c>
      <c r="BP1" s="40" t="s">
        <v>450</v>
      </c>
    </row>
    <row r="2" spans="1:68" s="7" customFormat="1" ht="104.85" customHeight="1" thickBot="1">
      <c r="A2" s="151" t="s">
        <v>451</v>
      </c>
      <c r="B2" s="62" t="s">
        <v>106</v>
      </c>
      <c r="C2" s="277" t="s">
        <v>107</v>
      </c>
      <c r="D2" s="58" t="s">
        <v>108</v>
      </c>
      <c r="E2" s="9" t="s">
        <v>59</v>
      </c>
      <c r="F2" s="280" t="s">
        <v>109</v>
      </c>
      <c r="G2" s="350" t="s">
        <v>110</v>
      </c>
      <c r="H2" s="283" t="s">
        <v>111</v>
      </c>
      <c r="I2" s="284" t="s">
        <v>112</v>
      </c>
      <c r="J2" s="285" t="s">
        <v>113</v>
      </c>
      <c r="K2" s="284" t="s">
        <v>114</v>
      </c>
      <c r="L2" s="284" t="s">
        <v>115</v>
      </c>
      <c r="M2" s="286" t="s">
        <v>116</v>
      </c>
      <c r="N2" s="360" t="s">
        <v>328</v>
      </c>
      <c r="O2" s="287" t="s">
        <v>117</v>
      </c>
      <c r="P2" s="288" t="s">
        <v>118</v>
      </c>
      <c r="Q2" s="288" t="s">
        <v>119</v>
      </c>
      <c r="R2" s="288" t="s">
        <v>120</v>
      </c>
      <c r="S2" s="288" t="s">
        <v>121</v>
      </c>
      <c r="T2" s="288" t="s">
        <v>122</v>
      </c>
      <c r="U2" s="288" t="s">
        <v>123</v>
      </c>
      <c r="V2" s="288" t="s">
        <v>124</v>
      </c>
      <c r="W2" s="288" t="s">
        <v>125</v>
      </c>
      <c r="X2" s="288" t="s">
        <v>126</v>
      </c>
      <c r="Y2" s="288" t="s">
        <v>127</v>
      </c>
      <c r="Z2" s="288" t="s">
        <v>128</v>
      </c>
      <c r="AA2" s="288" t="s">
        <v>129</v>
      </c>
      <c r="AB2" s="287" t="s">
        <v>130</v>
      </c>
      <c r="AC2" s="289" t="s">
        <v>131</v>
      </c>
      <c r="AD2" s="289" t="s">
        <v>132</v>
      </c>
      <c r="AE2" s="289" t="s">
        <v>133</v>
      </c>
      <c r="AF2" s="289" t="s">
        <v>134</v>
      </c>
      <c r="AG2" s="289" t="s">
        <v>135</v>
      </c>
      <c r="AH2" s="289" t="s">
        <v>136</v>
      </c>
      <c r="AI2" s="289" t="s">
        <v>137</v>
      </c>
      <c r="AJ2" s="289" t="s">
        <v>138</v>
      </c>
      <c r="AK2" s="289" t="s">
        <v>139</v>
      </c>
      <c r="AL2" s="289" t="s">
        <v>140</v>
      </c>
      <c r="AM2" s="289" t="s">
        <v>141</v>
      </c>
      <c r="AN2" s="289" t="s">
        <v>142</v>
      </c>
      <c r="AO2" s="290" t="s">
        <v>143</v>
      </c>
      <c r="AP2" s="291" t="s">
        <v>144</v>
      </c>
      <c r="AQ2" s="290" t="s">
        <v>145</v>
      </c>
      <c r="AR2" s="291" t="s">
        <v>146</v>
      </c>
      <c r="AS2" s="291" t="s">
        <v>147</v>
      </c>
      <c r="AT2" s="291" t="s">
        <v>148</v>
      </c>
      <c r="AU2" s="292" t="s">
        <v>149</v>
      </c>
      <c r="AV2" s="293" t="s">
        <v>150</v>
      </c>
      <c r="AW2" s="292" t="s">
        <v>151</v>
      </c>
      <c r="AX2" s="293" t="s">
        <v>152</v>
      </c>
      <c r="AY2" s="293" t="s">
        <v>153</v>
      </c>
      <c r="AZ2" s="293" t="s">
        <v>154</v>
      </c>
      <c r="BA2" s="294" t="s">
        <v>155</v>
      </c>
      <c r="BB2" s="295" t="s">
        <v>156</v>
      </c>
      <c r="BC2" s="294" t="s">
        <v>157</v>
      </c>
      <c r="BD2" s="295" t="s">
        <v>158</v>
      </c>
      <c r="BE2" s="295" t="s">
        <v>159</v>
      </c>
      <c r="BF2" s="295" t="s">
        <v>160</v>
      </c>
      <c r="BG2" s="296" t="s">
        <v>161</v>
      </c>
      <c r="BH2" s="297" t="s">
        <v>162</v>
      </c>
      <c r="BI2" s="296" t="s">
        <v>163</v>
      </c>
      <c r="BJ2" s="297" t="s">
        <v>164</v>
      </c>
      <c r="BK2" s="297" t="s">
        <v>165</v>
      </c>
      <c r="BL2" s="297" t="s">
        <v>166</v>
      </c>
      <c r="BM2" s="279" t="s">
        <v>167</v>
      </c>
      <c r="BN2" s="279" t="s">
        <v>168</v>
      </c>
      <c r="BO2" s="279" t="s">
        <v>329</v>
      </c>
      <c r="BP2" s="367" t="s">
        <v>452</v>
      </c>
    </row>
    <row r="3" spans="1:68" ht="17.25" customHeight="1">
      <c r="A3" s="250" t="s">
        <v>451</v>
      </c>
      <c r="C3" s="354"/>
      <c r="D3" s="423" t="s">
        <v>169</v>
      </c>
      <c r="E3" s="356"/>
      <c r="F3" s="426">
        <v>200</v>
      </c>
      <c r="G3" s="319"/>
      <c r="H3" s="298"/>
      <c r="I3" s="298"/>
      <c r="J3" s="299"/>
      <c r="K3" s="298"/>
      <c r="L3" s="298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1"/>
      <c r="AE3" s="301"/>
      <c r="AF3" s="59"/>
      <c r="AG3" s="59"/>
      <c r="AH3" s="59"/>
      <c r="AI3" s="59"/>
      <c r="AJ3" s="59"/>
      <c r="AK3" s="59"/>
      <c r="AL3" s="59"/>
      <c r="AM3" s="59"/>
      <c r="AN3" s="59"/>
      <c r="AO3" s="255"/>
      <c r="AP3" s="254">
        <f>AC3*AO3</f>
        <v>0</v>
      </c>
      <c r="AQ3" s="255"/>
      <c r="AR3" s="254">
        <f>AD3*AQ3</f>
        <v>0</v>
      </c>
      <c r="AS3" s="255"/>
      <c r="AT3" s="254">
        <f>AE3*AS3</f>
        <v>0</v>
      </c>
      <c r="AU3" s="256"/>
      <c r="AV3" s="257">
        <f>AF3*AU3</f>
        <v>0</v>
      </c>
      <c r="AW3" s="59"/>
      <c r="AX3" s="257">
        <f>AG3*AW3</f>
        <v>0</v>
      </c>
      <c r="AY3" s="59"/>
      <c r="AZ3" s="257">
        <f>AH3*AY3</f>
        <v>0</v>
      </c>
      <c r="BA3" s="59"/>
      <c r="BB3" s="257">
        <f>AI3*BA3</f>
        <v>0</v>
      </c>
      <c r="BC3" s="59"/>
      <c r="BD3" s="257">
        <f>AJ3*BC3</f>
        <v>0</v>
      </c>
      <c r="BE3" s="268"/>
      <c r="BF3" s="257">
        <f>AK3*BE3</f>
        <v>0</v>
      </c>
      <c r="BG3" s="59"/>
      <c r="BH3" s="257">
        <f>AL3*BG3</f>
        <v>0</v>
      </c>
      <c r="BI3" s="268"/>
      <c r="BJ3" s="257">
        <f>AM3*BI3</f>
        <v>0</v>
      </c>
      <c r="BK3" s="268"/>
      <c r="BL3" s="257">
        <f>AN3*BK3</f>
        <v>0</v>
      </c>
    </row>
    <row r="4" spans="1:68" ht="17.25" customHeight="1">
      <c r="A4" s="250" t="s">
        <v>451</v>
      </c>
      <c r="C4" s="354"/>
      <c r="D4" s="424"/>
      <c r="E4" s="357"/>
      <c r="F4" s="427"/>
      <c r="G4" s="59"/>
      <c r="H4" s="59"/>
      <c r="I4" s="59"/>
      <c r="J4" s="302"/>
      <c r="K4" s="59"/>
      <c r="L4" s="59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303"/>
      <c r="AA4" s="303"/>
      <c r="AB4" s="303"/>
      <c r="AC4" s="303"/>
      <c r="AD4" s="304"/>
      <c r="AE4" s="304"/>
      <c r="AF4" s="59"/>
      <c r="AG4" s="59"/>
      <c r="AH4" s="59"/>
      <c r="AI4" s="59"/>
      <c r="AJ4" s="59"/>
      <c r="AK4" s="59"/>
      <c r="AL4" s="59"/>
      <c r="AM4" s="59"/>
      <c r="AN4" s="59"/>
      <c r="AO4" s="255"/>
      <c r="AP4" s="254">
        <f t="shared" ref="AP4:AP175" si="0">AC4*AO4</f>
        <v>0</v>
      </c>
      <c r="AQ4" s="255"/>
      <c r="AR4" s="254">
        <f t="shared" ref="AR4:AR175" si="1">AD4*AQ4</f>
        <v>0</v>
      </c>
      <c r="AS4" s="261"/>
      <c r="AT4" s="254">
        <f t="shared" ref="AT4:AT175" si="2">AE4*AS4</f>
        <v>0</v>
      </c>
      <c r="AU4" s="256"/>
      <c r="AV4" s="257">
        <f t="shared" ref="AV4:AV175" si="3">AF4*AU4</f>
        <v>0</v>
      </c>
      <c r="AW4" s="59"/>
      <c r="AX4" s="257">
        <f t="shared" ref="AX4:AX175" si="4">AG4*AW4</f>
        <v>0</v>
      </c>
      <c r="AY4" s="59"/>
      <c r="AZ4" s="257">
        <f t="shared" ref="AZ4:AZ175" si="5">AH4*AY4</f>
        <v>0</v>
      </c>
      <c r="BA4" s="59"/>
      <c r="BB4" s="257">
        <f t="shared" ref="BB4:BB175" si="6">AI4*BA4</f>
        <v>0</v>
      </c>
      <c r="BC4" s="59"/>
      <c r="BD4" s="257">
        <f t="shared" ref="BD4:BD175" si="7">AJ4*BC4</f>
        <v>0</v>
      </c>
      <c r="BE4" s="268"/>
      <c r="BF4" s="257">
        <f t="shared" ref="BF4:BF67" si="8">AK4*BE4</f>
        <v>0</v>
      </c>
      <c r="BG4" s="59"/>
      <c r="BH4" s="257">
        <f t="shared" ref="BH4:BH175" si="9">AL4*BG4</f>
        <v>0</v>
      </c>
      <c r="BI4" s="268"/>
      <c r="BJ4" s="257">
        <f t="shared" ref="BJ4:BJ175" si="10">AM4*BI4</f>
        <v>0</v>
      </c>
      <c r="BK4" s="268"/>
      <c r="BL4" s="257">
        <f t="shared" ref="BL4:BL175" si="11">AN4*BK4</f>
        <v>0</v>
      </c>
    </row>
    <row r="5" spans="1:68" ht="15" customHeight="1">
      <c r="A5" s="250" t="s">
        <v>451</v>
      </c>
      <c r="C5" s="354"/>
      <c r="D5" s="424"/>
      <c r="E5" s="357"/>
      <c r="F5" s="427"/>
      <c r="G5" s="59"/>
      <c r="H5" s="59"/>
      <c r="I5" s="59"/>
      <c r="J5" s="302"/>
      <c r="K5" s="59"/>
      <c r="L5" s="59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1"/>
      <c r="AD5" s="301"/>
      <c r="AE5" s="301"/>
      <c r="AF5" s="59"/>
      <c r="AG5" s="59"/>
      <c r="AH5" s="59"/>
      <c r="AI5" s="59"/>
      <c r="AJ5" s="59"/>
      <c r="AK5" s="59"/>
      <c r="AL5" s="59"/>
      <c r="AM5" s="59"/>
      <c r="AN5" s="59"/>
      <c r="AO5" s="255"/>
      <c r="AP5" s="254">
        <f t="shared" si="0"/>
        <v>0</v>
      </c>
      <c r="AQ5" s="255"/>
      <c r="AR5" s="254">
        <f t="shared" si="1"/>
        <v>0</v>
      </c>
      <c r="AS5" s="255"/>
      <c r="AT5" s="254">
        <f t="shared" si="2"/>
        <v>0</v>
      </c>
      <c r="AU5" s="256"/>
      <c r="AV5" s="257">
        <f t="shared" si="3"/>
        <v>0</v>
      </c>
      <c r="AW5" s="59"/>
      <c r="AX5" s="257">
        <f t="shared" si="4"/>
        <v>0</v>
      </c>
      <c r="AY5" s="59"/>
      <c r="AZ5" s="257">
        <f t="shared" si="5"/>
        <v>0</v>
      </c>
      <c r="BA5" s="59"/>
      <c r="BB5" s="257">
        <f t="shared" si="6"/>
        <v>0</v>
      </c>
      <c r="BC5" s="59"/>
      <c r="BD5" s="257">
        <f t="shared" si="7"/>
        <v>0</v>
      </c>
      <c r="BE5" s="268"/>
      <c r="BF5" s="257">
        <f t="shared" si="8"/>
        <v>0</v>
      </c>
      <c r="BG5" s="59"/>
      <c r="BH5" s="257">
        <f t="shared" si="9"/>
        <v>0</v>
      </c>
      <c r="BI5" s="268"/>
      <c r="BJ5" s="257">
        <f t="shared" si="10"/>
        <v>0</v>
      </c>
      <c r="BK5" s="268"/>
      <c r="BL5" s="257">
        <f t="shared" si="11"/>
        <v>0</v>
      </c>
    </row>
    <row r="6" spans="1:68" ht="17.25" customHeight="1">
      <c r="A6" s="250" t="s">
        <v>453</v>
      </c>
      <c r="B6" s="59" t="s">
        <v>331</v>
      </c>
      <c r="C6" s="354" t="s">
        <v>172</v>
      </c>
      <c r="D6" s="424"/>
      <c r="E6" s="357" t="s">
        <v>332</v>
      </c>
      <c r="F6" s="428" t="s">
        <v>333</v>
      </c>
      <c r="G6" s="317">
        <v>2024</v>
      </c>
      <c r="H6" s="298" t="s">
        <v>454</v>
      </c>
      <c r="I6" s="315" t="s">
        <v>175</v>
      </c>
      <c r="J6" s="316">
        <v>16</v>
      </c>
      <c r="K6" s="298" t="s">
        <v>335</v>
      </c>
      <c r="L6" s="298" t="s">
        <v>336</v>
      </c>
      <c r="M6" s="300" t="s">
        <v>455</v>
      </c>
      <c r="N6" s="300">
        <v>3.25</v>
      </c>
      <c r="O6" s="300">
        <v>4.05</v>
      </c>
      <c r="P6" s="300">
        <v>4.2300000000000004</v>
      </c>
      <c r="Q6" s="300">
        <v>4.2300000000000004</v>
      </c>
      <c r="R6" s="300">
        <v>4.2300000000000004</v>
      </c>
      <c r="S6" s="300">
        <v>4.2300000000000004</v>
      </c>
      <c r="T6" s="300">
        <v>4.2300000000000004</v>
      </c>
      <c r="U6" s="300">
        <v>4.2300000000000004</v>
      </c>
      <c r="V6" s="300">
        <v>4.2300000000000004</v>
      </c>
      <c r="W6" s="300">
        <v>4.2300000000000004</v>
      </c>
      <c r="X6" s="300">
        <v>4.05</v>
      </c>
      <c r="Y6" s="300">
        <v>4.05</v>
      </c>
      <c r="Z6" s="300">
        <v>4.05</v>
      </c>
      <c r="AA6" s="300">
        <v>4.05</v>
      </c>
      <c r="AB6" s="301">
        <v>0.85</v>
      </c>
      <c r="AC6" s="301">
        <v>0.98</v>
      </c>
      <c r="AD6" s="301">
        <v>0.98</v>
      </c>
      <c r="AE6" s="301">
        <v>0.98</v>
      </c>
      <c r="AF6" s="301">
        <v>0.98</v>
      </c>
      <c r="AG6" s="301">
        <v>0.98</v>
      </c>
      <c r="AH6" s="301">
        <v>0.98</v>
      </c>
      <c r="AI6" s="301">
        <v>0.98</v>
      </c>
      <c r="AJ6" s="301">
        <v>0.98</v>
      </c>
      <c r="AK6" s="301">
        <v>0.85</v>
      </c>
      <c r="AL6" s="301">
        <v>0.85</v>
      </c>
      <c r="AM6" s="301">
        <v>0.85</v>
      </c>
      <c r="AN6" s="301">
        <v>0.85</v>
      </c>
      <c r="AO6" s="270">
        <v>2680</v>
      </c>
      <c r="AP6" s="254">
        <f t="shared" si="0"/>
        <v>2626.4</v>
      </c>
      <c r="AQ6" s="255">
        <v>2360</v>
      </c>
      <c r="AR6" s="254">
        <f t="shared" si="1"/>
        <v>2312.8000000000002</v>
      </c>
      <c r="AS6" s="255">
        <v>3600</v>
      </c>
      <c r="AT6" s="254">
        <f t="shared" si="2"/>
        <v>3528</v>
      </c>
      <c r="AU6" s="256">
        <v>1360</v>
      </c>
      <c r="AV6" s="257">
        <f t="shared" si="3"/>
        <v>1332.8</v>
      </c>
      <c r="AW6" s="380">
        <v>6040</v>
      </c>
      <c r="AX6" s="257">
        <f t="shared" si="4"/>
        <v>5919.2</v>
      </c>
      <c r="AY6" s="268">
        <v>6338</v>
      </c>
      <c r="AZ6" s="257">
        <f t="shared" si="5"/>
        <v>6211.24</v>
      </c>
      <c r="BA6" s="268">
        <v>9840</v>
      </c>
      <c r="BB6" s="257">
        <f t="shared" si="6"/>
        <v>9643.2000000000007</v>
      </c>
      <c r="BC6" s="268">
        <v>8960</v>
      </c>
      <c r="BD6" s="257">
        <f t="shared" si="7"/>
        <v>8780.7999999999993</v>
      </c>
      <c r="BE6" s="268">
        <v>12360</v>
      </c>
      <c r="BF6" s="257">
        <f t="shared" si="8"/>
        <v>10506</v>
      </c>
      <c r="BG6" s="268">
        <v>11160</v>
      </c>
      <c r="BH6" s="257">
        <f t="shared" si="9"/>
        <v>9486</v>
      </c>
      <c r="BI6" s="268">
        <v>15289</v>
      </c>
      <c r="BJ6" s="257">
        <f t="shared" si="10"/>
        <v>12995.65</v>
      </c>
      <c r="BK6" s="268">
        <v>6960</v>
      </c>
      <c r="BL6" s="257">
        <f t="shared" si="11"/>
        <v>5916</v>
      </c>
      <c r="BM6" s="1" t="s">
        <v>456</v>
      </c>
      <c r="BO6" s="1" t="s">
        <v>457</v>
      </c>
      <c r="BP6" s="1" t="s">
        <v>458</v>
      </c>
    </row>
    <row r="7" spans="1:68" ht="17.25" customHeight="1">
      <c r="A7" s="250" t="s">
        <v>453</v>
      </c>
      <c r="B7" s="59" t="s">
        <v>331</v>
      </c>
      <c r="C7" s="354" t="s">
        <v>172</v>
      </c>
      <c r="D7" s="424"/>
      <c r="E7" s="357" t="s">
        <v>332</v>
      </c>
      <c r="F7" s="427"/>
      <c r="G7" s="317">
        <v>2024</v>
      </c>
      <c r="H7" s="298" t="s">
        <v>454</v>
      </c>
      <c r="I7" s="315" t="s">
        <v>249</v>
      </c>
      <c r="J7" s="316">
        <v>16</v>
      </c>
      <c r="K7" s="298" t="s">
        <v>335</v>
      </c>
      <c r="L7" s="298" t="s">
        <v>336</v>
      </c>
      <c r="M7" s="300" t="s">
        <v>455</v>
      </c>
      <c r="N7" s="303">
        <v>8.99</v>
      </c>
      <c r="O7" s="303">
        <v>9.1999999999999993</v>
      </c>
      <c r="P7" s="303">
        <v>10.14</v>
      </c>
      <c r="Q7" s="303">
        <v>10.14</v>
      </c>
      <c r="R7" s="303">
        <v>10.14</v>
      </c>
      <c r="S7" s="303">
        <v>10.14</v>
      </c>
      <c r="T7" s="303">
        <v>10.14</v>
      </c>
      <c r="U7" s="303">
        <v>10.14</v>
      </c>
      <c r="V7" s="303">
        <v>10.14</v>
      </c>
      <c r="W7" s="303">
        <v>10.14</v>
      </c>
      <c r="X7" s="303">
        <v>9.1999999999999993</v>
      </c>
      <c r="Y7" s="303">
        <v>9.1999999999999993</v>
      </c>
      <c r="Z7" s="303">
        <v>9.1999999999999993</v>
      </c>
      <c r="AA7" s="303">
        <v>9.1999999999999993</v>
      </c>
      <c r="AB7" s="304">
        <v>1.1499999999999999</v>
      </c>
      <c r="AC7" s="304">
        <v>1.1499999999999999</v>
      </c>
      <c r="AD7" s="304">
        <v>1.1499999999999999</v>
      </c>
      <c r="AE7" s="304">
        <v>1.1499999999999999</v>
      </c>
      <c r="AF7" s="304">
        <v>1.1499999999999999</v>
      </c>
      <c r="AG7" s="304">
        <v>1.1499999999999999</v>
      </c>
      <c r="AH7" s="304">
        <v>1.1499999999999999</v>
      </c>
      <c r="AI7" s="304">
        <v>1.1499999999999999</v>
      </c>
      <c r="AJ7" s="304">
        <v>1.1499999999999999</v>
      </c>
      <c r="AK7" s="304">
        <v>1.7</v>
      </c>
      <c r="AL7" s="304">
        <v>1.7</v>
      </c>
      <c r="AM7" s="304">
        <v>1.7</v>
      </c>
      <c r="AN7" s="304">
        <v>1.7</v>
      </c>
      <c r="AO7" s="270">
        <v>17480</v>
      </c>
      <c r="AP7" s="254">
        <f t="shared" si="0"/>
        <v>20102</v>
      </c>
      <c r="AQ7" s="255">
        <v>25714</v>
      </c>
      <c r="AR7" s="254">
        <f t="shared" si="1"/>
        <v>29571.1</v>
      </c>
      <c r="AS7" s="261">
        <v>19000</v>
      </c>
      <c r="AT7" s="254">
        <f t="shared" si="2"/>
        <v>21850</v>
      </c>
      <c r="AU7" s="256">
        <v>16320</v>
      </c>
      <c r="AV7" s="257">
        <f t="shared" si="3"/>
        <v>18768</v>
      </c>
      <c r="AW7" s="380">
        <v>30769</v>
      </c>
      <c r="AX7" s="257">
        <f t="shared" si="4"/>
        <v>35384.35</v>
      </c>
      <c r="AY7" s="268">
        <v>18883</v>
      </c>
      <c r="AZ7" s="257">
        <f t="shared" si="5"/>
        <v>21715.449999999997</v>
      </c>
      <c r="BA7" s="268">
        <v>27480</v>
      </c>
      <c r="BB7" s="257">
        <f t="shared" si="6"/>
        <v>31601.999999999996</v>
      </c>
      <c r="BC7" s="268">
        <v>31640</v>
      </c>
      <c r="BD7" s="257">
        <f t="shared" si="7"/>
        <v>36386</v>
      </c>
      <c r="BE7" s="268">
        <v>9879</v>
      </c>
      <c r="BF7" s="257">
        <f t="shared" si="8"/>
        <v>16794.3</v>
      </c>
      <c r="BG7" s="268">
        <v>10960</v>
      </c>
      <c r="BH7" s="257">
        <f t="shared" si="9"/>
        <v>18632</v>
      </c>
      <c r="BI7" s="268">
        <v>3066</v>
      </c>
      <c r="BJ7" s="257">
        <f t="shared" si="10"/>
        <v>5212.2</v>
      </c>
      <c r="BK7" s="268">
        <v>8160</v>
      </c>
      <c r="BL7" s="257">
        <f t="shared" si="11"/>
        <v>13872</v>
      </c>
      <c r="BM7" s="1" t="s">
        <v>459</v>
      </c>
      <c r="BO7" s="1" t="s">
        <v>457</v>
      </c>
      <c r="BP7" s="1" t="s">
        <v>460</v>
      </c>
    </row>
    <row r="8" spans="1:68" ht="17.25" customHeight="1">
      <c r="A8" s="250" t="s">
        <v>453</v>
      </c>
      <c r="B8" s="59" t="s">
        <v>331</v>
      </c>
      <c r="C8" s="354" t="s">
        <v>172</v>
      </c>
      <c r="D8" s="424"/>
      <c r="E8" s="357" t="s">
        <v>332</v>
      </c>
      <c r="F8" s="427"/>
      <c r="G8" s="317">
        <v>2024</v>
      </c>
      <c r="H8" s="298" t="s">
        <v>454</v>
      </c>
      <c r="I8" s="315" t="s">
        <v>249</v>
      </c>
      <c r="J8" s="316">
        <v>16</v>
      </c>
      <c r="K8" s="298" t="s">
        <v>335</v>
      </c>
      <c r="L8" s="298" t="s">
        <v>336</v>
      </c>
      <c r="M8" s="300" t="s">
        <v>455</v>
      </c>
      <c r="N8" s="303">
        <v>8.99</v>
      </c>
      <c r="O8" s="303">
        <v>9.1999999999999993</v>
      </c>
      <c r="P8" s="303">
        <v>10.14</v>
      </c>
      <c r="Q8" s="303">
        <v>10.14</v>
      </c>
      <c r="R8" s="303">
        <v>10.14</v>
      </c>
      <c r="S8" s="303">
        <v>10.14</v>
      </c>
      <c r="T8" s="303">
        <v>10.14</v>
      </c>
      <c r="U8" s="303">
        <v>10.14</v>
      </c>
      <c r="V8" s="303">
        <v>10.14</v>
      </c>
      <c r="W8" s="303">
        <v>10.14</v>
      </c>
      <c r="X8" s="303">
        <v>9.1999999999999993</v>
      </c>
      <c r="Y8" s="303">
        <v>9.1999999999999993</v>
      </c>
      <c r="Z8" s="303">
        <v>9.1999999999999993</v>
      </c>
      <c r="AA8" s="303">
        <v>9.1999999999999993</v>
      </c>
      <c r="AB8" s="304">
        <v>1.1499999999999999</v>
      </c>
      <c r="AC8" s="304">
        <v>1.1499999999999999</v>
      </c>
      <c r="AD8" s="304">
        <v>1.1499999999999999</v>
      </c>
      <c r="AE8" s="304">
        <v>1.1499999999999999</v>
      </c>
      <c r="AF8" s="304">
        <v>1.1499999999999999</v>
      </c>
      <c r="AG8" s="304">
        <v>1.1499999999999999</v>
      </c>
      <c r="AH8" s="304">
        <v>1.1499999999999999</v>
      </c>
      <c r="AI8" s="304">
        <v>1.1499999999999999</v>
      </c>
      <c r="AJ8" s="304">
        <v>1.1499999999999999</v>
      </c>
      <c r="AK8" s="304">
        <v>1.7</v>
      </c>
      <c r="AL8" s="304">
        <v>1.7</v>
      </c>
      <c r="AM8" s="304">
        <v>1.7</v>
      </c>
      <c r="AN8" s="304">
        <v>1.7</v>
      </c>
      <c r="AO8" s="270">
        <v>200</v>
      </c>
      <c r="AP8" s="254">
        <f t="shared" si="0"/>
        <v>229.99999999999997</v>
      </c>
      <c r="AQ8" s="255">
        <v>160</v>
      </c>
      <c r="AR8" s="254">
        <f t="shared" si="1"/>
        <v>184</v>
      </c>
      <c r="AS8" s="261">
        <v>265</v>
      </c>
      <c r="AT8" s="254">
        <f t="shared" si="2"/>
        <v>304.75</v>
      </c>
      <c r="AU8" s="256">
        <v>160</v>
      </c>
      <c r="AV8" s="257">
        <f t="shared" si="3"/>
        <v>184</v>
      </c>
      <c r="AW8" s="380">
        <v>182</v>
      </c>
      <c r="AX8" s="257">
        <f t="shared" si="4"/>
        <v>209.29999999999998</v>
      </c>
      <c r="AY8" s="268">
        <v>240</v>
      </c>
      <c r="AZ8" s="257">
        <f t="shared" si="5"/>
        <v>276</v>
      </c>
      <c r="BA8" s="268">
        <v>200</v>
      </c>
      <c r="BB8" s="257">
        <f t="shared" si="6"/>
        <v>229.99999999999997</v>
      </c>
      <c r="BC8" s="268">
        <v>136</v>
      </c>
      <c r="BD8" s="257">
        <f t="shared" si="7"/>
        <v>156.39999999999998</v>
      </c>
      <c r="BE8" s="268">
        <v>320</v>
      </c>
      <c r="BF8" s="257">
        <f t="shared" si="8"/>
        <v>544</v>
      </c>
      <c r="BG8" s="268">
        <v>160</v>
      </c>
      <c r="BH8" s="257">
        <f t="shared" si="9"/>
        <v>272</v>
      </c>
      <c r="BI8" s="268"/>
      <c r="BJ8" s="257">
        <f t="shared" si="10"/>
        <v>0</v>
      </c>
      <c r="BK8" s="268">
        <v>120</v>
      </c>
      <c r="BL8" s="257">
        <f t="shared" si="11"/>
        <v>204</v>
      </c>
      <c r="BM8" s="1" t="s">
        <v>461</v>
      </c>
      <c r="BN8" s="1" t="s">
        <v>462</v>
      </c>
      <c r="BO8" s="1" t="s">
        <v>457</v>
      </c>
      <c r="BP8" s="1" t="s">
        <v>463</v>
      </c>
    </row>
    <row r="9" spans="1:68" ht="15" customHeight="1">
      <c r="A9" s="250" t="s">
        <v>451</v>
      </c>
      <c r="B9" s="59" t="s">
        <v>331</v>
      </c>
      <c r="C9" s="354" t="s">
        <v>172</v>
      </c>
      <c r="D9" s="424"/>
      <c r="E9" s="357" t="s">
        <v>332</v>
      </c>
      <c r="F9" s="427"/>
      <c r="G9" s="317">
        <v>2024</v>
      </c>
      <c r="H9" s="298" t="s">
        <v>454</v>
      </c>
      <c r="I9" s="315" t="s">
        <v>175</v>
      </c>
      <c r="J9" s="316">
        <v>16</v>
      </c>
      <c r="K9" s="298" t="s">
        <v>335</v>
      </c>
      <c r="L9" s="298" t="s">
        <v>464</v>
      </c>
      <c r="M9" s="300" t="s">
        <v>465</v>
      </c>
      <c r="N9" s="300">
        <v>3.25</v>
      </c>
      <c r="O9" s="300">
        <v>4.05</v>
      </c>
      <c r="P9" s="300">
        <v>4.2300000000000004</v>
      </c>
      <c r="Q9" s="300">
        <v>4.2300000000000004</v>
      </c>
      <c r="R9" s="300">
        <v>4.2300000000000004</v>
      </c>
      <c r="S9" s="300">
        <v>4.2300000000000004</v>
      </c>
      <c r="T9" s="300">
        <v>4.2300000000000004</v>
      </c>
      <c r="U9" s="300">
        <v>4.2300000000000004</v>
      </c>
      <c r="V9" s="300">
        <v>4.2300000000000004</v>
      </c>
      <c r="W9" s="300">
        <v>4.2300000000000004</v>
      </c>
      <c r="X9" s="300">
        <v>4.05</v>
      </c>
      <c r="Y9" s="300">
        <v>4.05</v>
      </c>
      <c r="Z9" s="300">
        <v>4.05</v>
      </c>
      <c r="AA9" s="300">
        <v>4.05</v>
      </c>
      <c r="AB9" s="301">
        <v>0.85</v>
      </c>
      <c r="AC9" s="301">
        <v>0.98</v>
      </c>
      <c r="AD9" s="301">
        <v>0.98</v>
      </c>
      <c r="AE9" s="301">
        <v>0.98</v>
      </c>
      <c r="AF9" s="301">
        <v>0.98</v>
      </c>
      <c r="AG9" s="301">
        <v>0.98</v>
      </c>
      <c r="AH9" s="301">
        <v>0.98</v>
      </c>
      <c r="AI9" s="301">
        <v>0.98</v>
      </c>
      <c r="AJ9" s="301">
        <v>0.98</v>
      </c>
      <c r="AK9" s="301">
        <v>0.85</v>
      </c>
      <c r="AL9" s="301">
        <v>0.85</v>
      </c>
      <c r="AM9" s="301">
        <v>0.85</v>
      </c>
      <c r="AN9" s="301">
        <v>0.85</v>
      </c>
      <c r="AO9" s="270">
        <v>15949</v>
      </c>
      <c r="AP9" s="254">
        <f t="shared" si="0"/>
        <v>15630.02</v>
      </c>
      <c r="AQ9" s="255">
        <v>18636</v>
      </c>
      <c r="AR9" s="254">
        <f t="shared" si="1"/>
        <v>18263.28</v>
      </c>
      <c r="AS9" s="255">
        <v>15345</v>
      </c>
      <c r="AT9" s="254">
        <f t="shared" si="2"/>
        <v>15038.1</v>
      </c>
      <c r="AU9" s="256">
        <v>13840</v>
      </c>
      <c r="AV9" s="257">
        <f t="shared" si="3"/>
        <v>13563.199999999999</v>
      </c>
      <c r="AW9" s="380">
        <v>25720</v>
      </c>
      <c r="AX9" s="257">
        <f t="shared" si="4"/>
        <v>25205.599999999999</v>
      </c>
      <c r="AY9" s="268">
        <v>14359</v>
      </c>
      <c r="AZ9" s="257">
        <f t="shared" si="5"/>
        <v>14071.82</v>
      </c>
      <c r="BA9" s="268">
        <v>5397</v>
      </c>
      <c r="BB9" s="257">
        <f t="shared" si="6"/>
        <v>5289.0599999999995</v>
      </c>
      <c r="BC9" s="268">
        <v>5399</v>
      </c>
      <c r="BD9" s="257">
        <f t="shared" si="7"/>
        <v>5291.0199999999995</v>
      </c>
      <c r="BE9" s="268">
        <v>6195</v>
      </c>
      <c r="BF9" s="257">
        <f t="shared" si="8"/>
        <v>5265.75</v>
      </c>
      <c r="BG9" s="268">
        <v>9268</v>
      </c>
      <c r="BH9" s="257">
        <f t="shared" si="9"/>
        <v>7877.8</v>
      </c>
      <c r="BI9" s="268">
        <v>120</v>
      </c>
      <c r="BJ9" s="257">
        <f t="shared" si="10"/>
        <v>102</v>
      </c>
      <c r="BK9" s="268">
        <v>560</v>
      </c>
      <c r="BL9" s="257">
        <f t="shared" si="11"/>
        <v>476</v>
      </c>
      <c r="BM9" s="1" t="s">
        <v>456</v>
      </c>
      <c r="BO9" s="1" t="s">
        <v>457</v>
      </c>
      <c r="BP9" s="1" t="s">
        <v>458</v>
      </c>
    </row>
    <row r="10" spans="1:68" ht="15" customHeight="1">
      <c r="A10" s="250" t="s">
        <v>451</v>
      </c>
      <c r="B10" s="59" t="s">
        <v>331</v>
      </c>
      <c r="C10" s="354" t="s">
        <v>172</v>
      </c>
      <c r="D10" s="424"/>
      <c r="E10" s="357" t="s">
        <v>332</v>
      </c>
      <c r="F10" s="427"/>
      <c r="G10" s="317">
        <v>2024</v>
      </c>
      <c r="H10" s="298" t="s">
        <v>454</v>
      </c>
      <c r="I10" s="315" t="s">
        <v>249</v>
      </c>
      <c r="J10" s="316">
        <v>16</v>
      </c>
      <c r="K10" s="298" t="s">
        <v>335</v>
      </c>
      <c r="L10" s="298" t="s">
        <v>464</v>
      </c>
      <c r="M10" s="300" t="s">
        <v>465</v>
      </c>
      <c r="N10" s="303">
        <v>8.99</v>
      </c>
      <c r="O10" s="303">
        <v>9.1999999999999993</v>
      </c>
      <c r="P10" s="303">
        <v>10.14</v>
      </c>
      <c r="Q10" s="303">
        <v>10.14</v>
      </c>
      <c r="R10" s="303">
        <v>10.14</v>
      </c>
      <c r="S10" s="303">
        <v>10.14</v>
      </c>
      <c r="T10" s="303">
        <v>10.14</v>
      </c>
      <c r="U10" s="303">
        <v>10.14</v>
      </c>
      <c r="V10" s="303">
        <v>10.14</v>
      </c>
      <c r="W10" s="303">
        <v>10.14</v>
      </c>
      <c r="X10" s="303">
        <v>9.1999999999999993</v>
      </c>
      <c r="Y10" s="303">
        <v>9.1999999999999993</v>
      </c>
      <c r="Z10" s="303">
        <v>9.1999999999999993</v>
      </c>
      <c r="AA10" s="303">
        <v>9.1999999999999993</v>
      </c>
      <c r="AB10" s="304">
        <v>1.1499999999999999</v>
      </c>
      <c r="AC10" s="304">
        <v>1.1499999999999999</v>
      </c>
      <c r="AD10" s="304">
        <v>1.1499999999999999</v>
      </c>
      <c r="AE10" s="304">
        <v>1.1499999999999999</v>
      </c>
      <c r="AF10" s="304">
        <v>1.1499999999999999</v>
      </c>
      <c r="AG10" s="304">
        <v>1.1499999999999999</v>
      </c>
      <c r="AH10" s="304">
        <v>1.1499999999999999</v>
      </c>
      <c r="AI10" s="304">
        <v>1.1499999999999999</v>
      </c>
      <c r="AJ10" s="304">
        <v>1.1499999999999999</v>
      </c>
      <c r="AK10" s="304">
        <v>1.7</v>
      </c>
      <c r="AL10" s="304">
        <v>1.7</v>
      </c>
      <c r="AM10" s="304">
        <v>1.7</v>
      </c>
      <c r="AN10" s="304">
        <v>1.7</v>
      </c>
      <c r="AO10" s="270">
        <v>14918</v>
      </c>
      <c r="AP10" s="254">
        <f t="shared" si="0"/>
        <v>17155.699999999997</v>
      </c>
      <c r="AQ10" s="255">
        <v>26878</v>
      </c>
      <c r="AR10" s="254">
        <f t="shared" si="1"/>
        <v>30909.699999999997</v>
      </c>
      <c r="AS10" s="255">
        <v>17030</v>
      </c>
      <c r="AT10" s="254">
        <f t="shared" si="2"/>
        <v>19584.5</v>
      </c>
      <c r="AU10" s="256">
        <v>12999</v>
      </c>
      <c r="AV10" s="257">
        <f t="shared" si="3"/>
        <v>14948.849999999999</v>
      </c>
      <c r="AW10" s="380">
        <v>32678</v>
      </c>
      <c r="AX10" s="257">
        <f t="shared" si="4"/>
        <v>37579.699999999997</v>
      </c>
      <c r="AY10" s="268">
        <v>16560</v>
      </c>
      <c r="AZ10" s="257">
        <f t="shared" si="5"/>
        <v>19044</v>
      </c>
      <c r="BA10" s="268">
        <v>7840</v>
      </c>
      <c r="BB10" s="257">
        <f t="shared" si="6"/>
        <v>9016</v>
      </c>
      <c r="BC10" s="268">
        <v>9480</v>
      </c>
      <c r="BD10" s="257">
        <f t="shared" si="7"/>
        <v>10902</v>
      </c>
      <c r="BE10" s="268">
        <v>9518</v>
      </c>
      <c r="BF10" s="257">
        <f t="shared" si="8"/>
        <v>16180.6</v>
      </c>
      <c r="BG10" s="268">
        <v>840</v>
      </c>
      <c r="BH10" s="257">
        <f t="shared" si="9"/>
        <v>1428</v>
      </c>
      <c r="BI10" s="268">
        <v>1520</v>
      </c>
      <c r="BJ10" s="257">
        <f t="shared" si="10"/>
        <v>2584</v>
      </c>
      <c r="BK10" s="268">
        <v>880</v>
      </c>
      <c r="BL10" s="257">
        <f t="shared" si="11"/>
        <v>1496</v>
      </c>
      <c r="BM10" s="1" t="s">
        <v>459</v>
      </c>
      <c r="BO10" s="1" t="s">
        <v>457</v>
      </c>
      <c r="BP10" s="1" t="s">
        <v>460</v>
      </c>
    </row>
    <row r="11" spans="1:68" ht="15" customHeight="1">
      <c r="A11" s="250" t="s">
        <v>453</v>
      </c>
      <c r="B11" s="59" t="s">
        <v>331</v>
      </c>
      <c r="C11" s="354" t="s">
        <v>172</v>
      </c>
      <c r="D11" s="424"/>
      <c r="E11" s="357" t="s">
        <v>332</v>
      </c>
      <c r="F11" s="427"/>
      <c r="G11" s="317">
        <v>2024</v>
      </c>
      <c r="H11" s="298" t="s">
        <v>454</v>
      </c>
      <c r="I11" s="315" t="s">
        <v>249</v>
      </c>
      <c r="J11" s="316">
        <v>16</v>
      </c>
      <c r="K11" s="298" t="s">
        <v>335</v>
      </c>
      <c r="L11" s="298" t="s">
        <v>464</v>
      </c>
      <c r="M11" s="300" t="s">
        <v>465</v>
      </c>
      <c r="N11" s="303">
        <v>8.99</v>
      </c>
      <c r="O11" s="303">
        <v>9.1999999999999993</v>
      </c>
      <c r="P11" s="303">
        <v>10.14</v>
      </c>
      <c r="Q11" s="303">
        <v>10.14</v>
      </c>
      <c r="R11" s="303">
        <v>10.14</v>
      </c>
      <c r="S11" s="303">
        <v>10.14</v>
      </c>
      <c r="T11" s="303">
        <v>10.14</v>
      </c>
      <c r="U11" s="303">
        <v>10.14</v>
      </c>
      <c r="V11" s="303">
        <v>10.14</v>
      </c>
      <c r="W11" s="303">
        <v>10.14</v>
      </c>
      <c r="X11" s="303">
        <v>9.1999999999999993</v>
      </c>
      <c r="Y11" s="303">
        <v>9.1999999999999993</v>
      </c>
      <c r="Z11" s="303">
        <v>9.1999999999999993</v>
      </c>
      <c r="AA11" s="303">
        <v>9.1999999999999993</v>
      </c>
      <c r="AB11" s="304">
        <v>1.1499999999999999</v>
      </c>
      <c r="AC11" s="304">
        <v>1.1499999999999999</v>
      </c>
      <c r="AD11" s="304">
        <v>1.1499999999999999</v>
      </c>
      <c r="AE11" s="304">
        <v>1.1499999999999999</v>
      </c>
      <c r="AF11" s="304">
        <v>1.1499999999999999</v>
      </c>
      <c r="AG11" s="304">
        <v>1.1499999999999999</v>
      </c>
      <c r="AH11" s="304">
        <v>1.1499999999999999</v>
      </c>
      <c r="AI11" s="304">
        <v>1.1499999999999999</v>
      </c>
      <c r="AJ11" s="304">
        <v>1.1499999999999999</v>
      </c>
      <c r="AK11" s="304">
        <v>1.7</v>
      </c>
      <c r="AL11" s="304">
        <v>1.7</v>
      </c>
      <c r="AM11" s="304">
        <v>1.7</v>
      </c>
      <c r="AN11" s="304">
        <v>1.7</v>
      </c>
      <c r="AO11" s="270">
        <v>40</v>
      </c>
      <c r="AP11" s="254">
        <f t="shared" si="0"/>
        <v>46</v>
      </c>
      <c r="AQ11" s="255"/>
      <c r="AR11" s="254">
        <f t="shared" si="1"/>
        <v>0</v>
      </c>
      <c r="AS11" s="255">
        <v>80</v>
      </c>
      <c r="AT11" s="254">
        <f t="shared" si="2"/>
        <v>92</v>
      </c>
      <c r="AU11" s="256">
        <v>80</v>
      </c>
      <c r="AV11" s="257">
        <f t="shared" si="3"/>
        <v>92</v>
      </c>
      <c r="AW11" s="380">
        <v>80</v>
      </c>
      <c r="AX11" s="257">
        <f t="shared" si="4"/>
        <v>92</v>
      </c>
      <c r="AY11" s="268">
        <v>1000</v>
      </c>
      <c r="AZ11" s="257">
        <f t="shared" si="5"/>
        <v>1150</v>
      </c>
      <c r="BA11" s="268">
        <v>80</v>
      </c>
      <c r="BB11" s="257">
        <f t="shared" si="6"/>
        <v>92</v>
      </c>
      <c r="BC11" s="268"/>
      <c r="BD11" s="257">
        <f t="shared" si="7"/>
        <v>0</v>
      </c>
      <c r="BE11" s="268"/>
      <c r="BF11" s="257">
        <f t="shared" si="8"/>
        <v>0</v>
      </c>
      <c r="BG11" s="268"/>
      <c r="BH11" s="257">
        <f t="shared" si="9"/>
        <v>0</v>
      </c>
      <c r="BI11" s="268"/>
      <c r="BJ11" s="257">
        <f t="shared" si="10"/>
        <v>0</v>
      </c>
      <c r="BK11" s="268">
        <v>80</v>
      </c>
      <c r="BL11" s="257">
        <f t="shared" si="11"/>
        <v>136</v>
      </c>
      <c r="BM11" s="1" t="s">
        <v>461</v>
      </c>
      <c r="BN11" s="1" t="s">
        <v>462</v>
      </c>
      <c r="BO11" s="1" t="s">
        <v>457</v>
      </c>
      <c r="BP11" s="1" t="s">
        <v>463</v>
      </c>
    </row>
    <row r="12" spans="1:68" ht="15" customHeight="1">
      <c r="A12" s="250" t="s">
        <v>451</v>
      </c>
      <c r="B12" s="59" t="s">
        <v>331</v>
      </c>
      <c r="C12" s="354" t="s">
        <v>172</v>
      </c>
      <c r="D12" s="424"/>
      <c r="E12" s="357" t="s">
        <v>332</v>
      </c>
      <c r="F12" s="427"/>
      <c r="G12" s="317">
        <v>2025</v>
      </c>
      <c r="H12" s="59" t="s">
        <v>466</v>
      </c>
      <c r="I12" s="315" t="s">
        <v>175</v>
      </c>
      <c r="J12" s="316">
        <v>16</v>
      </c>
      <c r="K12" s="298" t="s">
        <v>335</v>
      </c>
      <c r="L12" s="298" t="s">
        <v>336</v>
      </c>
      <c r="M12" s="300" t="s">
        <v>455</v>
      </c>
      <c r="N12" s="303">
        <v>3.15</v>
      </c>
      <c r="O12" s="303">
        <v>3.9</v>
      </c>
      <c r="P12" s="303">
        <v>4.08</v>
      </c>
      <c r="Q12" s="303">
        <v>4.08</v>
      </c>
      <c r="R12" s="303">
        <v>4.08</v>
      </c>
      <c r="S12" s="303">
        <v>4.08</v>
      </c>
      <c r="T12" s="303">
        <v>4.08</v>
      </c>
      <c r="U12" s="303">
        <v>4.08</v>
      </c>
      <c r="V12" s="303">
        <v>4.08</v>
      </c>
      <c r="W12" s="303">
        <v>4.08</v>
      </c>
      <c r="X12" s="303">
        <v>3.9</v>
      </c>
      <c r="Y12" s="303">
        <v>3.9</v>
      </c>
      <c r="Z12" s="303">
        <v>3.9</v>
      </c>
      <c r="AA12" s="303">
        <v>3.9</v>
      </c>
      <c r="AB12" s="362">
        <v>0.8</v>
      </c>
      <c r="AC12" s="362">
        <v>0.93</v>
      </c>
      <c r="AD12" s="362">
        <v>0.93</v>
      </c>
      <c r="AE12" s="362">
        <v>0.93</v>
      </c>
      <c r="AF12" s="362">
        <v>0.93</v>
      </c>
      <c r="AG12" s="362">
        <v>0.93</v>
      </c>
      <c r="AH12" s="362">
        <v>0.93</v>
      </c>
      <c r="AI12" s="362">
        <v>0.93</v>
      </c>
      <c r="AJ12" s="362">
        <v>0.93</v>
      </c>
      <c r="AK12" s="362">
        <v>0.8</v>
      </c>
      <c r="AL12" s="362">
        <v>0.8</v>
      </c>
      <c r="AM12" s="362">
        <v>0.8</v>
      </c>
      <c r="AN12" s="362">
        <v>0.8</v>
      </c>
      <c r="AO12" s="255"/>
      <c r="AP12" s="254">
        <f t="shared" si="0"/>
        <v>0</v>
      </c>
      <c r="AQ12" s="255"/>
      <c r="AR12" s="254">
        <f t="shared" si="1"/>
        <v>0</v>
      </c>
      <c r="AS12" s="255"/>
      <c r="AT12" s="254">
        <f t="shared" si="2"/>
        <v>0</v>
      </c>
      <c r="AU12" s="256"/>
      <c r="AV12" s="257">
        <f t="shared" si="3"/>
        <v>0</v>
      </c>
      <c r="AW12" s="380">
        <v>160</v>
      </c>
      <c r="AX12" s="257">
        <f t="shared" si="4"/>
        <v>148.80000000000001</v>
      </c>
      <c r="AY12" s="268">
        <v>880</v>
      </c>
      <c r="AZ12" s="257">
        <f t="shared" si="5"/>
        <v>818.40000000000009</v>
      </c>
      <c r="BA12" s="268">
        <v>880</v>
      </c>
      <c r="BB12" s="257">
        <f t="shared" si="6"/>
        <v>818.40000000000009</v>
      </c>
      <c r="BC12" s="268">
        <v>9880</v>
      </c>
      <c r="BD12" s="257">
        <f t="shared" si="7"/>
        <v>9188.4</v>
      </c>
      <c r="BE12" s="268">
        <v>12796</v>
      </c>
      <c r="BF12" s="257">
        <f t="shared" si="8"/>
        <v>10236.800000000001</v>
      </c>
      <c r="BG12" s="268">
        <v>31489</v>
      </c>
      <c r="BH12" s="257">
        <f t="shared" si="9"/>
        <v>25191.200000000001</v>
      </c>
      <c r="BI12" s="268">
        <v>17375</v>
      </c>
      <c r="BJ12" s="257">
        <f t="shared" si="10"/>
        <v>13900</v>
      </c>
      <c r="BK12" s="268">
        <v>8754</v>
      </c>
      <c r="BL12" s="257">
        <f t="shared" si="11"/>
        <v>7003.2000000000007</v>
      </c>
      <c r="BM12" s="1" t="s">
        <v>467</v>
      </c>
      <c r="BO12" s="1" t="s">
        <v>457</v>
      </c>
      <c r="BP12" s="1" t="s">
        <v>468</v>
      </c>
    </row>
    <row r="13" spans="1:68" ht="15" customHeight="1">
      <c r="A13" s="250" t="s">
        <v>451</v>
      </c>
      <c r="B13" s="59" t="s">
        <v>331</v>
      </c>
      <c r="C13" s="354" t="s">
        <v>172</v>
      </c>
      <c r="D13" s="424"/>
      <c r="E13" s="357" t="s">
        <v>332</v>
      </c>
      <c r="F13" s="427"/>
      <c r="G13" s="317">
        <v>2025</v>
      </c>
      <c r="H13" s="59" t="s">
        <v>466</v>
      </c>
      <c r="I13" s="315" t="s">
        <v>249</v>
      </c>
      <c r="J13" s="316">
        <v>16</v>
      </c>
      <c r="K13" s="298" t="s">
        <v>335</v>
      </c>
      <c r="L13" s="298" t="s">
        <v>336</v>
      </c>
      <c r="M13" s="300" t="s">
        <v>455</v>
      </c>
      <c r="N13" s="300">
        <v>8.89</v>
      </c>
      <c r="O13" s="300">
        <v>9.0500000000000007</v>
      </c>
      <c r="P13" s="300">
        <v>9.99</v>
      </c>
      <c r="Q13" s="300">
        <v>9.99</v>
      </c>
      <c r="R13" s="300">
        <v>9.99</v>
      </c>
      <c r="S13" s="300">
        <v>9.99</v>
      </c>
      <c r="T13" s="300">
        <v>9.99</v>
      </c>
      <c r="U13" s="300">
        <v>9.99</v>
      </c>
      <c r="V13" s="300">
        <v>9.99</v>
      </c>
      <c r="W13" s="300">
        <v>9.99</v>
      </c>
      <c r="X13" s="300">
        <v>9.0500000000000007</v>
      </c>
      <c r="Y13" s="300">
        <v>9.0500000000000007</v>
      </c>
      <c r="Z13" s="300">
        <v>9.0500000000000007</v>
      </c>
      <c r="AA13" s="300">
        <v>9.0500000000000007</v>
      </c>
      <c r="AB13" s="361">
        <v>1.1000000000000001</v>
      </c>
      <c r="AC13" s="361">
        <v>1.1000000000000001</v>
      </c>
      <c r="AD13" s="361">
        <v>1.1000000000000001</v>
      </c>
      <c r="AE13" s="361">
        <v>1.1000000000000001</v>
      </c>
      <c r="AF13" s="361">
        <v>1.1000000000000001</v>
      </c>
      <c r="AG13" s="361">
        <v>1.1000000000000001</v>
      </c>
      <c r="AH13" s="361">
        <v>1.1000000000000001</v>
      </c>
      <c r="AI13" s="361">
        <v>1.1000000000000001</v>
      </c>
      <c r="AJ13" s="361">
        <v>1.1000000000000001</v>
      </c>
      <c r="AK13" s="361">
        <v>1.65</v>
      </c>
      <c r="AL13" s="361">
        <v>1.65</v>
      </c>
      <c r="AM13" s="361">
        <v>1.65</v>
      </c>
      <c r="AN13" s="361">
        <v>1.65</v>
      </c>
      <c r="AO13" s="255"/>
      <c r="AP13" s="254">
        <f t="shared" si="0"/>
        <v>0</v>
      </c>
      <c r="AQ13" s="255"/>
      <c r="AR13" s="254">
        <f t="shared" si="1"/>
        <v>0</v>
      </c>
      <c r="AS13" s="255"/>
      <c r="AT13" s="254">
        <f t="shared" si="2"/>
        <v>0</v>
      </c>
      <c r="AU13" s="256"/>
      <c r="AV13" s="257">
        <f t="shared" si="3"/>
        <v>0</v>
      </c>
      <c r="AW13" s="380">
        <v>440</v>
      </c>
      <c r="AX13" s="257">
        <f t="shared" si="4"/>
        <v>484.00000000000006</v>
      </c>
      <c r="AY13" s="268">
        <v>1520</v>
      </c>
      <c r="AZ13" s="257">
        <f t="shared" si="5"/>
        <v>1672.0000000000002</v>
      </c>
      <c r="BA13" s="268">
        <v>5798</v>
      </c>
      <c r="BB13" s="257">
        <f t="shared" si="6"/>
        <v>6377.8</v>
      </c>
      <c r="BC13" s="268">
        <v>9040</v>
      </c>
      <c r="BD13" s="257">
        <f t="shared" si="7"/>
        <v>9944</v>
      </c>
      <c r="BE13" s="268">
        <v>6520</v>
      </c>
      <c r="BF13" s="257">
        <f t="shared" si="8"/>
        <v>10758</v>
      </c>
      <c r="BG13" s="268">
        <v>5800</v>
      </c>
      <c r="BH13" s="257">
        <f t="shared" si="9"/>
        <v>9570</v>
      </c>
      <c r="BI13" s="268">
        <v>7039</v>
      </c>
      <c r="BJ13" s="257">
        <f t="shared" si="10"/>
        <v>11614.349999999999</v>
      </c>
      <c r="BK13" s="268">
        <v>10079</v>
      </c>
      <c r="BL13" s="257">
        <f t="shared" si="11"/>
        <v>16630.349999999999</v>
      </c>
      <c r="BM13" s="1" t="s">
        <v>469</v>
      </c>
      <c r="BO13" s="1" t="s">
        <v>457</v>
      </c>
      <c r="BP13" s="1" t="s">
        <v>470</v>
      </c>
    </row>
    <row r="14" spans="1:68" ht="15" customHeight="1">
      <c r="A14" s="250" t="s">
        <v>453</v>
      </c>
      <c r="B14" s="59" t="s">
        <v>331</v>
      </c>
      <c r="C14" s="354" t="s">
        <v>172</v>
      </c>
      <c r="D14" s="424"/>
      <c r="E14" s="357" t="s">
        <v>332</v>
      </c>
      <c r="F14" s="427"/>
      <c r="G14" s="317">
        <v>2025</v>
      </c>
      <c r="H14" s="59" t="s">
        <v>466</v>
      </c>
      <c r="I14" s="315" t="s">
        <v>249</v>
      </c>
      <c r="J14" s="316">
        <v>16</v>
      </c>
      <c r="K14" s="298" t="s">
        <v>335</v>
      </c>
      <c r="L14" s="298" t="s">
        <v>336</v>
      </c>
      <c r="M14" s="300" t="s">
        <v>455</v>
      </c>
      <c r="N14" s="300">
        <v>8.89</v>
      </c>
      <c r="O14" s="300">
        <v>9.0500000000000007</v>
      </c>
      <c r="P14" s="300">
        <v>9.99</v>
      </c>
      <c r="Q14" s="300">
        <v>9.99</v>
      </c>
      <c r="R14" s="300">
        <v>9.99</v>
      </c>
      <c r="S14" s="300">
        <v>9.99</v>
      </c>
      <c r="T14" s="300">
        <v>9.99</v>
      </c>
      <c r="U14" s="300">
        <v>9.99</v>
      </c>
      <c r="V14" s="300">
        <v>9.99</v>
      </c>
      <c r="W14" s="300">
        <v>9.99</v>
      </c>
      <c r="X14" s="300">
        <v>9.0500000000000007</v>
      </c>
      <c r="Y14" s="300">
        <v>9.0500000000000007</v>
      </c>
      <c r="Z14" s="300">
        <v>9.0500000000000007</v>
      </c>
      <c r="AA14" s="300">
        <v>9.0500000000000007</v>
      </c>
      <c r="AB14" s="361">
        <v>1.1000000000000001</v>
      </c>
      <c r="AC14" s="361">
        <v>1.1000000000000001</v>
      </c>
      <c r="AD14" s="361">
        <v>1.1000000000000001</v>
      </c>
      <c r="AE14" s="361">
        <v>1.1000000000000001</v>
      </c>
      <c r="AF14" s="361">
        <v>1.1000000000000001</v>
      </c>
      <c r="AG14" s="361">
        <v>1.1000000000000001</v>
      </c>
      <c r="AH14" s="361">
        <v>1.1000000000000001</v>
      </c>
      <c r="AI14" s="361">
        <v>1.1000000000000001</v>
      </c>
      <c r="AJ14" s="361">
        <v>1.1000000000000001</v>
      </c>
      <c r="AK14" s="361">
        <v>1.65</v>
      </c>
      <c r="AL14" s="361">
        <v>1.65</v>
      </c>
      <c r="AM14" s="361">
        <v>1.65</v>
      </c>
      <c r="AN14" s="361">
        <v>1.65</v>
      </c>
      <c r="AO14" s="255"/>
      <c r="AP14" s="254">
        <f t="shared" si="0"/>
        <v>0</v>
      </c>
      <c r="AQ14" s="255"/>
      <c r="AR14" s="254">
        <f t="shared" si="1"/>
        <v>0</v>
      </c>
      <c r="AS14" s="255"/>
      <c r="AT14" s="254">
        <f t="shared" si="2"/>
        <v>0</v>
      </c>
      <c r="AU14" s="256"/>
      <c r="AV14" s="257">
        <f t="shared" si="3"/>
        <v>0</v>
      </c>
      <c r="AW14" s="380"/>
      <c r="AX14" s="257">
        <f t="shared" si="4"/>
        <v>0</v>
      </c>
      <c r="AY14" s="268"/>
      <c r="AZ14" s="257">
        <f t="shared" si="5"/>
        <v>0</v>
      </c>
      <c r="BA14" s="268"/>
      <c r="BB14" s="257">
        <f t="shared" si="6"/>
        <v>0</v>
      </c>
      <c r="BC14" s="268"/>
      <c r="BD14" s="257">
        <f t="shared" si="7"/>
        <v>0</v>
      </c>
      <c r="BE14" s="268"/>
      <c r="BF14" s="257">
        <f t="shared" si="8"/>
        <v>0</v>
      </c>
      <c r="BG14" s="268"/>
      <c r="BH14" s="257">
        <f t="shared" si="9"/>
        <v>0</v>
      </c>
      <c r="BI14" s="268"/>
      <c r="BJ14" s="257">
        <f t="shared" si="10"/>
        <v>0</v>
      </c>
      <c r="BK14" s="268"/>
      <c r="BL14" s="257">
        <f t="shared" si="11"/>
        <v>0</v>
      </c>
      <c r="BM14" s="1" t="s">
        <v>471</v>
      </c>
      <c r="BN14" s="1" t="s">
        <v>462</v>
      </c>
      <c r="BO14" s="1" t="s">
        <v>457</v>
      </c>
      <c r="BP14" s="1" t="s">
        <v>472</v>
      </c>
    </row>
    <row r="15" spans="1:68" ht="15" customHeight="1">
      <c r="A15" s="250" t="s">
        <v>451</v>
      </c>
      <c r="B15" s="59" t="s">
        <v>331</v>
      </c>
      <c r="C15" s="354" t="s">
        <v>172</v>
      </c>
      <c r="D15" s="424"/>
      <c r="E15" s="357" t="s">
        <v>332</v>
      </c>
      <c r="F15" s="427"/>
      <c r="G15" s="317">
        <v>2025</v>
      </c>
      <c r="H15" s="59" t="s">
        <v>466</v>
      </c>
      <c r="I15" s="315" t="s">
        <v>175</v>
      </c>
      <c r="J15" s="316">
        <v>16</v>
      </c>
      <c r="K15" s="298" t="s">
        <v>335</v>
      </c>
      <c r="L15" s="298" t="s">
        <v>464</v>
      </c>
      <c r="M15" s="300" t="s">
        <v>465</v>
      </c>
      <c r="N15" s="303">
        <v>3.15</v>
      </c>
      <c r="O15" s="303">
        <v>3.9</v>
      </c>
      <c r="P15" s="303">
        <v>4.08</v>
      </c>
      <c r="Q15" s="303">
        <v>4.08</v>
      </c>
      <c r="R15" s="303">
        <v>4.08</v>
      </c>
      <c r="S15" s="303">
        <v>4.08</v>
      </c>
      <c r="T15" s="303">
        <v>4.08</v>
      </c>
      <c r="U15" s="303">
        <v>4.08</v>
      </c>
      <c r="V15" s="303">
        <v>4.08</v>
      </c>
      <c r="W15" s="303">
        <v>4.08</v>
      </c>
      <c r="X15" s="303">
        <v>3.9</v>
      </c>
      <c r="Y15" s="303">
        <v>3.9</v>
      </c>
      <c r="Z15" s="303">
        <v>3.9</v>
      </c>
      <c r="AA15" s="303">
        <v>3.9</v>
      </c>
      <c r="AB15" s="362">
        <v>0.8</v>
      </c>
      <c r="AC15" s="362">
        <v>0.93</v>
      </c>
      <c r="AD15" s="362">
        <v>0.93</v>
      </c>
      <c r="AE15" s="362">
        <v>0.93</v>
      </c>
      <c r="AF15" s="362">
        <v>0.93</v>
      </c>
      <c r="AG15" s="362">
        <v>0.93</v>
      </c>
      <c r="AH15" s="362">
        <v>0.93</v>
      </c>
      <c r="AI15" s="362">
        <v>0.93</v>
      </c>
      <c r="AJ15" s="362">
        <v>0.93</v>
      </c>
      <c r="AK15" s="362">
        <v>0.8</v>
      </c>
      <c r="AL15" s="362">
        <v>0.8</v>
      </c>
      <c r="AM15" s="362">
        <v>0.8</v>
      </c>
      <c r="AN15" s="362">
        <v>0.8</v>
      </c>
      <c r="AO15" s="255"/>
      <c r="AP15" s="254">
        <f t="shared" si="0"/>
        <v>0</v>
      </c>
      <c r="AQ15" s="255"/>
      <c r="AR15" s="254">
        <f t="shared" si="1"/>
        <v>0</v>
      </c>
      <c r="AS15" s="255"/>
      <c r="AT15" s="254">
        <f t="shared" si="2"/>
        <v>0</v>
      </c>
      <c r="AU15" s="256"/>
      <c r="AV15" s="257">
        <f t="shared" si="3"/>
        <v>0</v>
      </c>
      <c r="AW15" s="380"/>
      <c r="AX15" s="257">
        <f t="shared" si="4"/>
        <v>0</v>
      </c>
      <c r="AY15" s="268"/>
      <c r="AZ15" s="257">
        <f t="shared" si="5"/>
        <v>0</v>
      </c>
      <c r="BA15" s="256">
        <v>40</v>
      </c>
      <c r="BB15" s="257">
        <f t="shared" si="6"/>
        <v>37.200000000000003</v>
      </c>
      <c r="BC15" s="268">
        <v>560</v>
      </c>
      <c r="BD15" s="257">
        <f t="shared" si="7"/>
        <v>520.80000000000007</v>
      </c>
      <c r="BE15" s="268">
        <v>4040</v>
      </c>
      <c r="BF15" s="257">
        <f t="shared" si="8"/>
        <v>3232</v>
      </c>
      <c r="BG15" s="268">
        <v>3759</v>
      </c>
      <c r="BH15" s="257">
        <f t="shared" si="9"/>
        <v>3007.2000000000003</v>
      </c>
      <c r="BI15" s="268">
        <v>4310</v>
      </c>
      <c r="BJ15" s="257">
        <f t="shared" si="10"/>
        <v>3448</v>
      </c>
      <c r="BK15" s="268">
        <v>3460</v>
      </c>
      <c r="BL15" s="257">
        <f t="shared" si="11"/>
        <v>2768</v>
      </c>
      <c r="BM15" s="1" t="s">
        <v>467</v>
      </c>
      <c r="BO15" s="1" t="s">
        <v>457</v>
      </c>
      <c r="BP15" s="1" t="s">
        <v>468</v>
      </c>
    </row>
    <row r="16" spans="1:68" ht="15" customHeight="1">
      <c r="A16" s="250" t="s">
        <v>453</v>
      </c>
      <c r="B16" s="59" t="s">
        <v>331</v>
      </c>
      <c r="C16" s="354" t="s">
        <v>172</v>
      </c>
      <c r="D16" s="424"/>
      <c r="E16" s="357" t="s">
        <v>332</v>
      </c>
      <c r="F16" s="427"/>
      <c r="G16" s="317">
        <v>2025</v>
      </c>
      <c r="H16" s="59" t="s">
        <v>466</v>
      </c>
      <c r="I16" s="315" t="s">
        <v>249</v>
      </c>
      <c r="J16" s="316">
        <v>16</v>
      </c>
      <c r="K16" s="298" t="s">
        <v>335</v>
      </c>
      <c r="L16" s="298" t="s">
        <v>464</v>
      </c>
      <c r="M16" s="300" t="s">
        <v>465</v>
      </c>
      <c r="N16" s="300">
        <v>8.89</v>
      </c>
      <c r="O16" s="300">
        <v>9.0500000000000007</v>
      </c>
      <c r="P16" s="300">
        <v>9.99</v>
      </c>
      <c r="Q16" s="300">
        <v>9.99</v>
      </c>
      <c r="R16" s="300">
        <v>9.99</v>
      </c>
      <c r="S16" s="300">
        <v>9.99</v>
      </c>
      <c r="T16" s="300">
        <v>9.99</v>
      </c>
      <c r="U16" s="300">
        <v>9.99</v>
      </c>
      <c r="V16" s="300">
        <v>9.99</v>
      </c>
      <c r="W16" s="300">
        <v>9.99</v>
      </c>
      <c r="X16" s="300">
        <v>9.0500000000000007</v>
      </c>
      <c r="Y16" s="300">
        <v>9.0500000000000007</v>
      </c>
      <c r="Z16" s="300">
        <v>9.0500000000000007</v>
      </c>
      <c r="AA16" s="300">
        <v>9.0500000000000007</v>
      </c>
      <c r="AB16" s="361">
        <v>1.1000000000000001</v>
      </c>
      <c r="AC16" s="361">
        <v>1.1000000000000001</v>
      </c>
      <c r="AD16" s="361">
        <v>1.1000000000000001</v>
      </c>
      <c r="AE16" s="361">
        <v>1.1000000000000001</v>
      </c>
      <c r="AF16" s="361">
        <v>1.1000000000000001</v>
      </c>
      <c r="AG16" s="361">
        <v>1.1000000000000001</v>
      </c>
      <c r="AH16" s="361">
        <v>1.1000000000000001</v>
      </c>
      <c r="AI16" s="361">
        <v>1.1000000000000001</v>
      </c>
      <c r="AJ16" s="361">
        <v>1.1000000000000001</v>
      </c>
      <c r="AK16" s="361">
        <v>1.65</v>
      </c>
      <c r="AL16" s="361">
        <v>1.65</v>
      </c>
      <c r="AM16" s="361">
        <v>1.65</v>
      </c>
      <c r="AN16" s="361">
        <v>1.65</v>
      </c>
      <c r="AO16" s="255"/>
      <c r="AP16" s="254">
        <f t="shared" si="0"/>
        <v>0</v>
      </c>
      <c r="AQ16" s="255"/>
      <c r="AR16" s="254">
        <f t="shared" si="1"/>
        <v>0</v>
      </c>
      <c r="AS16" s="255"/>
      <c r="AT16" s="254">
        <f t="shared" si="2"/>
        <v>0</v>
      </c>
      <c r="AU16" s="256"/>
      <c r="AV16" s="257">
        <f t="shared" si="3"/>
        <v>0</v>
      </c>
      <c r="AW16" s="380"/>
      <c r="AX16" s="257">
        <f t="shared" si="4"/>
        <v>0</v>
      </c>
      <c r="AY16" s="268">
        <v>160</v>
      </c>
      <c r="AZ16" s="257">
        <f t="shared" si="5"/>
        <v>176</v>
      </c>
      <c r="BA16" s="256">
        <v>8680</v>
      </c>
      <c r="BB16" s="257">
        <f t="shared" si="6"/>
        <v>9548</v>
      </c>
      <c r="BC16" s="268">
        <v>9200</v>
      </c>
      <c r="BD16" s="257">
        <f t="shared" si="7"/>
        <v>10120</v>
      </c>
      <c r="BE16" s="268">
        <v>3520</v>
      </c>
      <c r="BF16" s="257">
        <f t="shared" si="8"/>
        <v>5808</v>
      </c>
      <c r="BG16" s="268">
        <v>1360</v>
      </c>
      <c r="BH16" s="257">
        <f t="shared" si="9"/>
        <v>2244</v>
      </c>
      <c r="BI16" s="268">
        <v>880</v>
      </c>
      <c r="BJ16" s="257">
        <f t="shared" si="10"/>
        <v>1452</v>
      </c>
      <c r="BK16" s="268">
        <v>7480</v>
      </c>
      <c r="BL16" s="257">
        <f t="shared" si="11"/>
        <v>12342</v>
      </c>
      <c r="BM16" s="1" t="s">
        <v>469</v>
      </c>
      <c r="BO16" s="1" t="s">
        <v>457</v>
      </c>
      <c r="BP16" s="1" t="s">
        <v>470</v>
      </c>
    </row>
    <row r="17" spans="1:68" ht="15" customHeight="1">
      <c r="A17" s="250" t="s">
        <v>453</v>
      </c>
      <c r="B17" s="59" t="s">
        <v>331</v>
      </c>
      <c r="C17" s="354" t="s">
        <v>172</v>
      </c>
      <c r="D17" s="424"/>
      <c r="E17" s="357" t="s">
        <v>332</v>
      </c>
      <c r="F17" s="427"/>
      <c r="G17" s="317">
        <v>2025</v>
      </c>
      <c r="H17" s="59" t="s">
        <v>466</v>
      </c>
      <c r="I17" s="315" t="s">
        <v>249</v>
      </c>
      <c r="J17" s="316">
        <v>16</v>
      </c>
      <c r="K17" s="298" t="s">
        <v>335</v>
      </c>
      <c r="L17" s="298" t="s">
        <v>464</v>
      </c>
      <c r="M17" s="300" t="s">
        <v>465</v>
      </c>
      <c r="N17" s="300">
        <v>8.89</v>
      </c>
      <c r="O17" s="300">
        <v>9.0500000000000007</v>
      </c>
      <c r="P17" s="300">
        <v>9.99</v>
      </c>
      <c r="Q17" s="300">
        <v>9.99</v>
      </c>
      <c r="R17" s="300">
        <v>9.99</v>
      </c>
      <c r="S17" s="300">
        <v>9.99</v>
      </c>
      <c r="T17" s="300">
        <v>9.99</v>
      </c>
      <c r="U17" s="300">
        <v>9.99</v>
      </c>
      <c r="V17" s="300">
        <v>9.99</v>
      </c>
      <c r="W17" s="300">
        <v>9.99</v>
      </c>
      <c r="X17" s="300">
        <v>9.0500000000000007</v>
      </c>
      <c r="Y17" s="300">
        <v>9.0500000000000007</v>
      </c>
      <c r="Z17" s="300">
        <v>9.0500000000000007</v>
      </c>
      <c r="AA17" s="300">
        <v>9.0500000000000007</v>
      </c>
      <c r="AB17" s="361">
        <v>1.1000000000000001</v>
      </c>
      <c r="AC17" s="361">
        <v>1.1000000000000001</v>
      </c>
      <c r="AD17" s="361">
        <v>1.1000000000000001</v>
      </c>
      <c r="AE17" s="361">
        <v>1.1000000000000001</v>
      </c>
      <c r="AF17" s="361">
        <v>1.1000000000000001</v>
      </c>
      <c r="AG17" s="361">
        <v>1.1000000000000001</v>
      </c>
      <c r="AH17" s="361">
        <v>1.1000000000000001</v>
      </c>
      <c r="AI17" s="361">
        <v>1.1000000000000001</v>
      </c>
      <c r="AJ17" s="361">
        <v>1.1000000000000001</v>
      </c>
      <c r="AK17" s="361">
        <v>1.65</v>
      </c>
      <c r="AL17" s="361">
        <v>1.65</v>
      </c>
      <c r="AM17" s="361">
        <v>1.65</v>
      </c>
      <c r="AN17" s="361">
        <v>1.65</v>
      </c>
      <c r="AO17" s="255"/>
      <c r="AP17" s="254">
        <f t="shared" si="0"/>
        <v>0</v>
      </c>
      <c r="AQ17" s="255"/>
      <c r="AR17" s="254">
        <f t="shared" si="1"/>
        <v>0</v>
      </c>
      <c r="AS17" s="255"/>
      <c r="AT17" s="254">
        <f t="shared" si="2"/>
        <v>0</v>
      </c>
      <c r="AU17" s="256"/>
      <c r="AV17" s="257">
        <f t="shared" si="3"/>
        <v>0</v>
      </c>
      <c r="AW17" s="380"/>
      <c r="AX17" s="257">
        <f t="shared" si="4"/>
        <v>0</v>
      </c>
      <c r="AY17" s="268">
        <v>40</v>
      </c>
      <c r="AZ17" s="257">
        <f t="shared" si="5"/>
        <v>44</v>
      </c>
      <c r="BA17" s="256">
        <v>40</v>
      </c>
      <c r="BB17" s="257">
        <f t="shared" si="6"/>
        <v>44</v>
      </c>
      <c r="BC17" s="268"/>
      <c r="BD17" s="257">
        <f t="shared" si="7"/>
        <v>0</v>
      </c>
      <c r="BE17" s="268"/>
      <c r="BF17" s="257">
        <f t="shared" si="8"/>
        <v>0</v>
      </c>
      <c r="BG17" s="268"/>
      <c r="BH17" s="257">
        <f t="shared" si="9"/>
        <v>0</v>
      </c>
      <c r="BI17" s="268">
        <v>40</v>
      </c>
      <c r="BJ17" s="257">
        <f t="shared" si="10"/>
        <v>66</v>
      </c>
      <c r="BK17" s="268">
        <v>80</v>
      </c>
      <c r="BL17" s="257">
        <f t="shared" si="11"/>
        <v>132</v>
      </c>
      <c r="BM17" s="1" t="s">
        <v>471</v>
      </c>
      <c r="BN17" s="1" t="s">
        <v>462</v>
      </c>
      <c r="BO17" s="1" t="s">
        <v>457</v>
      </c>
      <c r="BP17" s="1" t="s">
        <v>472</v>
      </c>
    </row>
    <row r="18" spans="1:68" ht="15" customHeight="1">
      <c r="A18" s="250"/>
      <c r="C18" s="354"/>
      <c r="D18" s="424"/>
      <c r="E18" s="357"/>
      <c r="F18" s="427"/>
      <c r="G18" s="317"/>
      <c r="H18" s="59"/>
      <c r="I18" s="315"/>
      <c r="J18" s="316"/>
      <c r="K18" s="298"/>
      <c r="L18" s="298"/>
      <c r="M18" s="300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62"/>
      <c r="AC18" s="362"/>
      <c r="AD18" s="362"/>
      <c r="AE18" s="362"/>
      <c r="AF18" s="362"/>
      <c r="AG18" s="362"/>
      <c r="AH18" s="362"/>
      <c r="AI18" s="362"/>
      <c r="AJ18" s="362"/>
      <c r="AK18" s="362"/>
      <c r="AL18" s="362"/>
      <c r="AM18" s="362"/>
      <c r="AN18" s="362"/>
      <c r="AO18" s="255"/>
      <c r="AP18" s="254">
        <f t="shared" si="0"/>
        <v>0</v>
      </c>
      <c r="AQ18" s="255"/>
      <c r="AR18" s="254">
        <f t="shared" si="1"/>
        <v>0</v>
      </c>
      <c r="AS18" s="255"/>
      <c r="AT18" s="254">
        <f t="shared" si="2"/>
        <v>0</v>
      </c>
      <c r="AU18" s="256"/>
      <c r="AV18" s="257">
        <f t="shared" si="3"/>
        <v>0</v>
      </c>
      <c r="AW18" s="380"/>
      <c r="AX18" s="257">
        <f t="shared" si="4"/>
        <v>0</v>
      </c>
      <c r="AY18" s="268"/>
      <c r="AZ18" s="257">
        <f t="shared" si="5"/>
        <v>0</v>
      </c>
      <c r="BA18" s="256"/>
      <c r="BB18" s="257">
        <f t="shared" si="6"/>
        <v>0</v>
      </c>
      <c r="BC18" s="268"/>
      <c r="BD18" s="257">
        <f t="shared" si="7"/>
        <v>0</v>
      </c>
      <c r="BE18" s="268"/>
      <c r="BF18" s="257">
        <f t="shared" si="8"/>
        <v>0</v>
      </c>
      <c r="BG18" s="59"/>
      <c r="BH18" s="257">
        <f t="shared" si="9"/>
        <v>0</v>
      </c>
      <c r="BI18" s="268"/>
      <c r="BJ18" s="257">
        <f t="shared" si="10"/>
        <v>0</v>
      </c>
      <c r="BK18" s="268"/>
      <c r="BL18" s="257">
        <f t="shared" si="11"/>
        <v>0</v>
      </c>
    </row>
    <row r="19" spans="1:68" ht="15" customHeight="1">
      <c r="A19" s="250"/>
      <c r="C19" s="354"/>
      <c r="D19" s="424"/>
      <c r="E19" s="357"/>
      <c r="F19" s="427"/>
      <c r="G19" s="317"/>
      <c r="H19" s="59"/>
      <c r="I19" s="315"/>
      <c r="J19" s="316"/>
      <c r="K19" s="298"/>
      <c r="L19" s="298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361"/>
      <c r="AM19" s="361"/>
      <c r="AN19" s="361"/>
      <c r="AO19" s="255"/>
      <c r="AP19" s="254">
        <f t="shared" si="0"/>
        <v>0</v>
      </c>
      <c r="AQ19" s="255"/>
      <c r="AR19" s="254">
        <f t="shared" si="1"/>
        <v>0</v>
      </c>
      <c r="AS19" s="255"/>
      <c r="AT19" s="254">
        <f t="shared" si="2"/>
        <v>0</v>
      </c>
      <c r="AU19" s="256"/>
      <c r="AV19" s="257">
        <f t="shared" si="3"/>
        <v>0</v>
      </c>
      <c r="AW19" s="380"/>
      <c r="AX19" s="257">
        <f t="shared" si="4"/>
        <v>0</v>
      </c>
      <c r="AY19" s="268"/>
      <c r="AZ19" s="257">
        <f t="shared" si="5"/>
        <v>0</v>
      </c>
      <c r="BA19" s="256"/>
      <c r="BB19" s="257">
        <f t="shared" si="6"/>
        <v>0</v>
      </c>
      <c r="BC19" s="268"/>
      <c r="BD19" s="257">
        <f t="shared" si="7"/>
        <v>0</v>
      </c>
      <c r="BE19" s="268"/>
      <c r="BF19" s="257">
        <f t="shared" si="8"/>
        <v>0</v>
      </c>
      <c r="BG19" s="59"/>
      <c r="BH19" s="257">
        <f t="shared" si="9"/>
        <v>0</v>
      </c>
      <c r="BI19" s="268"/>
      <c r="BJ19" s="257">
        <f t="shared" si="10"/>
        <v>0</v>
      </c>
      <c r="BK19" s="268"/>
      <c r="BL19" s="257">
        <f t="shared" si="11"/>
        <v>0</v>
      </c>
    </row>
    <row r="20" spans="1:68" ht="17.25" customHeight="1">
      <c r="A20" s="250" t="s">
        <v>451</v>
      </c>
      <c r="B20" s="59" t="s">
        <v>331</v>
      </c>
      <c r="C20" s="354" t="s">
        <v>172</v>
      </c>
      <c r="D20" s="424"/>
      <c r="E20" s="357" t="s">
        <v>332</v>
      </c>
      <c r="F20" s="427">
        <v>800</v>
      </c>
      <c r="G20" s="317">
        <v>2025</v>
      </c>
      <c r="H20" s="298" t="s">
        <v>473</v>
      </c>
      <c r="I20" s="315" t="s">
        <v>249</v>
      </c>
      <c r="J20" s="316">
        <v>14</v>
      </c>
      <c r="K20" s="298" t="s">
        <v>335</v>
      </c>
      <c r="L20" s="298" t="s">
        <v>336</v>
      </c>
      <c r="M20" s="300" t="s">
        <v>474</v>
      </c>
      <c r="N20" s="300">
        <v>7.2</v>
      </c>
      <c r="O20" s="300">
        <v>9.4</v>
      </c>
      <c r="P20" s="300">
        <v>9.82</v>
      </c>
      <c r="Q20" s="300">
        <v>9.82</v>
      </c>
      <c r="R20" s="300">
        <v>9.82</v>
      </c>
      <c r="S20" s="300">
        <v>9.82</v>
      </c>
      <c r="T20" s="300">
        <v>9.82</v>
      </c>
      <c r="U20" s="300">
        <v>9.82</v>
      </c>
      <c r="V20" s="300">
        <v>9.56</v>
      </c>
      <c r="W20" s="300">
        <v>9.56</v>
      </c>
      <c r="X20" s="300">
        <v>9.4</v>
      </c>
      <c r="Y20" s="300">
        <v>9.4</v>
      </c>
      <c r="Z20" s="300">
        <v>9.4</v>
      </c>
      <c r="AA20" s="300">
        <v>9.4</v>
      </c>
      <c r="AB20" s="300">
        <v>2.2999999999999998</v>
      </c>
      <c r="AC20" s="300">
        <v>2.62</v>
      </c>
      <c r="AD20" s="300">
        <v>2.62</v>
      </c>
      <c r="AE20" s="300">
        <v>2.62</v>
      </c>
      <c r="AF20" s="300">
        <v>2.62</v>
      </c>
      <c r="AG20" s="300">
        <v>2.62</v>
      </c>
      <c r="AH20" s="300">
        <v>2.62</v>
      </c>
      <c r="AI20" s="300">
        <v>2.36</v>
      </c>
      <c r="AJ20" s="300">
        <v>2.36</v>
      </c>
      <c r="AK20" s="300">
        <v>2.2999999999999998</v>
      </c>
      <c r="AL20" s="300">
        <v>2.2999999999999998</v>
      </c>
      <c r="AM20" s="300">
        <v>2.2999999999999998</v>
      </c>
      <c r="AN20" s="300">
        <v>2.2999999999999998</v>
      </c>
      <c r="AO20" s="255"/>
      <c r="AP20" s="254">
        <f t="shared" si="0"/>
        <v>0</v>
      </c>
      <c r="AQ20" s="255"/>
      <c r="AR20" s="254">
        <f t="shared" si="1"/>
        <v>0</v>
      </c>
      <c r="AS20" s="255"/>
      <c r="AT20" s="254">
        <f t="shared" si="2"/>
        <v>0</v>
      </c>
      <c r="AU20" s="256"/>
      <c r="AV20" s="257">
        <f t="shared" si="3"/>
        <v>0</v>
      </c>
      <c r="AW20" s="380">
        <v>632</v>
      </c>
      <c r="AX20" s="257">
        <f t="shared" si="4"/>
        <v>1655.8400000000001</v>
      </c>
      <c r="AY20" s="268">
        <v>4640</v>
      </c>
      <c r="AZ20" s="257">
        <f t="shared" si="5"/>
        <v>12156.800000000001</v>
      </c>
      <c r="BA20" s="268">
        <v>8199</v>
      </c>
      <c r="BB20" s="257">
        <f t="shared" si="6"/>
        <v>19349.64</v>
      </c>
      <c r="BC20" s="268">
        <v>18220</v>
      </c>
      <c r="BD20" s="257">
        <f t="shared" si="7"/>
        <v>42999.199999999997</v>
      </c>
      <c r="BE20" s="268">
        <v>14464</v>
      </c>
      <c r="BF20" s="257">
        <f t="shared" si="8"/>
        <v>33267.199999999997</v>
      </c>
      <c r="BG20" s="268">
        <v>27560</v>
      </c>
      <c r="BH20" s="257">
        <f t="shared" si="9"/>
        <v>63387.999999999993</v>
      </c>
      <c r="BI20" s="268">
        <v>12133</v>
      </c>
      <c r="BJ20" s="257">
        <f t="shared" si="10"/>
        <v>27905.899999999998</v>
      </c>
      <c r="BK20" s="268">
        <v>19430</v>
      </c>
      <c r="BL20" s="257">
        <f t="shared" si="11"/>
        <v>44689</v>
      </c>
      <c r="BM20" s="1" t="s">
        <v>475</v>
      </c>
      <c r="BO20" s="1" t="s">
        <v>457</v>
      </c>
      <c r="BP20" s="1" t="s">
        <v>476</v>
      </c>
    </row>
    <row r="21" spans="1:68" ht="15" customHeight="1">
      <c r="A21" s="250" t="s">
        <v>451</v>
      </c>
      <c r="B21" s="59" t="s">
        <v>331</v>
      </c>
      <c r="C21" s="354" t="s">
        <v>172</v>
      </c>
      <c r="D21" s="424"/>
      <c r="E21" s="357" t="s">
        <v>332</v>
      </c>
      <c r="F21" s="427"/>
      <c r="G21" s="317">
        <v>2025</v>
      </c>
      <c r="H21" s="298" t="s">
        <v>473</v>
      </c>
      <c r="I21" s="315" t="s">
        <v>249</v>
      </c>
      <c r="J21" s="316">
        <v>14</v>
      </c>
      <c r="K21" s="298" t="s">
        <v>335</v>
      </c>
      <c r="L21" s="298" t="s">
        <v>336</v>
      </c>
      <c r="M21" s="300" t="s">
        <v>474</v>
      </c>
      <c r="N21" s="300">
        <v>7.2</v>
      </c>
      <c r="O21" s="300">
        <v>9.4</v>
      </c>
      <c r="P21" s="300">
        <v>9.82</v>
      </c>
      <c r="Q21" s="300">
        <v>9.82</v>
      </c>
      <c r="R21" s="300">
        <v>9.82</v>
      </c>
      <c r="S21" s="300">
        <v>9.82</v>
      </c>
      <c r="T21" s="300">
        <v>9.82</v>
      </c>
      <c r="U21" s="300">
        <v>9.82</v>
      </c>
      <c r="V21" s="300">
        <v>9.56</v>
      </c>
      <c r="W21" s="300">
        <v>9.56</v>
      </c>
      <c r="X21" s="300">
        <v>9.4</v>
      </c>
      <c r="Y21" s="300">
        <v>9.4</v>
      </c>
      <c r="Z21" s="300">
        <v>9.4</v>
      </c>
      <c r="AA21" s="300">
        <v>9.4</v>
      </c>
      <c r="AB21" s="300">
        <v>2.2999999999999998</v>
      </c>
      <c r="AC21" s="300">
        <v>2.62</v>
      </c>
      <c r="AD21" s="300">
        <v>2.62</v>
      </c>
      <c r="AE21" s="300">
        <v>2.62</v>
      </c>
      <c r="AF21" s="300">
        <v>2.62</v>
      </c>
      <c r="AG21" s="300">
        <v>2.62</v>
      </c>
      <c r="AH21" s="300">
        <v>2.62</v>
      </c>
      <c r="AI21" s="300">
        <v>2.36</v>
      </c>
      <c r="AJ21" s="300">
        <v>2.36</v>
      </c>
      <c r="AK21" s="300">
        <v>2.2999999999999998</v>
      </c>
      <c r="AL21" s="300">
        <v>2.2999999999999998</v>
      </c>
      <c r="AM21" s="300">
        <v>2.2999999999999998</v>
      </c>
      <c r="AN21" s="300">
        <v>2.2999999999999998</v>
      </c>
      <c r="AO21" s="255"/>
      <c r="AP21" s="254">
        <f t="shared" si="0"/>
        <v>0</v>
      </c>
      <c r="AQ21" s="255"/>
      <c r="AR21" s="254">
        <f t="shared" si="1"/>
        <v>0</v>
      </c>
      <c r="AS21" s="255"/>
      <c r="AT21" s="254">
        <f t="shared" si="2"/>
        <v>0</v>
      </c>
      <c r="AU21" s="256"/>
      <c r="AV21" s="257">
        <f t="shared" si="3"/>
        <v>0</v>
      </c>
      <c r="AW21" s="380">
        <v>253</v>
      </c>
      <c r="AX21" s="257">
        <f t="shared" si="4"/>
        <v>662.86</v>
      </c>
      <c r="AY21" s="268">
        <v>1080</v>
      </c>
      <c r="AZ21" s="257">
        <f t="shared" si="5"/>
        <v>2829.6</v>
      </c>
      <c r="BA21" s="268">
        <v>1320</v>
      </c>
      <c r="BB21" s="257">
        <f t="shared" si="6"/>
        <v>3115.2</v>
      </c>
      <c r="BC21" s="268">
        <v>1880</v>
      </c>
      <c r="BD21" s="257">
        <f t="shared" si="7"/>
        <v>4436.8</v>
      </c>
      <c r="BE21" s="268">
        <v>4939</v>
      </c>
      <c r="BF21" s="257">
        <f t="shared" si="8"/>
        <v>11359.699999999999</v>
      </c>
      <c r="BG21" s="268">
        <v>10439</v>
      </c>
      <c r="BH21" s="257">
        <f t="shared" si="9"/>
        <v>24009.699999999997</v>
      </c>
      <c r="BI21" s="268">
        <v>2908</v>
      </c>
      <c r="BJ21" s="257">
        <f t="shared" si="10"/>
        <v>6688.4</v>
      </c>
      <c r="BK21" s="268">
        <v>7828</v>
      </c>
      <c r="BL21" s="257">
        <f t="shared" si="11"/>
        <v>18004.399999999998</v>
      </c>
      <c r="BM21" s="1" t="s">
        <v>477</v>
      </c>
      <c r="BN21" s="1" t="s">
        <v>462</v>
      </c>
      <c r="BO21" s="1" t="s">
        <v>457</v>
      </c>
      <c r="BP21" s="1" t="s">
        <v>478</v>
      </c>
    </row>
    <row r="22" spans="1:68" ht="15" customHeight="1">
      <c r="A22" s="250" t="s">
        <v>451</v>
      </c>
      <c r="B22" s="59" t="s">
        <v>331</v>
      </c>
      <c r="C22" s="354" t="s">
        <v>172</v>
      </c>
      <c r="D22" s="424"/>
      <c r="E22" s="357" t="s">
        <v>332</v>
      </c>
      <c r="F22" s="427"/>
      <c r="G22" s="317">
        <v>2025</v>
      </c>
      <c r="H22" s="298" t="s">
        <v>473</v>
      </c>
      <c r="I22" s="315" t="s">
        <v>175</v>
      </c>
      <c r="J22" s="316">
        <v>14</v>
      </c>
      <c r="K22" s="298" t="s">
        <v>335</v>
      </c>
      <c r="L22" s="298" t="s">
        <v>336</v>
      </c>
      <c r="M22" s="300" t="s">
        <v>474</v>
      </c>
      <c r="N22" s="303">
        <v>4.55</v>
      </c>
      <c r="O22" s="303">
        <v>5.94</v>
      </c>
      <c r="P22" s="303">
        <v>6.16</v>
      </c>
      <c r="Q22" s="303">
        <v>6.16</v>
      </c>
      <c r="R22" s="303">
        <v>6.16</v>
      </c>
      <c r="S22" s="303">
        <v>6.16</v>
      </c>
      <c r="T22" s="303">
        <v>6.16</v>
      </c>
      <c r="U22" s="303">
        <v>6.16</v>
      </c>
      <c r="V22" s="303">
        <v>5.99</v>
      </c>
      <c r="W22" s="303">
        <v>5.99</v>
      </c>
      <c r="X22" s="303">
        <v>5.94</v>
      </c>
      <c r="Y22" s="303">
        <v>5.94</v>
      </c>
      <c r="Z22" s="303">
        <v>5.94</v>
      </c>
      <c r="AA22" s="303">
        <v>5.94</v>
      </c>
      <c r="AB22" s="303">
        <v>1.44</v>
      </c>
      <c r="AC22" s="303">
        <v>1.61</v>
      </c>
      <c r="AD22" s="303">
        <v>1.61</v>
      </c>
      <c r="AE22" s="303">
        <v>1.61</v>
      </c>
      <c r="AF22" s="303">
        <v>1.61</v>
      </c>
      <c r="AG22" s="303">
        <v>1.61</v>
      </c>
      <c r="AH22" s="303">
        <v>1.61</v>
      </c>
      <c r="AI22" s="303">
        <v>1.44</v>
      </c>
      <c r="AJ22" s="303">
        <v>1.44</v>
      </c>
      <c r="AK22" s="303">
        <v>1.49</v>
      </c>
      <c r="AL22" s="303">
        <v>1.49</v>
      </c>
      <c r="AM22" s="303">
        <v>1.49</v>
      </c>
      <c r="AN22" s="303">
        <v>1.49</v>
      </c>
      <c r="AO22" s="255"/>
      <c r="AP22" s="254">
        <f t="shared" si="0"/>
        <v>0</v>
      </c>
      <c r="AQ22" s="255"/>
      <c r="AR22" s="254">
        <f t="shared" si="1"/>
        <v>0</v>
      </c>
      <c r="AS22" s="255"/>
      <c r="AT22" s="254">
        <f t="shared" si="2"/>
        <v>0</v>
      </c>
      <c r="AU22" s="256"/>
      <c r="AV22" s="257">
        <f t="shared" si="3"/>
        <v>0</v>
      </c>
      <c r="AW22" s="380">
        <v>168</v>
      </c>
      <c r="AX22" s="257">
        <f t="shared" si="4"/>
        <v>270.48</v>
      </c>
      <c r="AY22" s="268">
        <v>40</v>
      </c>
      <c r="AZ22" s="257">
        <f t="shared" si="5"/>
        <v>64.400000000000006</v>
      </c>
      <c r="BA22" s="268">
        <v>80</v>
      </c>
      <c r="BB22" s="257">
        <f t="shared" si="6"/>
        <v>115.19999999999999</v>
      </c>
      <c r="BC22" s="268">
        <v>320</v>
      </c>
      <c r="BD22" s="257">
        <f t="shared" si="7"/>
        <v>460.79999999999995</v>
      </c>
      <c r="BE22" s="268">
        <v>880</v>
      </c>
      <c r="BF22" s="257">
        <f t="shared" si="8"/>
        <v>1311.2</v>
      </c>
      <c r="BG22" s="268">
        <v>1338</v>
      </c>
      <c r="BH22" s="257">
        <f t="shared" si="9"/>
        <v>1993.62</v>
      </c>
      <c r="BI22" s="268">
        <v>279</v>
      </c>
      <c r="BJ22" s="257">
        <f t="shared" si="10"/>
        <v>415.71</v>
      </c>
      <c r="BK22" s="268">
        <v>679</v>
      </c>
      <c r="BL22" s="257">
        <f t="shared" si="11"/>
        <v>1011.71</v>
      </c>
      <c r="BM22" s="1" t="s">
        <v>479</v>
      </c>
      <c r="BO22" s="1" t="s">
        <v>457</v>
      </c>
      <c r="BP22" s="1" t="s">
        <v>480</v>
      </c>
    </row>
    <row r="23" spans="1:68" ht="15" customHeight="1">
      <c r="A23" s="250" t="s">
        <v>451</v>
      </c>
      <c r="B23" s="59" t="s">
        <v>331</v>
      </c>
      <c r="C23" s="354" t="s">
        <v>172</v>
      </c>
      <c r="D23" s="424"/>
      <c r="E23" s="357" t="s">
        <v>332</v>
      </c>
      <c r="F23" s="427"/>
      <c r="G23" s="317">
        <v>2025</v>
      </c>
      <c r="H23" s="365" t="s">
        <v>481</v>
      </c>
      <c r="I23" s="315" t="s">
        <v>249</v>
      </c>
      <c r="J23" s="316">
        <v>16</v>
      </c>
      <c r="K23" s="298" t="s">
        <v>335</v>
      </c>
      <c r="L23" s="298" t="s">
        <v>336</v>
      </c>
      <c r="M23" s="300" t="s">
        <v>474</v>
      </c>
      <c r="N23" s="303">
        <v>7.52</v>
      </c>
      <c r="O23" s="303">
        <v>9.5299999999999994</v>
      </c>
      <c r="P23" s="303">
        <v>10.23</v>
      </c>
      <c r="Q23" s="303">
        <v>10.23</v>
      </c>
      <c r="R23" s="303">
        <v>10.23</v>
      </c>
      <c r="S23" s="303">
        <v>10.23</v>
      </c>
      <c r="T23" s="303">
        <v>10.23</v>
      </c>
      <c r="U23" s="303">
        <v>10.23</v>
      </c>
      <c r="V23" s="303">
        <v>9.9700000000000006</v>
      </c>
      <c r="W23" s="303">
        <v>9.9700000000000006</v>
      </c>
      <c r="X23" s="303">
        <v>9.5299999999999994</v>
      </c>
      <c r="Y23" s="303">
        <v>9.5299999999999994</v>
      </c>
      <c r="Z23" s="303">
        <v>9.5299999999999994</v>
      </c>
      <c r="AA23" s="303">
        <v>9.5299999999999994</v>
      </c>
      <c r="AB23" s="303">
        <v>2.11</v>
      </c>
      <c r="AC23" s="303">
        <v>2.71</v>
      </c>
      <c r="AD23" s="303">
        <v>2.71</v>
      </c>
      <c r="AE23" s="303">
        <v>2.71</v>
      </c>
      <c r="AF23" s="303">
        <v>2.71</v>
      </c>
      <c r="AG23" s="303">
        <v>2.71</v>
      </c>
      <c r="AH23" s="303">
        <v>2.71</v>
      </c>
      <c r="AI23" s="303">
        <v>2.4500000000000002</v>
      </c>
      <c r="AJ23" s="303">
        <v>2.4500000000000002</v>
      </c>
      <c r="AK23" s="303">
        <v>2.11</v>
      </c>
      <c r="AL23" s="303">
        <v>2.11</v>
      </c>
      <c r="AM23" s="303">
        <v>2.11</v>
      </c>
      <c r="AN23" s="303">
        <v>2.11</v>
      </c>
      <c r="AO23" s="255"/>
      <c r="AP23" s="254">
        <f t="shared" si="0"/>
        <v>0</v>
      </c>
      <c r="AQ23" s="255"/>
      <c r="AR23" s="254">
        <f t="shared" si="1"/>
        <v>0</v>
      </c>
      <c r="AS23" s="255"/>
      <c r="AT23" s="254">
        <f t="shared" si="2"/>
        <v>0</v>
      </c>
      <c r="AU23" s="256"/>
      <c r="AV23" s="257">
        <f t="shared" si="3"/>
        <v>0</v>
      </c>
      <c r="AW23" s="380"/>
      <c r="AX23" s="257">
        <f t="shared" si="4"/>
        <v>0</v>
      </c>
      <c r="AY23" s="268">
        <v>2000</v>
      </c>
      <c r="AZ23" s="257">
        <f t="shared" ref="AZ23:AZ24" si="12">AH23*AY23</f>
        <v>5420</v>
      </c>
      <c r="BA23" s="268">
        <v>3360</v>
      </c>
      <c r="BB23" s="257">
        <f t="shared" ref="BB23:BB24" si="13">AI23*BA23</f>
        <v>8232</v>
      </c>
      <c r="BC23" s="268">
        <v>5928</v>
      </c>
      <c r="BD23" s="257">
        <f t="shared" ref="BD23:BD24" si="14">AJ23*BC23</f>
        <v>14523.6</v>
      </c>
      <c r="BE23" s="268">
        <v>6384</v>
      </c>
      <c r="BF23" s="257">
        <f t="shared" si="8"/>
        <v>13470.24</v>
      </c>
      <c r="BG23" s="268">
        <v>12638</v>
      </c>
      <c r="BH23" s="257">
        <f t="shared" ref="BH23:BH24" si="15">AL23*BG23</f>
        <v>26666.179999999997</v>
      </c>
      <c r="BI23" s="268">
        <v>7503</v>
      </c>
      <c r="BJ23" s="257">
        <f t="shared" ref="BJ23:BJ24" si="16">AM23*BI23</f>
        <v>15831.33</v>
      </c>
      <c r="BK23" s="268">
        <v>500</v>
      </c>
      <c r="BL23" s="257">
        <f t="shared" ref="BL23:BL24" si="17">AN23*BK23</f>
        <v>1055</v>
      </c>
      <c r="BM23" s="1" t="s">
        <v>482</v>
      </c>
      <c r="BO23" s="1" t="s">
        <v>457</v>
      </c>
      <c r="BP23" s="1" t="s">
        <v>483</v>
      </c>
    </row>
    <row r="24" spans="1:68" ht="15" customHeight="1">
      <c r="A24" s="250" t="s">
        <v>451</v>
      </c>
      <c r="B24" s="59" t="s">
        <v>331</v>
      </c>
      <c r="C24" s="354" t="s">
        <v>172</v>
      </c>
      <c r="D24" s="424"/>
      <c r="E24" s="357" t="s">
        <v>332</v>
      </c>
      <c r="F24" s="427"/>
      <c r="G24" s="317">
        <v>2025</v>
      </c>
      <c r="H24" s="365" t="s">
        <v>481</v>
      </c>
      <c r="I24" s="315" t="s">
        <v>249</v>
      </c>
      <c r="J24" s="316">
        <v>16</v>
      </c>
      <c r="K24" s="298" t="s">
        <v>335</v>
      </c>
      <c r="L24" s="298" t="s">
        <v>336</v>
      </c>
      <c r="M24" s="300" t="s">
        <v>474</v>
      </c>
      <c r="N24" s="303">
        <v>7.52</v>
      </c>
      <c r="O24" s="303">
        <v>9.5299999999999994</v>
      </c>
      <c r="P24" s="303">
        <v>10.23</v>
      </c>
      <c r="Q24" s="303">
        <v>10.23</v>
      </c>
      <c r="R24" s="303">
        <v>10.23</v>
      </c>
      <c r="S24" s="303">
        <v>10.23</v>
      </c>
      <c r="T24" s="303">
        <v>10.23</v>
      </c>
      <c r="U24" s="303">
        <v>10.23</v>
      </c>
      <c r="V24" s="303">
        <v>9.9700000000000006</v>
      </c>
      <c r="W24" s="303">
        <v>9.9700000000000006</v>
      </c>
      <c r="X24" s="303">
        <v>9.5299999999999994</v>
      </c>
      <c r="Y24" s="303">
        <v>9.5299999999999994</v>
      </c>
      <c r="Z24" s="303">
        <v>9.5299999999999994</v>
      </c>
      <c r="AA24" s="303">
        <v>9.5299999999999994</v>
      </c>
      <c r="AB24" s="303">
        <v>2.11</v>
      </c>
      <c r="AC24" s="303">
        <v>2.71</v>
      </c>
      <c r="AD24" s="303">
        <v>2.71</v>
      </c>
      <c r="AE24" s="303">
        <v>2.71</v>
      </c>
      <c r="AF24" s="303">
        <v>2.71</v>
      </c>
      <c r="AG24" s="303">
        <v>2.71</v>
      </c>
      <c r="AH24" s="303">
        <v>2.71</v>
      </c>
      <c r="AI24" s="303">
        <v>2.4500000000000002</v>
      </c>
      <c r="AJ24" s="303">
        <v>2.4500000000000002</v>
      </c>
      <c r="AK24" s="303">
        <v>2.11</v>
      </c>
      <c r="AL24" s="303">
        <v>2.11</v>
      </c>
      <c r="AM24" s="303">
        <v>2.11</v>
      </c>
      <c r="AN24" s="303">
        <v>2.11</v>
      </c>
      <c r="AO24" s="255"/>
      <c r="AP24" s="254">
        <f t="shared" si="0"/>
        <v>0</v>
      </c>
      <c r="AQ24" s="255"/>
      <c r="AR24" s="254">
        <f t="shared" si="1"/>
        <v>0</v>
      </c>
      <c r="AS24" s="255"/>
      <c r="AT24" s="254">
        <f t="shared" si="2"/>
        <v>0</v>
      </c>
      <c r="AU24" s="256"/>
      <c r="AV24" s="257">
        <f t="shared" si="3"/>
        <v>0</v>
      </c>
      <c r="AW24" s="380"/>
      <c r="AX24" s="257">
        <f t="shared" si="4"/>
        <v>0</v>
      </c>
      <c r="AY24" s="268">
        <v>360</v>
      </c>
      <c r="AZ24" s="257">
        <f t="shared" si="12"/>
        <v>975.6</v>
      </c>
      <c r="BA24" s="268">
        <v>200</v>
      </c>
      <c r="BB24" s="257">
        <f t="shared" si="13"/>
        <v>490.00000000000006</v>
      </c>
      <c r="BC24" s="268">
        <v>560</v>
      </c>
      <c r="BD24" s="257">
        <f t="shared" si="14"/>
        <v>1372</v>
      </c>
      <c r="BE24" s="268">
        <v>575</v>
      </c>
      <c r="BF24" s="257">
        <f t="shared" si="8"/>
        <v>1213.25</v>
      </c>
      <c r="BG24" s="268">
        <v>960</v>
      </c>
      <c r="BH24" s="257">
        <f t="shared" si="15"/>
        <v>2025.6</v>
      </c>
      <c r="BI24" s="268">
        <v>520</v>
      </c>
      <c r="BJ24" s="257">
        <f t="shared" si="16"/>
        <v>1097.2</v>
      </c>
      <c r="BK24" s="268"/>
      <c r="BL24" s="257">
        <f t="shared" si="17"/>
        <v>0</v>
      </c>
      <c r="BM24" s="1" t="s">
        <v>484</v>
      </c>
      <c r="BN24" s="1" t="s">
        <v>462</v>
      </c>
      <c r="BO24" s="1" t="s">
        <v>457</v>
      </c>
      <c r="BP24" s="1" t="s">
        <v>485</v>
      </c>
    </row>
    <row r="25" spans="1:68" ht="15" customHeight="1">
      <c r="A25" s="250" t="s">
        <v>451</v>
      </c>
      <c r="B25" s="59" t="s">
        <v>331</v>
      </c>
      <c r="C25" s="354" t="s">
        <v>172</v>
      </c>
      <c r="D25" s="424"/>
      <c r="E25" s="357" t="s">
        <v>332</v>
      </c>
      <c r="F25" s="427"/>
      <c r="G25" s="317">
        <v>2025</v>
      </c>
      <c r="H25" s="366" t="s">
        <v>481</v>
      </c>
      <c r="I25" s="315" t="s">
        <v>175</v>
      </c>
      <c r="J25" s="316">
        <v>16</v>
      </c>
      <c r="K25" s="298" t="s">
        <v>335</v>
      </c>
      <c r="L25" s="298" t="s">
        <v>336</v>
      </c>
      <c r="M25" s="300" t="s">
        <v>474</v>
      </c>
      <c r="N25" s="303">
        <v>4.87</v>
      </c>
      <c r="O25" s="303">
        <v>6.49</v>
      </c>
      <c r="P25" s="303">
        <v>6.71</v>
      </c>
      <c r="Q25" s="303">
        <v>6.71</v>
      </c>
      <c r="R25" s="303">
        <v>6.71</v>
      </c>
      <c r="S25" s="303">
        <v>6.71</v>
      </c>
      <c r="T25" s="303">
        <v>6.71</v>
      </c>
      <c r="U25" s="303">
        <v>6.71</v>
      </c>
      <c r="V25" s="303">
        <v>6.54</v>
      </c>
      <c r="W25" s="303">
        <v>6.54</v>
      </c>
      <c r="X25" s="303">
        <v>6.49</v>
      </c>
      <c r="Y25" s="303">
        <v>6.49</v>
      </c>
      <c r="Z25" s="303">
        <v>6.49</v>
      </c>
      <c r="AA25" s="303">
        <v>6.49</v>
      </c>
      <c r="AB25" s="303">
        <v>1.67</v>
      </c>
      <c r="AC25" s="303">
        <v>1.84</v>
      </c>
      <c r="AD25" s="303">
        <v>1.84</v>
      </c>
      <c r="AE25" s="303">
        <v>1.84</v>
      </c>
      <c r="AF25" s="303">
        <v>1.84</v>
      </c>
      <c r="AG25" s="303">
        <v>1.84</v>
      </c>
      <c r="AH25" s="303">
        <v>1.84</v>
      </c>
      <c r="AI25" s="303">
        <v>1.67</v>
      </c>
      <c r="AJ25" s="303">
        <v>1.67</v>
      </c>
      <c r="AK25" s="303">
        <v>1.72</v>
      </c>
      <c r="AL25" s="303">
        <v>1.72</v>
      </c>
      <c r="AM25" s="303">
        <v>1.72</v>
      </c>
      <c r="AN25" s="303">
        <v>1.72</v>
      </c>
      <c r="AO25" s="255"/>
      <c r="AP25" s="254">
        <f t="shared" si="0"/>
        <v>0</v>
      </c>
      <c r="AQ25" s="255"/>
      <c r="AR25" s="254">
        <f t="shared" si="1"/>
        <v>0</v>
      </c>
      <c r="AS25" s="255"/>
      <c r="AT25" s="254">
        <f t="shared" si="2"/>
        <v>0</v>
      </c>
      <c r="AU25" s="256"/>
      <c r="AV25" s="257">
        <f t="shared" si="3"/>
        <v>0</v>
      </c>
      <c r="AW25" s="380">
        <v>48</v>
      </c>
      <c r="AX25" s="257">
        <f t="shared" si="4"/>
        <v>88.320000000000007</v>
      </c>
      <c r="AY25" s="268"/>
      <c r="AZ25" s="257">
        <f t="shared" si="5"/>
        <v>0</v>
      </c>
      <c r="BA25" s="268">
        <v>160</v>
      </c>
      <c r="BB25" s="257">
        <f t="shared" si="6"/>
        <v>267.2</v>
      </c>
      <c r="BC25" s="268">
        <v>80</v>
      </c>
      <c r="BD25" s="257">
        <f t="shared" si="7"/>
        <v>133.6</v>
      </c>
      <c r="BE25" s="268"/>
      <c r="BF25" s="257">
        <f t="shared" si="8"/>
        <v>0</v>
      </c>
      <c r="BG25" s="268">
        <v>720</v>
      </c>
      <c r="BH25" s="257">
        <f t="shared" si="9"/>
        <v>1238.4000000000001</v>
      </c>
      <c r="BI25" s="268">
        <v>404</v>
      </c>
      <c r="BJ25" s="257">
        <f t="shared" si="10"/>
        <v>694.88</v>
      </c>
      <c r="BK25" s="268"/>
      <c r="BL25" s="257">
        <f t="shared" si="11"/>
        <v>0</v>
      </c>
      <c r="BM25" s="1" t="s">
        <v>486</v>
      </c>
      <c r="BO25" s="1" t="s">
        <v>457</v>
      </c>
      <c r="BP25" s="1" t="s">
        <v>487</v>
      </c>
    </row>
    <row r="26" spans="1:68" ht="15" customHeight="1">
      <c r="A26" s="250" t="s">
        <v>451</v>
      </c>
      <c r="B26" s="59" t="s">
        <v>331</v>
      </c>
      <c r="C26" s="354" t="s">
        <v>172</v>
      </c>
      <c r="D26" s="424"/>
      <c r="E26" s="357" t="s">
        <v>332</v>
      </c>
      <c r="F26" s="427"/>
      <c r="G26" s="317">
        <v>2025</v>
      </c>
      <c r="H26" s="298" t="s">
        <v>473</v>
      </c>
      <c r="I26" s="315" t="s">
        <v>249</v>
      </c>
      <c r="J26" s="316">
        <v>14</v>
      </c>
      <c r="K26" s="298" t="s">
        <v>335</v>
      </c>
      <c r="L26" s="298" t="s">
        <v>464</v>
      </c>
      <c r="M26" s="300" t="s">
        <v>488</v>
      </c>
      <c r="N26" s="300">
        <v>7.2</v>
      </c>
      <c r="O26" s="300">
        <v>9.4</v>
      </c>
      <c r="P26" s="300">
        <v>9.82</v>
      </c>
      <c r="Q26" s="300">
        <v>9.82</v>
      </c>
      <c r="R26" s="300">
        <v>9.82</v>
      </c>
      <c r="S26" s="300">
        <v>9.82</v>
      </c>
      <c r="T26" s="300">
        <v>9.82</v>
      </c>
      <c r="U26" s="300">
        <v>9.82</v>
      </c>
      <c r="V26" s="300">
        <v>9.56</v>
      </c>
      <c r="W26" s="300">
        <v>9.56</v>
      </c>
      <c r="X26" s="300">
        <v>9.4</v>
      </c>
      <c r="Y26" s="300">
        <v>9.4</v>
      </c>
      <c r="Z26" s="300">
        <v>9.4</v>
      </c>
      <c r="AA26" s="300">
        <v>9.4</v>
      </c>
      <c r="AB26" s="300">
        <v>2.2999999999999998</v>
      </c>
      <c r="AC26" s="300">
        <v>2.62</v>
      </c>
      <c r="AD26" s="300">
        <v>2.62</v>
      </c>
      <c r="AE26" s="300">
        <v>2.62</v>
      </c>
      <c r="AF26" s="300">
        <v>2.62</v>
      </c>
      <c r="AG26" s="300">
        <v>2.62</v>
      </c>
      <c r="AH26" s="300">
        <v>2.62</v>
      </c>
      <c r="AI26" s="300">
        <v>2.36</v>
      </c>
      <c r="AJ26" s="300">
        <v>2.36</v>
      </c>
      <c r="AK26" s="300">
        <v>2.2999999999999998</v>
      </c>
      <c r="AL26" s="300">
        <v>2.2999999999999998</v>
      </c>
      <c r="AM26" s="300">
        <v>2.2999999999999998</v>
      </c>
      <c r="AN26" s="300">
        <v>2.2999999999999998</v>
      </c>
      <c r="AO26" s="255"/>
      <c r="AP26" s="254">
        <f t="shared" si="0"/>
        <v>0</v>
      </c>
      <c r="AQ26" s="255"/>
      <c r="AR26" s="254">
        <f t="shared" si="1"/>
        <v>0</v>
      </c>
      <c r="AS26" s="255"/>
      <c r="AT26" s="254">
        <f t="shared" si="2"/>
        <v>0</v>
      </c>
      <c r="AU26" s="256"/>
      <c r="AV26" s="257">
        <f t="shared" si="3"/>
        <v>0</v>
      </c>
      <c r="AW26" s="380"/>
      <c r="AX26" s="257">
        <f t="shared" si="4"/>
        <v>0</v>
      </c>
      <c r="AY26" s="268"/>
      <c r="AZ26" s="257">
        <f t="shared" si="5"/>
        <v>0</v>
      </c>
      <c r="BA26" s="268"/>
      <c r="BB26" s="257">
        <f t="shared" si="6"/>
        <v>0</v>
      </c>
      <c r="BC26" s="268">
        <v>1320</v>
      </c>
      <c r="BD26" s="257">
        <f t="shared" si="7"/>
        <v>3115.2</v>
      </c>
      <c r="BE26" s="268">
        <v>680</v>
      </c>
      <c r="BF26" s="257">
        <f t="shared" si="8"/>
        <v>1563.9999999999998</v>
      </c>
      <c r="BG26" s="268"/>
      <c r="BH26" s="257">
        <f t="shared" si="9"/>
        <v>0</v>
      </c>
      <c r="BI26" s="268"/>
      <c r="BJ26" s="257">
        <f t="shared" si="10"/>
        <v>0</v>
      </c>
      <c r="BK26" s="268"/>
      <c r="BL26" s="257">
        <f t="shared" si="11"/>
        <v>0</v>
      </c>
      <c r="BM26" s="1" t="s">
        <v>489</v>
      </c>
      <c r="BO26" s="1" t="s">
        <v>457</v>
      </c>
      <c r="BP26" s="1" t="s">
        <v>476</v>
      </c>
    </row>
    <row r="27" spans="1:68" ht="15" customHeight="1">
      <c r="A27" s="250" t="s">
        <v>451</v>
      </c>
      <c r="B27" s="59" t="s">
        <v>331</v>
      </c>
      <c r="C27" s="354" t="s">
        <v>172</v>
      </c>
      <c r="D27" s="424"/>
      <c r="E27" s="357" t="s">
        <v>332</v>
      </c>
      <c r="F27" s="427"/>
      <c r="G27" s="317">
        <v>2025</v>
      </c>
      <c r="H27" s="298" t="s">
        <v>473</v>
      </c>
      <c r="I27" s="315" t="s">
        <v>249</v>
      </c>
      <c r="J27" s="316">
        <v>14</v>
      </c>
      <c r="K27" s="298" t="s">
        <v>335</v>
      </c>
      <c r="L27" s="298" t="s">
        <v>464</v>
      </c>
      <c r="M27" s="300" t="s">
        <v>488</v>
      </c>
      <c r="N27" s="300">
        <v>7.2</v>
      </c>
      <c r="O27" s="300">
        <v>9.4</v>
      </c>
      <c r="P27" s="300">
        <v>9.82</v>
      </c>
      <c r="Q27" s="300">
        <v>9.82</v>
      </c>
      <c r="R27" s="300">
        <v>9.82</v>
      </c>
      <c r="S27" s="300">
        <v>9.82</v>
      </c>
      <c r="T27" s="300">
        <v>9.82</v>
      </c>
      <c r="U27" s="300">
        <v>9.82</v>
      </c>
      <c r="V27" s="300">
        <v>9.56</v>
      </c>
      <c r="W27" s="300">
        <v>9.56</v>
      </c>
      <c r="X27" s="300">
        <v>9.4</v>
      </c>
      <c r="Y27" s="300">
        <v>9.4</v>
      </c>
      <c r="Z27" s="300">
        <v>9.4</v>
      </c>
      <c r="AA27" s="300">
        <v>9.4</v>
      </c>
      <c r="AB27" s="300">
        <v>2.2999999999999998</v>
      </c>
      <c r="AC27" s="300">
        <v>2.62</v>
      </c>
      <c r="AD27" s="300">
        <v>2.62</v>
      </c>
      <c r="AE27" s="300">
        <v>2.62</v>
      </c>
      <c r="AF27" s="300">
        <v>2.62</v>
      </c>
      <c r="AG27" s="300">
        <v>2.62</v>
      </c>
      <c r="AH27" s="300">
        <v>2.62</v>
      </c>
      <c r="AI27" s="300">
        <v>2.36</v>
      </c>
      <c r="AJ27" s="300">
        <v>2.36</v>
      </c>
      <c r="AK27" s="300">
        <v>2.2999999999999998</v>
      </c>
      <c r="AL27" s="300">
        <v>2.2999999999999998</v>
      </c>
      <c r="AM27" s="300">
        <v>2.2999999999999998</v>
      </c>
      <c r="AN27" s="300">
        <v>2.2999999999999998</v>
      </c>
      <c r="AO27" s="255"/>
      <c r="AP27" s="254">
        <f t="shared" si="0"/>
        <v>0</v>
      </c>
      <c r="AQ27" s="255"/>
      <c r="AR27" s="254">
        <f t="shared" si="1"/>
        <v>0</v>
      </c>
      <c r="AS27" s="255"/>
      <c r="AT27" s="254">
        <f t="shared" si="2"/>
        <v>0</v>
      </c>
      <c r="AU27" s="256"/>
      <c r="AV27" s="257">
        <f t="shared" si="3"/>
        <v>0</v>
      </c>
      <c r="AW27" s="380"/>
      <c r="AX27" s="257">
        <f t="shared" si="4"/>
        <v>0</v>
      </c>
      <c r="AY27" s="268"/>
      <c r="AZ27" s="257">
        <f t="shared" si="5"/>
        <v>0</v>
      </c>
      <c r="BA27" s="268"/>
      <c r="BB27" s="257">
        <f t="shared" si="6"/>
        <v>0</v>
      </c>
      <c r="BC27" s="268">
        <v>440</v>
      </c>
      <c r="BD27" s="257">
        <f t="shared" si="7"/>
        <v>1038.3999999999999</v>
      </c>
      <c r="BE27" s="268">
        <v>240</v>
      </c>
      <c r="BF27" s="257">
        <f t="shared" si="8"/>
        <v>552</v>
      </c>
      <c r="BG27" s="268"/>
      <c r="BH27" s="257">
        <f t="shared" si="9"/>
        <v>0</v>
      </c>
      <c r="BI27" s="268"/>
      <c r="BJ27" s="257">
        <f t="shared" si="10"/>
        <v>0</v>
      </c>
      <c r="BK27" s="268"/>
      <c r="BL27" s="257">
        <f t="shared" si="11"/>
        <v>0</v>
      </c>
      <c r="BM27" s="1" t="s">
        <v>490</v>
      </c>
      <c r="BN27" s="1" t="s">
        <v>462</v>
      </c>
      <c r="BO27" s="1" t="s">
        <v>457</v>
      </c>
      <c r="BP27" s="1" t="s">
        <v>478</v>
      </c>
    </row>
    <row r="28" spans="1:68" ht="15" customHeight="1">
      <c r="A28" s="250" t="s">
        <v>451</v>
      </c>
      <c r="B28" s="59" t="s">
        <v>331</v>
      </c>
      <c r="C28" s="354" t="s">
        <v>172</v>
      </c>
      <c r="D28" s="424"/>
      <c r="E28" s="357" t="s">
        <v>332</v>
      </c>
      <c r="F28" s="427"/>
      <c r="G28" s="317">
        <v>2025</v>
      </c>
      <c r="H28" s="298" t="s">
        <v>473</v>
      </c>
      <c r="I28" s="315" t="s">
        <v>175</v>
      </c>
      <c r="J28" s="316">
        <v>14</v>
      </c>
      <c r="K28" s="298" t="s">
        <v>335</v>
      </c>
      <c r="L28" s="298" t="s">
        <v>464</v>
      </c>
      <c r="M28" s="300" t="s">
        <v>488</v>
      </c>
      <c r="N28" s="303">
        <v>4.55</v>
      </c>
      <c r="O28" s="303">
        <v>5.94</v>
      </c>
      <c r="P28" s="303">
        <v>6.16</v>
      </c>
      <c r="Q28" s="303">
        <v>6.16</v>
      </c>
      <c r="R28" s="303">
        <v>6.16</v>
      </c>
      <c r="S28" s="303">
        <v>6.16</v>
      </c>
      <c r="T28" s="303">
        <v>6.16</v>
      </c>
      <c r="U28" s="303">
        <v>6.16</v>
      </c>
      <c r="V28" s="303">
        <v>5.99</v>
      </c>
      <c r="W28" s="303">
        <v>5.99</v>
      </c>
      <c r="X28" s="303">
        <v>5.94</v>
      </c>
      <c r="Y28" s="303">
        <v>5.94</v>
      </c>
      <c r="Z28" s="303">
        <v>5.94</v>
      </c>
      <c r="AA28" s="303">
        <v>5.94</v>
      </c>
      <c r="AB28" s="303">
        <v>1.44</v>
      </c>
      <c r="AC28" s="303">
        <v>1.61</v>
      </c>
      <c r="AD28" s="303">
        <v>1.61</v>
      </c>
      <c r="AE28" s="303">
        <v>1.61</v>
      </c>
      <c r="AF28" s="303">
        <v>1.61</v>
      </c>
      <c r="AG28" s="303">
        <v>1.61</v>
      </c>
      <c r="AH28" s="303">
        <v>1.61</v>
      </c>
      <c r="AI28" s="303">
        <v>1.44</v>
      </c>
      <c r="AJ28" s="303">
        <v>1.44</v>
      </c>
      <c r="AK28" s="303">
        <v>1.49</v>
      </c>
      <c r="AL28" s="303">
        <v>1.49</v>
      </c>
      <c r="AM28" s="303">
        <v>1.49</v>
      </c>
      <c r="AN28" s="303">
        <v>1.49</v>
      </c>
      <c r="AO28" s="255"/>
      <c r="AP28" s="254">
        <f t="shared" si="0"/>
        <v>0</v>
      </c>
      <c r="AQ28" s="255"/>
      <c r="AR28" s="254">
        <f t="shared" si="1"/>
        <v>0</v>
      </c>
      <c r="AS28" s="255"/>
      <c r="AT28" s="254">
        <f t="shared" si="2"/>
        <v>0</v>
      </c>
      <c r="AU28" s="256"/>
      <c r="AV28" s="257">
        <f t="shared" si="3"/>
        <v>0</v>
      </c>
      <c r="AW28" s="380"/>
      <c r="AX28" s="257">
        <f t="shared" si="4"/>
        <v>0</v>
      </c>
      <c r="AY28" s="268"/>
      <c r="AZ28" s="257">
        <f t="shared" si="5"/>
        <v>0</v>
      </c>
      <c r="BA28" s="268"/>
      <c r="BB28" s="257">
        <f t="shared" si="6"/>
        <v>0</v>
      </c>
      <c r="BC28" s="268"/>
      <c r="BD28" s="257">
        <f t="shared" si="7"/>
        <v>0</v>
      </c>
      <c r="BE28" s="268"/>
      <c r="BF28" s="257">
        <f t="shared" si="8"/>
        <v>0</v>
      </c>
      <c r="BG28" s="268"/>
      <c r="BH28" s="257">
        <f t="shared" si="9"/>
        <v>0</v>
      </c>
      <c r="BI28" s="268"/>
      <c r="BJ28" s="257">
        <f t="shared" si="10"/>
        <v>0</v>
      </c>
      <c r="BK28" s="268"/>
      <c r="BL28" s="257">
        <f t="shared" si="11"/>
        <v>0</v>
      </c>
      <c r="BM28" s="1" t="s">
        <v>491</v>
      </c>
      <c r="BO28" s="1" t="s">
        <v>457</v>
      </c>
      <c r="BP28" s="1" t="s">
        <v>480</v>
      </c>
    </row>
    <row r="29" spans="1:68" ht="15" customHeight="1">
      <c r="A29" s="250" t="s">
        <v>451</v>
      </c>
      <c r="B29" s="59" t="s">
        <v>331</v>
      </c>
      <c r="C29" s="354" t="s">
        <v>172</v>
      </c>
      <c r="D29" s="424"/>
      <c r="E29" s="357" t="s">
        <v>332</v>
      </c>
      <c r="F29" s="427"/>
      <c r="G29" s="317">
        <v>2025</v>
      </c>
      <c r="H29" s="365" t="s">
        <v>481</v>
      </c>
      <c r="I29" s="315" t="s">
        <v>249</v>
      </c>
      <c r="J29" s="316">
        <v>16</v>
      </c>
      <c r="K29" s="298" t="s">
        <v>335</v>
      </c>
      <c r="L29" s="298" t="s">
        <v>464</v>
      </c>
      <c r="M29" s="300" t="s">
        <v>488</v>
      </c>
      <c r="N29" s="303">
        <v>7.52</v>
      </c>
      <c r="O29" s="303">
        <v>9.5299999999999994</v>
      </c>
      <c r="P29" s="303">
        <v>10.23</v>
      </c>
      <c r="Q29" s="303">
        <v>10.23</v>
      </c>
      <c r="R29" s="303">
        <v>10.23</v>
      </c>
      <c r="S29" s="303">
        <v>10.23</v>
      </c>
      <c r="T29" s="303">
        <v>10.23</v>
      </c>
      <c r="U29" s="303">
        <v>10.23</v>
      </c>
      <c r="V29" s="303">
        <v>9.9700000000000006</v>
      </c>
      <c r="W29" s="303">
        <v>9.9700000000000006</v>
      </c>
      <c r="X29" s="303">
        <v>9.5299999999999994</v>
      </c>
      <c r="Y29" s="303">
        <v>9.5299999999999994</v>
      </c>
      <c r="Z29" s="303">
        <v>9.5299999999999994</v>
      </c>
      <c r="AA29" s="303">
        <v>9.5299999999999994</v>
      </c>
      <c r="AB29" s="303">
        <v>2.11</v>
      </c>
      <c r="AC29" s="303">
        <v>2.71</v>
      </c>
      <c r="AD29" s="303">
        <v>2.71</v>
      </c>
      <c r="AE29" s="303">
        <v>2.71</v>
      </c>
      <c r="AF29" s="303">
        <v>2.71</v>
      </c>
      <c r="AG29" s="303">
        <v>2.71</v>
      </c>
      <c r="AH29" s="303">
        <v>2.71</v>
      </c>
      <c r="AI29" s="303">
        <v>2.4500000000000002</v>
      </c>
      <c r="AJ29" s="303">
        <v>2.4500000000000002</v>
      </c>
      <c r="AK29" s="303">
        <v>2.11</v>
      </c>
      <c r="AL29" s="303">
        <v>2.11</v>
      </c>
      <c r="AM29" s="303">
        <v>2.11</v>
      </c>
      <c r="AN29" s="303">
        <v>2.11</v>
      </c>
      <c r="AO29" s="255"/>
      <c r="AP29" s="254">
        <f t="shared" si="0"/>
        <v>0</v>
      </c>
      <c r="AQ29" s="255"/>
      <c r="AR29" s="254">
        <f t="shared" si="1"/>
        <v>0</v>
      </c>
      <c r="AS29" s="255"/>
      <c r="AT29" s="254">
        <f t="shared" si="2"/>
        <v>0</v>
      </c>
      <c r="AU29" s="256"/>
      <c r="AV29" s="257">
        <f t="shared" si="3"/>
        <v>0</v>
      </c>
      <c r="AW29" s="380"/>
      <c r="AX29" s="257">
        <f t="shared" si="4"/>
        <v>0</v>
      </c>
      <c r="AY29" s="268"/>
      <c r="AZ29" s="257">
        <f t="shared" si="5"/>
        <v>0</v>
      </c>
      <c r="BA29" s="268"/>
      <c r="BB29" s="257">
        <f t="shared" si="6"/>
        <v>0</v>
      </c>
      <c r="BC29" s="268">
        <v>2080</v>
      </c>
      <c r="BD29" s="257">
        <f t="shared" si="7"/>
        <v>5096</v>
      </c>
      <c r="BE29" s="268">
        <v>920</v>
      </c>
      <c r="BF29" s="257">
        <f t="shared" si="8"/>
        <v>1941.1999999999998</v>
      </c>
      <c r="BG29" s="268">
        <v>280</v>
      </c>
      <c r="BH29" s="257">
        <f t="shared" si="9"/>
        <v>590.79999999999995</v>
      </c>
      <c r="BI29" s="268"/>
      <c r="BJ29" s="257">
        <f t="shared" si="10"/>
        <v>0</v>
      </c>
      <c r="BK29" s="268"/>
      <c r="BL29" s="257">
        <f t="shared" si="11"/>
        <v>0</v>
      </c>
      <c r="BM29" s="1" t="s">
        <v>492</v>
      </c>
      <c r="BO29" s="1" t="s">
        <v>457</v>
      </c>
      <c r="BP29" s="1" t="s">
        <v>483</v>
      </c>
    </row>
    <row r="30" spans="1:68" ht="15" customHeight="1">
      <c r="A30" s="250" t="s">
        <v>451</v>
      </c>
      <c r="B30" s="59" t="s">
        <v>331</v>
      </c>
      <c r="C30" s="354" t="s">
        <v>172</v>
      </c>
      <c r="D30" s="424"/>
      <c r="E30" s="357" t="s">
        <v>332</v>
      </c>
      <c r="F30" s="427"/>
      <c r="G30" s="317">
        <v>2025</v>
      </c>
      <c r="H30" s="365" t="s">
        <v>481</v>
      </c>
      <c r="I30" s="315" t="s">
        <v>249</v>
      </c>
      <c r="J30" s="316">
        <v>16</v>
      </c>
      <c r="K30" s="298" t="s">
        <v>335</v>
      </c>
      <c r="L30" s="298" t="s">
        <v>464</v>
      </c>
      <c r="M30" s="300" t="s">
        <v>488</v>
      </c>
      <c r="N30" s="303">
        <v>7.52</v>
      </c>
      <c r="O30" s="303">
        <v>9.5299999999999994</v>
      </c>
      <c r="P30" s="303">
        <v>10.23</v>
      </c>
      <c r="Q30" s="303">
        <v>10.23</v>
      </c>
      <c r="R30" s="303">
        <v>10.23</v>
      </c>
      <c r="S30" s="303">
        <v>10.23</v>
      </c>
      <c r="T30" s="303">
        <v>10.23</v>
      </c>
      <c r="U30" s="303">
        <v>10.23</v>
      </c>
      <c r="V30" s="303">
        <v>9.9700000000000006</v>
      </c>
      <c r="W30" s="303">
        <v>9.9700000000000006</v>
      </c>
      <c r="X30" s="303">
        <v>9.5299999999999994</v>
      </c>
      <c r="Y30" s="303">
        <v>9.5299999999999994</v>
      </c>
      <c r="Z30" s="303">
        <v>9.5299999999999994</v>
      </c>
      <c r="AA30" s="303">
        <v>9.5299999999999994</v>
      </c>
      <c r="AB30" s="303">
        <v>2.11</v>
      </c>
      <c r="AC30" s="303">
        <v>2.71</v>
      </c>
      <c r="AD30" s="303">
        <v>2.71</v>
      </c>
      <c r="AE30" s="303">
        <v>2.71</v>
      </c>
      <c r="AF30" s="303">
        <v>2.71</v>
      </c>
      <c r="AG30" s="303">
        <v>2.71</v>
      </c>
      <c r="AH30" s="303">
        <v>2.71</v>
      </c>
      <c r="AI30" s="303">
        <v>2.4500000000000002</v>
      </c>
      <c r="AJ30" s="303">
        <v>2.4500000000000002</v>
      </c>
      <c r="AK30" s="303">
        <v>2.11</v>
      </c>
      <c r="AL30" s="303">
        <v>2.11</v>
      </c>
      <c r="AM30" s="303">
        <v>2.11</v>
      </c>
      <c r="AN30" s="303">
        <v>2.11</v>
      </c>
      <c r="AO30" s="255"/>
      <c r="AP30" s="254">
        <f t="shared" si="0"/>
        <v>0</v>
      </c>
      <c r="AQ30" s="255"/>
      <c r="AR30" s="254">
        <f t="shared" si="1"/>
        <v>0</v>
      </c>
      <c r="AS30" s="255"/>
      <c r="AT30" s="254">
        <f t="shared" si="2"/>
        <v>0</v>
      </c>
      <c r="AU30" s="256"/>
      <c r="AV30" s="257">
        <f t="shared" si="3"/>
        <v>0</v>
      </c>
      <c r="AW30" s="380"/>
      <c r="AX30" s="257">
        <f t="shared" si="4"/>
        <v>0</v>
      </c>
      <c r="AY30" s="268"/>
      <c r="AZ30" s="257">
        <f t="shared" si="5"/>
        <v>0</v>
      </c>
      <c r="BA30" s="268"/>
      <c r="BB30" s="257">
        <f t="shared" si="6"/>
        <v>0</v>
      </c>
      <c r="BC30" s="268"/>
      <c r="BD30" s="257">
        <f t="shared" si="7"/>
        <v>0</v>
      </c>
      <c r="BE30" s="268">
        <v>40</v>
      </c>
      <c r="BF30" s="257">
        <f t="shared" si="8"/>
        <v>84.399999999999991</v>
      </c>
      <c r="BG30" s="268">
        <v>160</v>
      </c>
      <c r="BH30" s="257">
        <f t="shared" si="9"/>
        <v>337.59999999999997</v>
      </c>
      <c r="BI30" s="268"/>
      <c r="BJ30" s="257">
        <f t="shared" si="10"/>
        <v>0</v>
      </c>
      <c r="BK30" s="268"/>
      <c r="BL30" s="257">
        <f t="shared" si="11"/>
        <v>0</v>
      </c>
      <c r="BM30" s="1" t="s">
        <v>493</v>
      </c>
      <c r="BN30" s="1" t="s">
        <v>462</v>
      </c>
      <c r="BO30" s="1" t="s">
        <v>457</v>
      </c>
      <c r="BP30" s="1" t="s">
        <v>485</v>
      </c>
    </row>
    <row r="31" spans="1:68" ht="15" customHeight="1">
      <c r="A31" s="250" t="s">
        <v>451</v>
      </c>
      <c r="B31" s="59" t="s">
        <v>331</v>
      </c>
      <c r="C31" s="354" t="s">
        <v>172</v>
      </c>
      <c r="D31" s="424"/>
      <c r="E31" s="357" t="s">
        <v>332</v>
      </c>
      <c r="F31" s="427"/>
      <c r="G31" s="317">
        <v>2025</v>
      </c>
      <c r="H31" s="366" t="s">
        <v>481</v>
      </c>
      <c r="I31" s="315" t="s">
        <v>175</v>
      </c>
      <c r="J31" s="316">
        <v>16</v>
      </c>
      <c r="K31" s="298" t="s">
        <v>335</v>
      </c>
      <c r="L31" s="298" t="s">
        <v>464</v>
      </c>
      <c r="M31" s="300" t="s">
        <v>488</v>
      </c>
      <c r="N31" s="303">
        <v>4.87</v>
      </c>
      <c r="O31" s="303">
        <v>6.49</v>
      </c>
      <c r="P31" s="303">
        <v>6.71</v>
      </c>
      <c r="Q31" s="303">
        <v>6.71</v>
      </c>
      <c r="R31" s="303">
        <v>6.71</v>
      </c>
      <c r="S31" s="303">
        <v>6.71</v>
      </c>
      <c r="T31" s="303">
        <v>6.71</v>
      </c>
      <c r="U31" s="303">
        <v>6.71</v>
      </c>
      <c r="V31" s="303">
        <v>6.54</v>
      </c>
      <c r="W31" s="303">
        <v>6.54</v>
      </c>
      <c r="X31" s="303">
        <v>6.49</v>
      </c>
      <c r="Y31" s="303">
        <v>6.49</v>
      </c>
      <c r="Z31" s="303">
        <v>6.49</v>
      </c>
      <c r="AA31" s="303">
        <v>6.49</v>
      </c>
      <c r="AB31" s="303">
        <v>1.67</v>
      </c>
      <c r="AC31" s="303">
        <v>1.84</v>
      </c>
      <c r="AD31" s="303">
        <v>1.84</v>
      </c>
      <c r="AE31" s="303">
        <v>1.84</v>
      </c>
      <c r="AF31" s="303">
        <v>1.84</v>
      </c>
      <c r="AG31" s="303">
        <v>1.84</v>
      </c>
      <c r="AH31" s="303">
        <v>1.84</v>
      </c>
      <c r="AI31" s="303">
        <v>1.67</v>
      </c>
      <c r="AJ31" s="303">
        <v>1.67</v>
      </c>
      <c r="AK31" s="303">
        <v>1.72</v>
      </c>
      <c r="AL31" s="303">
        <v>1.72</v>
      </c>
      <c r="AM31" s="303">
        <v>1.72</v>
      </c>
      <c r="AN31" s="303">
        <v>1.72</v>
      </c>
      <c r="AO31" s="255"/>
      <c r="AP31" s="254">
        <f t="shared" si="0"/>
        <v>0</v>
      </c>
      <c r="AQ31" s="255"/>
      <c r="AR31" s="254">
        <f t="shared" si="1"/>
        <v>0</v>
      </c>
      <c r="AS31" s="255"/>
      <c r="AT31" s="254">
        <f t="shared" si="2"/>
        <v>0</v>
      </c>
      <c r="AU31" s="256"/>
      <c r="AV31" s="257">
        <f t="shared" si="3"/>
        <v>0</v>
      </c>
      <c r="AW31" s="380"/>
      <c r="AX31" s="257">
        <f t="shared" si="4"/>
        <v>0</v>
      </c>
      <c r="AY31" s="268"/>
      <c r="AZ31" s="257">
        <f t="shared" si="5"/>
        <v>0</v>
      </c>
      <c r="BA31" s="268"/>
      <c r="BB31" s="257">
        <f t="shared" si="6"/>
        <v>0</v>
      </c>
      <c r="BC31" s="268"/>
      <c r="BD31" s="257">
        <f t="shared" si="7"/>
        <v>0</v>
      </c>
      <c r="BE31" s="268"/>
      <c r="BF31" s="257">
        <f t="shared" si="8"/>
        <v>0</v>
      </c>
      <c r="BG31" s="268"/>
      <c r="BH31" s="257">
        <f t="shared" si="9"/>
        <v>0</v>
      </c>
      <c r="BI31" s="268"/>
      <c r="BJ31" s="257">
        <f t="shared" si="10"/>
        <v>0</v>
      </c>
      <c r="BK31" s="268"/>
      <c r="BL31" s="257">
        <f t="shared" si="11"/>
        <v>0</v>
      </c>
      <c r="BM31" s="1" t="s">
        <v>494</v>
      </c>
      <c r="BO31" s="1" t="s">
        <v>457</v>
      </c>
      <c r="BP31" s="1" t="s">
        <v>487</v>
      </c>
    </row>
    <row r="32" spans="1:68" ht="15" customHeight="1">
      <c r="A32" s="250" t="s">
        <v>451</v>
      </c>
      <c r="B32" s="59" t="s">
        <v>331</v>
      </c>
      <c r="C32" s="354" t="s">
        <v>172</v>
      </c>
      <c r="D32" s="424"/>
      <c r="E32" s="357" t="s">
        <v>332</v>
      </c>
      <c r="F32" s="427"/>
      <c r="G32" s="317">
        <v>2025</v>
      </c>
      <c r="H32" s="298" t="s">
        <v>473</v>
      </c>
      <c r="I32" s="315" t="s">
        <v>249</v>
      </c>
      <c r="J32" s="316">
        <v>14</v>
      </c>
      <c r="K32" s="298" t="s">
        <v>335</v>
      </c>
      <c r="L32" s="298" t="s">
        <v>336</v>
      </c>
      <c r="M32" s="300" t="s">
        <v>474</v>
      </c>
      <c r="N32" s="303">
        <v>7.22</v>
      </c>
      <c r="O32" s="303">
        <v>9.42</v>
      </c>
      <c r="P32" s="303">
        <v>9.84</v>
      </c>
      <c r="Q32" s="303">
        <v>9.84</v>
      </c>
      <c r="R32" s="303">
        <v>9.84</v>
      </c>
      <c r="S32" s="303">
        <v>9.84</v>
      </c>
      <c r="T32" s="303">
        <v>9.84</v>
      </c>
      <c r="U32" s="303">
        <v>9.84</v>
      </c>
      <c r="V32" s="303">
        <v>9.58</v>
      </c>
      <c r="W32" s="303">
        <v>9.58</v>
      </c>
      <c r="X32" s="303">
        <v>9.42</v>
      </c>
      <c r="Y32" s="303">
        <v>9.42</v>
      </c>
      <c r="Z32" s="303">
        <v>9.42</v>
      </c>
      <c r="AA32" s="303">
        <v>9.42</v>
      </c>
      <c r="AB32" s="300">
        <v>2.2999999999999998</v>
      </c>
      <c r="AC32" s="300">
        <v>2.62</v>
      </c>
      <c r="AD32" s="300">
        <v>2.62</v>
      </c>
      <c r="AE32" s="300">
        <v>2.62</v>
      </c>
      <c r="AF32" s="300">
        <v>2.62</v>
      </c>
      <c r="AG32" s="300">
        <v>2.62</v>
      </c>
      <c r="AH32" s="300">
        <v>2.62</v>
      </c>
      <c r="AI32" s="300">
        <v>2.36</v>
      </c>
      <c r="AJ32" s="300">
        <v>2.36</v>
      </c>
      <c r="AK32" s="300">
        <v>2.2999999999999998</v>
      </c>
      <c r="AL32" s="300">
        <v>2.2999999999999998</v>
      </c>
      <c r="AM32" s="300">
        <v>2.2999999999999998</v>
      </c>
      <c r="AN32" s="300">
        <v>2.2999999999999998</v>
      </c>
      <c r="AO32" s="255"/>
      <c r="AP32" s="254">
        <f t="shared" si="0"/>
        <v>0</v>
      </c>
      <c r="AQ32" s="255"/>
      <c r="AR32" s="254">
        <f t="shared" si="1"/>
        <v>0</v>
      </c>
      <c r="AS32" s="255"/>
      <c r="AT32" s="254">
        <f t="shared" si="2"/>
        <v>0</v>
      </c>
      <c r="AU32" s="256"/>
      <c r="AV32" s="257">
        <f t="shared" si="3"/>
        <v>0</v>
      </c>
      <c r="AW32" s="380">
        <v>7540</v>
      </c>
      <c r="AX32" s="257">
        <f t="shared" si="4"/>
        <v>19754.8</v>
      </c>
      <c r="AY32" s="268">
        <v>15320</v>
      </c>
      <c r="AZ32" s="257">
        <f t="shared" si="5"/>
        <v>40138.400000000001</v>
      </c>
      <c r="BA32" s="268">
        <v>6360</v>
      </c>
      <c r="BB32" s="257">
        <f t="shared" si="6"/>
        <v>15009.599999999999</v>
      </c>
      <c r="BC32" s="268">
        <v>9560</v>
      </c>
      <c r="BD32" s="257">
        <f t="shared" si="7"/>
        <v>22561.599999999999</v>
      </c>
      <c r="BE32" s="268">
        <v>32840</v>
      </c>
      <c r="BF32" s="257">
        <f t="shared" si="8"/>
        <v>75532</v>
      </c>
      <c r="BG32" s="268">
        <v>21360</v>
      </c>
      <c r="BH32" s="257">
        <f t="shared" si="9"/>
        <v>49127.999999999993</v>
      </c>
      <c r="BI32" s="268">
        <v>2760</v>
      </c>
      <c r="BJ32" s="257">
        <f t="shared" si="10"/>
        <v>6347.9999999999991</v>
      </c>
      <c r="BK32" s="268">
        <v>5000</v>
      </c>
      <c r="BL32" s="257">
        <f t="shared" si="11"/>
        <v>11500</v>
      </c>
      <c r="BM32" s="1" t="s">
        <v>495</v>
      </c>
      <c r="BN32" s="1" t="s">
        <v>496</v>
      </c>
      <c r="BO32" s="1" t="s">
        <v>457</v>
      </c>
      <c r="BP32" s="1" t="s">
        <v>476</v>
      </c>
    </row>
    <row r="33" spans="1:68" ht="15" customHeight="1">
      <c r="A33" s="250" t="s">
        <v>451</v>
      </c>
      <c r="B33" s="59" t="s">
        <v>331</v>
      </c>
      <c r="C33" s="354" t="s">
        <v>172</v>
      </c>
      <c r="D33" s="424"/>
      <c r="E33" s="357" t="s">
        <v>332</v>
      </c>
      <c r="F33" s="427"/>
      <c r="G33" s="317">
        <v>2025</v>
      </c>
      <c r="H33" s="298" t="s">
        <v>473</v>
      </c>
      <c r="I33" s="315" t="s">
        <v>249</v>
      </c>
      <c r="J33" s="316">
        <v>14</v>
      </c>
      <c r="K33" s="298" t="s">
        <v>335</v>
      </c>
      <c r="L33" s="298" t="s">
        <v>336</v>
      </c>
      <c r="M33" s="300" t="s">
        <v>474</v>
      </c>
      <c r="N33" s="303">
        <v>7.22</v>
      </c>
      <c r="O33" s="303">
        <v>9.42</v>
      </c>
      <c r="P33" s="303">
        <v>9.84</v>
      </c>
      <c r="Q33" s="303">
        <v>9.84</v>
      </c>
      <c r="R33" s="303">
        <v>9.84</v>
      </c>
      <c r="S33" s="303">
        <v>9.84</v>
      </c>
      <c r="T33" s="303">
        <v>9.84</v>
      </c>
      <c r="U33" s="303">
        <v>9.84</v>
      </c>
      <c r="V33" s="303">
        <v>9.58</v>
      </c>
      <c r="W33" s="303">
        <v>9.58</v>
      </c>
      <c r="X33" s="303">
        <v>9.42</v>
      </c>
      <c r="Y33" s="303">
        <v>9.42</v>
      </c>
      <c r="Z33" s="303">
        <v>9.42</v>
      </c>
      <c r="AA33" s="303">
        <v>9.42</v>
      </c>
      <c r="AB33" s="300">
        <v>2.2999999999999998</v>
      </c>
      <c r="AC33" s="300">
        <v>2.62</v>
      </c>
      <c r="AD33" s="300">
        <v>2.62</v>
      </c>
      <c r="AE33" s="300">
        <v>2.62</v>
      </c>
      <c r="AF33" s="300">
        <v>2.62</v>
      </c>
      <c r="AG33" s="300">
        <v>2.62</v>
      </c>
      <c r="AH33" s="300">
        <v>2.62</v>
      </c>
      <c r="AI33" s="300">
        <v>2.36</v>
      </c>
      <c r="AJ33" s="300">
        <v>2.36</v>
      </c>
      <c r="AK33" s="300">
        <v>2.2999999999999998</v>
      </c>
      <c r="AL33" s="300">
        <v>2.2999999999999998</v>
      </c>
      <c r="AM33" s="300">
        <v>2.2999999999999998</v>
      </c>
      <c r="AN33" s="300">
        <v>2.2999999999999998</v>
      </c>
      <c r="AO33" s="255"/>
      <c r="AP33" s="254">
        <f t="shared" si="0"/>
        <v>0</v>
      </c>
      <c r="AQ33" s="255"/>
      <c r="AR33" s="254">
        <f t="shared" si="1"/>
        <v>0</v>
      </c>
      <c r="AS33" s="255"/>
      <c r="AT33" s="254">
        <f t="shared" si="2"/>
        <v>0</v>
      </c>
      <c r="AU33" s="256"/>
      <c r="AV33" s="257">
        <f t="shared" si="3"/>
        <v>0</v>
      </c>
      <c r="AW33" s="380">
        <v>560</v>
      </c>
      <c r="AX33" s="257">
        <f t="shared" si="4"/>
        <v>1467.2</v>
      </c>
      <c r="AY33" s="268">
        <v>2720</v>
      </c>
      <c r="AZ33" s="257">
        <f t="shared" si="5"/>
        <v>7126.4000000000005</v>
      </c>
      <c r="BA33" s="268">
        <v>600</v>
      </c>
      <c r="BB33" s="257">
        <f t="shared" si="6"/>
        <v>1416</v>
      </c>
      <c r="BC33" s="268">
        <v>3920</v>
      </c>
      <c r="BD33" s="257">
        <f t="shared" si="7"/>
        <v>9251.1999999999989</v>
      </c>
      <c r="BE33" s="268">
        <v>10320</v>
      </c>
      <c r="BF33" s="257">
        <f t="shared" si="8"/>
        <v>23735.999999999996</v>
      </c>
      <c r="BG33" s="268">
        <v>480</v>
      </c>
      <c r="BH33" s="257">
        <f t="shared" si="9"/>
        <v>1104</v>
      </c>
      <c r="BI33" s="268">
        <v>640</v>
      </c>
      <c r="BJ33" s="257">
        <f t="shared" si="10"/>
        <v>1472</v>
      </c>
      <c r="BK33" s="268">
        <v>1198</v>
      </c>
      <c r="BL33" s="257">
        <f t="shared" si="11"/>
        <v>2755.3999999999996</v>
      </c>
      <c r="BM33" s="1" t="s">
        <v>497</v>
      </c>
      <c r="BN33" s="1" t="s">
        <v>496</v>
      </c>
      <c r="BO33" s="1" t="s">
        <v>457</v>
      </c>
      <c r="BP33" s="1" t="s">
        <v>478</v>
      </c>
    </row>
    <row r="34" spans="1:68" ht="15" customHeight="1">
      <c r="A34" s="250" t="s">
        <v>451</v>
      </c>
      <c r="B34" s="59" t="s">
        <v>331</v>
      </c>
      <c r="C34" s="354" t="s">
        <v>172</v>
      </c>
      <c r="D34" s="424"/>
      <c r="E34" s="357" t="s">
        <v>332</v>
      </c>
      <c r="F34" s="427"/>
      <c r="G34" s="317">
        <v>2025</v>
      </c>
      <c r="H34" s="298" t="s">
        <v>473</v>
      </c>
      <c r="I34" s="315" t="s">
        <v>175</v>
      </c>
      <c r="J34" s="316">
        <v>14</v>
      </c>
      <c r="K34" s="298" t="s">
        <v>335</v>
      </c>
      <c r="L34" s="298" t="s">
        <v>336</v>
      </c>
      <c r="M34" s="300" t="s">
        <v>474</v>
      </c>
      <c r="N34" s="303">
        <v>4.57</v>
      </c>
      <c r="O34" s="303">
        <v>5.96</v>
      </c>
      <c r="P34" s="303">
        <v>6.18</v>
      </c>
      <c r="Q34" s="303">
        <v>6.18</v>
      </c>
      <c r="R34" s="303">
        <v>6.18</v>
      </c>
      <c r="S34" s="303">
        <v>6.18</v>
      </c>
      <c r="T34" s="303">
        <v>6.18</v>
      </c>
      <c r="U34" s="303">
        <v>6.18</v>
      </c>
      <c r="V34" s="303">
        <v>6.01</v>
      </c>
      <c r="W34" s="303">
        <v>6.01</v>
      </c>
      <c r="X34" s="303">
        <v>5.96</v>
      </c>
      <c r="Y34" s="303">
        <v>5.96</v>
      </c>
      <c r="Z34" s="303">
        <v>5.96</v>
      </c>
      <c r="AA34" s="303">
        <v>5.96</v>
      </c>
      <c r="AB34" s="303">
        <v>1.44</v>
      </c>
      <c r="AC34" s="303">
        <v>1.61</v>
      </c>
      <c r="AD34" s="303">
        <v>1.61</v>
      </c>
      <c r="AE34" s="303">
        <v>1.61</v>
      </c>
      <c r="AF34" s="303">
        <v>1.61</v>
      </c>
      <c r="AG34" s="303">
        <v>1.61</v>
      </c>
      <c r="AH34" s="303">
        <v>1.61</v>
      </c>
      <c r="AI34" s="303">
        <v>1.44</v>
      </c>
      <c r="AJ34" s="303">
        <v>1.44</v>
      </c>
      <c r="AK34" s="303">
        <v>1.49</v>
      </c>
      <c r="AL34" s="303">
        <v>1.49</v>
      </c>
      <c r="AM34" s="303">
        <v>1.49</v>
      </c>
      <c r="AN34" s="303">
        <v>1.49</v>
      </c>
      <c r="AO34" s="255"/>
      <c r="AP34" s="254">
        <f t="shared" si="0"/>
        <v>0</v>
      </c>
      <c r="AQ34" s="255"/>
      <c r="AR34" s="254">
        <f t="shared" si="1"/>
        <v>0</v>
      </c>
      <c r="AS34" s="255"/>
      <c r="AT34" s="254">
        <f t="shared" si="2"/>
        <v>0</v>
      </c>
      <c r="AU34" s="256"/>
      <c r="AV34" s="257">
        <f t="shared" si="3"/>
        <v>0</v>
      </c>
      <c r="AW34" s="380">
        <v>200</v>
      </c>
      <c r="AX34" s="257">
        <f t="shared" si="4"/>
        <v>322</v>
      </c>
      <c r="AY34" s="268">
        <v>600</v>
      </c>
      <c r="AZ34" s="257">
        <f t="shared" si="5"/>
        <v>966.00000000000011</v>
      </c>
      <c r="BA34" s="268">
        <v>120</v>
      </c>
      <c r="BB34" s="257">
        <f t="shared" si="6"/>
        <v>172.79999999999998</v>
      </c>
      <c r="BC34" s="268">
        <v>80</v>
      </c>
      <c r="BD34" s="257">
        <f t="shared" si="7"/>
        <v>115.19999999999999</v>
      </c>
      <c r="BE34" s="268">
        <v>480</v>
      </c>
      <c r="BF34" s="257">
        <f t="shared" si="8"/>
        <v>715.2</v>
      </c>
      <c r="BG34" s="268">
        <v>280</v>
      </c>
      <c r="BH34" s="257">
        <f t="shared" si="9"/>
        <v>417.2</v>
      </c>
      <c r="BI34" s="268">
        <v>320</v>
      </c>
      <c r="BJ34" s="257">
        <f t="shared" si="10"/>
        <v>476.8</v>
      </c>
      <c r="BK34" s="268">
        <v>80</v>
      </c>
      <c r="BL34" s="257">
        <f t="shared" si="11"/>
        <v>119.2</v>
      </c>
      <c r="BM34" s="1" t="s">
        <v>498</v>
      </c>
      <c r="BN34" s="1" t="s">
        <v>496</v>
      </c>
      <c r="BO34" s="1" t="s">
        <v>457</v>
      </c>
      <c r="BP34" s="1" t="s">
        <v>480</v>
      </c>
    </row>
    <row r="35" spans="1:68" ht="15" customHeight="1">
      <c r="A35" s="250" t="s">
        <v>451</v>
      </c>
      <c r="B35" s="59" t="s">
        <v>331</v>
      </c>
      <c r="C35" s="354" t="s">
        <v>172</v>
      </c>
      <c r="D35" s="424"/>
      <c r="E35" s="357" t="s">
        <v>332</v>
      </c>
      <c r="F35" s="427"/>
      <c r="G35" s="317">
        <v>2025</v>
      </c>
      <c r="H35" s="365" t="s">
        <v>481</v>
      </c>
      <c r="I35" s="315" t="s">
        <v>249</v>
      </c>
      <c r="J35" s="316">
        <v>16</v>
      </c>
      <c r="K35" s="298" t="s">
        <v>335</v>
      </c>
      <c r="L35" s="298" t="s">
        <v>336</v>
      </c>
      <c r="M35" s="300" t="s">
        <v>474</v>
      </c>
      <c r="N35" s="303">
        <v>7.54</v>
      </c>
      <c r="O35" s="303">
        <v>9.5500000000000007</v>
      </c>
      <c r="P35" s="303">
        <v>10.25</v>
      </c>
      <c r="Q35" s="303">
        <v>10.25</v>
      </c>
      <c r="R35" s="303">
        <v>10.25</v>
      </c>
      <c r="S35" s="303">
        <v>10.25</v>
      </c>
      <c r="T35" s="303">
        <v>10.25</v>
      </c>
      <c r="U35" s="303">
        <v>10.25</v>
      </c>
      <c r="V35" s="303">
        <v>9.99</v>
      </c>
      <c r="W35" s="303">
        <v>9.99</v>
      </c>
      <c r="X35" s="303">
        <v>9.5500000000000007</v>
      </c>
      <c r="Y35" s="303">
        <v>9.5500000000000007</v>
      </c>
      <c r="Z35" s="303">
        <v>9.5500000000000007</v>
      </c>
      <c r="AA35" s="303">
        <v>9.5500000000000007</v>
      </c>
      <c r="AB35" s="303">
        <v>2.11</v>
      </c>
      <c r="AC35" s="303">
        <v>2.71</v>
      </c>
      <c r="AD35" s="303">
        <v>2.71</v>
      </c>
      <c r="AE35" s="303">
        <v>2.71</v>
      </c>
      <c r="AF35" s="303">
        <v>2.71</v>
      </c>
      <c r="AG35" s="303">
        <v>2.71</v>
      </c>
      <c r="AH35" s="303">
        <v>2.71</v>
      </c>
      <c r="AI35" s="303">
        <v>2.4500000000000002</v>
      </c>
      <c r="AJ35" s="303">
        <v>2.4500000000000002</v>
      </c>
      <c r="AK35" s="303">
        <v>2.11</v>
      </c>
      <c r="AL35" s="303">
        <v>2.11</v>
      </c>
      <c r="AM35" s="303">
        <v>2.11</v>
      </c>
      <c r="AN35" s="303">
        <v>2.11</v>
      </c>
      <c r="AO35" s="255"/>
      <c r="AP35" s="254">
        <f t="shared" si="0"/>
        <v>0</v>
      </c>
      <c r="AQ35" s="255"/>
      <c r="AR35" s="254">
        <f t="shared" si="1"/>
        <v>0</v>
      </c>
      <c r="AS35" s="255"/>
      <c r="AT35" s="254">
        <f t="shared" si="2"/>
        <v>0</v>
      </c>
      <c r="AU35" s="256"/>
      <c r="AV35" s="257">
        <f t="shared" si="3"/>
        <v>0</v>
      </c>
      <c r="AW35" s="380">
        <v>1180</v>
      </c>
      <c r="AX35" s="257">
        <f t="shared" si="4"/>
        <v>3197.8</v>
      </c>
      <c r="AY35" s="268">
        <v>5720</v>
      </c>
      <c r="AZ35" s="257">
        <f t="shared" si="5"/>
        <v>15501.199999999999</v>
      </c>
      <c r="BA35" s="268">
        <v>3000</v>
      </c>
      <c r="BB35" s="257">
        <f t="shared" si="6"/>
        <v>7350.0000000000009</v>
      </c>
      <c r="BC35" s="268">
        <v>3320</v>
      </c>
      <c r="BD35" s="257">
        <f t="shared" si="7"/>
        <v>8134.0000000000009</v>
      </c>
      <c r="BE35" s="268">
        <v>16520</v>
      </c>
      <c r="BF35" s="257">
        <f t="shared" si="8"/>
        <v>34857.199999999997</v>
      </c>
      <c r="BG35" s="268">
        <v>3000</v>
      </c>
      <c r="BH35" s="257">
        <f t="shared" si="9"/>
        <v>6330</v>
      </c>
      <c r="BI35" s="268">
        <v>5000</v>
      </c>
      <c r="BJ35" s="257">
        <f t="shared" si="10"/>
        <v>10550</v>
      </c>
      <c r="BK35" s="268"/>
      <c r="BL35" s="257">
        <f t="shared" si="11"/>
        <v>0</v>
      </c>
      <c r="BM35" s="1" t="s">
        <v>499</v>
      </c>
      <c r="BN35" s="1" t="s">
        <v>496</v>
      </c>
      <c r="BO35" s="1" t="s">
        <v>457</v>
      </c>
      <c r="BP35" s="1" t="s">
        <v>483</v>
      </c>
    </row>
    <row r="36" spans="1:68" ht="15" customHeight="1">
      <c r="A36" s="250" t="s">
        <v>451</v>
      </c>
      <c r="B36" s="59" t="s">
        <v>331</v>
      </c>
      <c r="C36" s="354" t="s">
        <v>172</v>
      </c>
      <c r="D36" s="424"/>
      <c r="E36" s="357" t="s">
        <v>332</v>
      </c>
      <c r="F36" s="427"/>
      <c r="G36" s="317">
        <v>2025</v>
      </c>
      <c r="H36" s="365" t="s">
        <v>481</v>
      </c>
      <c r="I36" s="315" t="s">
        <v>249</v>
      </c>
      <c r="J36" s="316">
        <v>16</v>
      </c>
      <c r="K36" s="298" t="s">
        <v>335</v>
      </c>
      <c r="L36" s="298" t="s">
        <v>336</v>
      </c>
      <c r="M36" s="300" t="s">
        <v>474</v>
      </c>
      <c r="N36" s="303">
        <v>7.54</v>
      </c>
      <c r="O36" s="303">
        <v>9.5500000000000007</v>
      </c>
      <c r="P36" s="303">
        <v>10.25</v>
      </c>
      <c r="Q36" s="303">
        <v>10.25</v>
      </c>
      <c r="R36" s="303">
        <v>10.25</v>
      </c>
      <c r="S36" s="303">
        <v>10.25</v>
      </c>
      <c r="T36" s="303">
        <v>10.25</v>
      </c>
      <c r="U36" s="303">
        <v>10.25</v>
      </c>
      <c r="V36" s="303">
        <v>9.99</v>
      </c>
      <c r="W36" s="303">
        <v>9.99</v>
      </c>
      <c r="X36" s="303">
        <v>9.5500000000000007</v>
      </c>
      <c r="Y36" s="303">
        <v>9.5500000000000007</v>
      </c>
      <c r="Z36" s="303">
        <v>9.5500000000000007</v>
      </c>
      <c r="AA36" s="303">
        <v>9.5500000000000007</v>
      </c>
      <c r="AB36" s="303">
        <v>2.11</v>
      </c>
      <c r="AC36" s="303">
        <v>2.71</v>
      </c>
      <c r="AD36" s="303">
        <v>2.71</v>
      </c>
      <c r="AE36" s="303">
        <v>2.71</v>
      </c>
      <c r="AF36" s="303">
        <v>2.71</v>
      </c>
      <c r="AG36" s="303">
        <v>2.71</v>
      </c>
      <c r="AH36" s="303">
        <v>2.71</v>
      </c>
      <c r="AI36" s="303">
        <v>2.4500000000000002</v>
      </c>
      <c r="AJ36" s="303">
        <v>2.4500000000000002</v>
      </c>
      <c r="AK36" s="303">
        <v>2.11</v>
      </c>
      <c r="AL36" s="303">
        <v>2.11</v>
      </c>
      <c r="AM36" s="303">
        <v>2.11</v>
      </c>
      <c r="AN36" s="303">
        <v>2.11</v>
      </c>
      <c r="AO36" s="255"/>
      <c r="AP36" s="254">
        <f t="shared" si="0"/>
        <v>0</v>
      </c>
      <c r="AQ36" s="255"/>
      <c r="AR36" s="254">
        <f t="shared" si="1"/>
        <v>0</v>
      </c>
      <c r="AS36" s="255"/>
      <c r="AT36" s="254">
        <f t="shared" si="2"/>
        <v>0</v>
      </c>
      <c r="AU36" s="256"/>
      <c r="AV36" s="257">
        <f t="shared" si="3"/>
        <v>0</v>
      </c>
      <c r="AW36" s="380">
        <v>120</v>
      </c>
      <c r="AX36" s="257">
        <f t="shared" si="4"/>
        <v>325.2</v>
      </c>
      <c r="AY36" s="268">
        <v>520</v>
      </c>
      <c r="AZ36" s="257">
        <f t="shared" si="5"/>
        <v>1409.2</v>
      </c>
      <c r="BA36" s="268"/>
      <c r="BB36" s="257">
        <f t="shared" si="6"/>
        <v>0</v>
      </c>
      <c r="BC36" s="268">
        <v>280</v>
      </c>
      <c r="BD36" s="257">
        <f t="shared" si="7"/>
        <v>686</v>
      </c>
      <c r="BE36" s="268">
        <v>520</v>
      </c>
      <c r="BF36" s="257">
        <f t="shared" si="8"/>
        <v>1097.2</v>
      </c>
      <c r="BG36" s="268">
        <v>720</v>
      </c>
      <c r="BH36" s="257">
        <f t="shared" si="9"/>
        <v>1519.1999999999998</v>
      </c>
      <c r="BI36" s="268">
        <v>400</v>
      </c>
      <c r="BJ36" s="257">
        <f t="shared" si="10"/>
        <v>844</v>
      </c>
      <c r="BK36" s="268"/>
      <c r="BL36" s="257">
        <f t="shared" si="11"/>
        <v>0</v>
      </c>
      <c r="BM36" s="1" t="s">
        <v>500</v>
      </c>
      <c r="BN36" s="1" t="s">
        <v>496</v>
      </c>
      <c r="BO36" s="1" t="s">
        <v>457</v>
      </c>
      <c r="BP36" s="1" t="s">
        <v>485</v>
      </c>
    </row>
    <row r="37" spans="1:68" ht="15" customHeight="1">
      <c r="A37" s="250" t="s">
        <v>451</v>
      </c>
      <c r="B37" s="59" t="s">
        <v>331</v>
      </c>
      <c r="C37" s="354" t="s">
        <v>172</v>
      </c>
      <c r="D37" s="424"/>
      <c r="E37" s="357" t="s">
        <v>332</v>
      </c>
      <c r="F37" s="427"/>
      <c r="G37" s="317">
        <v>2025</v>
      </c>
      <c r="H37" s="366" t="s">
        <v>481</v>
      </c>
      <c r="I37" s="315" t="s">
        <v>175</v>
      </c>
      <c r="J37" s="316">
        <v>16</v>
      </c>
      <c r="K37" s="298" t="s">
        <v>335</v>
      </c>
      <c r="L37" s="298" t="s">
        <v>336</v>
      </c>
      <c r="M37" s="300" t="s">
        <v>474</v>
      </c>
      <c r="N37" s="303">
        <v>4.8899999999999997</v>
      </c>
      <c r="O37" s="303">
        <v>6.51</v>
      </c>
      <c r="P37" s="303">
        <v>6.73</v>
      </c>
      <c r="Q37" s="303">
        <v>6.73</v>
      </c>
      <c r="R37" s="303">
        <v>6.73</v>
      </c>
      <c r="S37" s="303">
        <v>6.73</v>
      </c>
      <c r="T37" s="303">
        <v>6.73</v>
      </c>
      <c r="U37" s="303">
        <v>6.73</v>
      </c>
      <c r="V37" s="303">
        <v>6.56</v>
      </c>
      <c r="W37" s="303">
        <v>6.56</v>
      </c>
      <c r="X37" s="303">
        <v>6.51</v>
      </c>
      <c r="Y37" s="303">
        <v>6.51</v>
      </c>
      <c r="Z37" s="303">
        <v>6.51</v>
      </c>
      <c r="AA37" s="303">
        <v>6.51</v>
      </c>
      <c r="AB37" s="303">
        <v>1.67</v>
      </c>
      <c r="AC37" s="303">
        <v>1.84</v>
      </c>
      <c r="AD37" s="303">
        <v>1.84</v>
      </c>
      <c r="AE37" s="303">
        <v>1.84</v>
      </c>
      <c r="AF37" s="303">
        <v>1.84</v>
      </c>
      <c r="AG37" s="303">
        <v>1.84</v>
      </c>
      <c r="AH37" s="303">
        <v>1.84</v>
      </c>
      <c r="AI37" s="303">
        <v>1.67</v>
      </c>
      <c r="AJ37" s="303">
        <v>1.67</v>
      </c>
      <c r="AK37" s="303">
        <v>1.72</v>
      </c>
      <c r="AL37" s="303">
        <v>1.72</v>
      </c>
      <c r="AM37" s="303">
        <v>1.72</v>
      </c>
      <c r="AN37" s="303">
        <v>1.72</v>
      </c>
      <c r="AO37" s="255"/>
      <c r="AP37" s="254">
        <f t="shared" si="0"/>
        <v>0</v>
      </c>
      <c r="AQ37" s="255"/>
      <c r="AR37" s="254">
        <f t="shared" si="1"/>
        <v>0</v>
      </c>
      <c r="AS37" s="255"/>
      <c r="AT37" s="254">
        <f t="shared" si="2"/>
        <v>0</v>
      </c>
      <c r="AU37" s="256"/>
      <c r="AV37" s="257">
        <f t="shared" si="3"/>
        <v>0</v>
      </c>
      <c r="AW37" s="380"/>
      <c r="AX37" s="257">
        <f t="shared" si="4"/>
        <v>0</v>
      </c>
      <c r="AY37" s="268"/>
      <c r="AZ37" s="257">
        <f t="shared" si="5"/>
        <v>0</v>
      </c>
      <c r="BA37" s="268">
        <v>120</v>
      </c>
      <c r="BB37" s="257">
        <f t="shared" si="6"/>
        <v>200.39999999999998</v>
      </c>
      <c r="BC37" s="268"/>
      <c r="BD37" s="257">
        <f t="shared" si="7"/>
        <v>0</v>
      </c>
      <c r="BE37" s="268">
        <v>160</v>
      </c>
      <c r="BF37" s="257">
        <f t="shared" si="8"/>
        <v>275.2</v>
      </c>
      <c r="BG37" s="268">
        <v>40</v>
      </c>
      <c r="BH37" s="257">
        <f t="shared" si="9"/>
        <v>68.8</v>
      </c>
      <c r="BI37" s="268">
        <v>80</v>
      </c>
      <c r="BJ37" s="257">
        <f t="shared" si="10"/>
        <v>137.6</v>
      </c>
      <c r="BK37" s="268"/>
      <c r="BL37" s="257">
        <f t="shared" si="11"/>
        <v>0</v>
      </c>
      <c r="BM37" s="1" t="s">
        <v>501</v>
      </c>
      <c r="BN37" s="1" t="s">
        <v>496</v>
      </c>
      <c r="BO37" s="1" t="s">
        <v>457</v>
      </c>
      <c r="BP37" s="1" t="s">
        <v>487</v>
      </c>
    </row>
    <row r="38" spans="1:68" ht="15" customHeight="1">
      <c r="A38" s="250"/>
      <c r="C38" s="354"/>
      <c r="D38" s="424"/>
      <c r="E38" s="357"/>
      <c r="F38" s="427"/>
      <c r="G38" s="59"/>
      <c r="H38" s="59"/>
      <c r="I38" s="59"/>
      <c r="J38" s="311"/>
      <c r="K38" s="59"/>
      <c r="L38" s="59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1"/>
      <c r="AD38" s="301"/>
      <c r="AE38" s="301"/>
      <c r="AF38" s="59"/>
      <c r="AG38" s="59"/>
      <c r="AH38" s="59"/>
      <c r="AI38" s="59"/>
      <c r="AJ38" s="59"/>
      <c r="AK38" s="59"/>
      <c r="AL38" s="59"/>
      <c r="AM38" s="59"/>
      <c r="AN38" s="59"/>
      <c r="AO38" s="255"/>
      <c r="AP38" s="254">
        <f t="shared" si="0"/>
        <v>0</v>
      </c>
      <c r="AQ38" s="255"/>
      <c r="AR38" s="254">
        <f t="shared" si="1"/>
        <v>0</v>
      </c>
      <c r="AS38" s="255"/>
      <c r="AT38" s="254">
        <f t="shared" si="2"/>
        <v>0</v>
      </c>
      <c r="AU38" s="256"/>
      <c r="AV38" s="257">
        <f t="shared" si="3"/>
        <v>0</v>
      </c>
      <c r="AW38" s="380"/>
      <c r="AX38" s="257">
        <f t="shared" si="4"/>
        <v>0</v>
      </c>
      <c r="AY38" s="268"/>
      <c r="AZ38" s="257">
        <f t="shared" si="5"/>
        <v>0</v>
      </c>
      <c r="BA38" s="256"/>
      <c r="BB38" s="257">
        <f t="shared" si="6"/>
        <v>0</v>
      </c>
      <c r="BC38" s="268"/>
      <c r="BD38" s="257">
        <f t="shared" si="7"/>
        <v>0</v>
      </c>
      <c r="BE38" s="268"/>
      <c r="BF38" s="257">
        <f t="shared" si="8"/>
        <v>0</v>
      </c>
      <c r="BG38" s="59"/>
      <c r="BH38" s="257">
        <f t="shared" si="9"/>
        <v>0</v>
      </c>
      <c r="BI38" s="268"/>
      <c r="BJ38" s="257">
        <f t="shared" si="10"/>
        <v>0</v>
      </c>
      <c r="BK38" s="268"/>
      <c r="BL38" s="257">
        <f t="shared" si="11"/>
        <v>0</v>
      </c>
    </row>
    <row r="39" spans="1:68" ht="15" customHeight="1">
      <c r="A39" s="250"/>
      <c r="C39" s="354"/>
      <c r="D39" s="424"/>
      <c r="E39" s="357"/>
      <c r="F39" s="427"/>
      <c r="G39" s="59"/>
      <c r="H39" s="59"/>
      <c r="I39" s="59"/>
      <c r="J39" s="311"/>
      <c r="K39" s="59"/>
      <c r="L39" s="59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1"/>
      <c r="AD39" s="301"/>
      <c r="AE39" s="301"/>
      <c r="AF39" s="59"/>
      <c r="AG39" s="59"/>
      <c r="AH39" s="59"/>
      <c r="AI39" s="59"/>
      <c r="AJ39" s="59"/>
      <c r="AK39" s="59"/>
      <c r="AL39" s="59"/>
      <c r="AM39" s="59"/>
      <c r="AN39" s="59"/>
      <c r="AO39" s="255"/>
      <c r="AP39" s="254">
        <f t="shared" si="0"/>
        <v>0</v>
      </c>
      <c r="AQ39" s="255"/>
      <c r="AR39" s="254">
        <f t="shared" si="1"/>
        <v>0</v>
      </c>
      <c r="AS39" s="255"/>
      <c r="AT39" s="254">
        <f t="shared" si="2"/>
        <v>0</v>
      </c>
      <c r="AU39" s="256"/>
      <c r="AV39" s="257">
        <f t="shared" si="3"/>
        <v>0</v>
      </c>
      <c r="AW39" s="380"/>
      <c r="AX39" s="257">
        <f t="shared" si="4"/>
        <v>0</v>
      </c>
      <c r="AY39" s="268"/>
      <c r="AZ39" s="257">
        <f t="shared" si="5"/>
        <v>0</v>
      </c>
      <c r="BA39" s="256"/>
      <c r="BB39" s="257">
        <f t="shared" si="6"/>
        <v>0</v>
      </c>
      <c r="BC39" s="268"/>
      <c r="BD39" s="257">
        <f t="shared" si="7"/>
        <v>0</v>
      </c>
      <c r="BE39" s="268"/>
      <c r="BF39" s="257">
        <f t="shared" si="8"/>
        <v>0</v>
      </c>
      <c r="BG39" s="59"/>
      <c r="BH39" s="257">
        <f t="shared" si="9"/>
        <v>0</v>
      </c>
      <c r="BI39" s="268"/>
      <c r="BJ39" s="257">
        <f t="shared" si="10"/>
        <v>0</v>
      </c>
      <c r="BK39" s="268"/>
      <c r="BL39" s="257">
        <f t="shared" si="11"/>
        <v>0</v>
      </c>
    </row>
    <row r="40" spans="1:68" ht="14.85" customHeight="1">
      <c r="A40" s="250" t="s">
        <v>451</v>
      </c>
      <c r="B40" s="59" t="s">
        <v>331</v>
      </c>
      <c r="C40" s="354" t="s">
        <v>172</v>
      </c>
      <c r="D40" s="424"/>
      <c r="E40" s="357" t="s">
        <v>332</v>
      </c>
      <c r="F40" s="427">
        <v>1000</v>
      </c>
      <c r="G40" s="317">
        <v>2024</v>
      </c>
      <c r="H40" s="298" t="s">
        <v>502</v>
      </c>
      <c r="I40" s="315" t="s">
        <v>249</v>
      </c>
      <c r="J40" s="316">
        <v>14</v>
      </c>
      <c r="K40" s="298" t="s">
        <v>335</v>
      </c>
      <c r="L40" s="298" t="s">
        <v>336</v>
      </c>
      <c r="M40" s="300" t="s">
        <v>474</v>
      </c>
      <c r="N40" s="300">
        <v>9.4499999999999993</v>
      </c>
      <c r="O40" s="300">
        <v>11</v>
      </c>
      <c r="P40" s="300">
        <v>11.51</v>
      </c>
      <c r="Q40" s="300">
        <v>11.51</v>
      </c>
      <c r="R40" s="300">
        <v>11.51</v>
      </c>
      <c r="S40" s="300">
        <v>11.51</v>
      </c>
      <c r="T40" s="300">
        <v>11.51</v>
      </c>
      <c r="U40" s="300">
        <v>11.51</v>
      </c>
      <c r="V40" s="300">
        <v>11.51</v>
      </c>
      <c r="W40" s="300">
        <v>11.51</v>
      </c>
      <c r="X40" s="300">
        <v>11</v>
      </c>
      <c r="Y40" s="300">
        <v>11</v>
      </c>
      <c r="Z40" s="300">
        <v>11</v>
      </c>
      <c r="AA40" s="300">
        <v>11</v>
      </c>
      <c r="AB40" s="361">
        <v>2.06</v>
      </c>
      <c r="AC40" s="361">
        <v>2.06</v>
      </c>
      <c r="AD40" s="361">
        <v>2.06</v>
      </c>
      <c r="AE40" s="361">
        <v>2.06</v>
      </c>
      <c r="AF40" s="361">
        <v>2.06</v>
      </c>
      <c r="AG40" s="361">
        <v>2.06</v>
      </c>
      <c r="AH40" s="361">
        <v>2.06</v>
      </c>
      <c r="AI40" s="361">
        <v>2.06</v>
      </c>
      <c r="AJ40" s="361">
        <v>2.06</v>
      </c>
      <c r="AK40" s="361">
        <v>2.1</v>
      </c>
      <c r="AL40" s="361">
        <v>2.1</v>
      </c>
      <c r="AM40" s="361">
        <v>2.1</v>
      </c>
      <c r="AN40" s="361">
        <v>2.1</v>
      </c>
      <c r="AO40" s="255">
        <v>7641</v>
      </c>
      <c r="AP40" s="254">
        <f t="shared" si="0"/>
        <v>15740.460000000001</v>
      </c>
      <c r="AQ40" s="255">
        <v>8706</v>
      </c>
      <c r="AR40" s="254">
        <f t="shared" si="1"/>
        <v>17934.36</v>
      </c>
      <c r="AS40" s="255">
        <v>6913</v>
      </c>
      <c r="AT40" s="254">
        <f t="shared" si="2"/>
        <v>14240.78</v>
      </c>
      <c r="AU40" s="255">
        <v>9239</v>
      </c>
      <c r="AV40" s="257">
        <f t="shared" si="3"/>
        <v>19032.34</v>
      </c>
      <c r="AW40" s="380">
        <v>9727</v>
      </c>
      <c r="AX40" s="257">
        <f t="shared" si="4"/>
        <v>20037.62</v>
      </c>
      <c r="AY40" s="268">
        <v>9029</v>
      </c>
      <c r="AZ40" s="257">
        <f t="shared" si="5"/>
        <v>18599.740000000002</v>
      </c>
      <c r="BA40" s="268">
        <v>3360</v>
      </c>
      <c r="BB40" s="257">
        <f t="shared" si="6"/>
        <v>6921.6</v>
      </c>
      <c r="BC40" s="268">
        <v>3800</v>
      </c>
      <c r="BD40" s="257">
        <f t="shared" si="7"/>
        <v>7828</v>
      </c>
      <c r="BE40" s="268">
        <v>3880</v>
      </c>
      <c r="BF40" s="257">
        <f t="shared" si="8"/>
        <v>8148</v>
      </c>
      <c r="BG40" s="256">
        <v>2880</v>
      </c>
      <c r="BH40" s="257">
        <f t="shared" si="9"/>
        <v>6048</v>
      </c>
      <c r="BI40" s="268">
        <v>4500</v>
      </c>
      <c r="BJ40" s="257">
        <f t="shared" si="10"/>
        <v>9450</v>
      </c>
      <c r="BK40" s="268">
        <v>2759</v>
      </c>
      <c r="BL40" s="257">
        <f t="shared" si="11"/>
        <v>5793.9000000000005</v>
      </c>
      <c r="BM40" s="1" t="s">
        <v>503</v>
      </c>
      <c r="BN40" s="1" t="s">
        <v>462</v>
      </c>
      <c r="BO40" s="1" t="s">
        <v>457</v>
      </c>
      <c r="BP40" s="1" t="s">
        <v>504</v>
      </c>
    </row>
    <row r="41" spans="1:68" ht="15" customHeight="1">
      <c r="A41" s="250" t="s">
        <v>451</v>
      </c>
      <c r="B41" s="59" t="s">
        <v>331</v>
      </c>
      <c r="C41" s="354" t="s">
        <v>172</v>
      </c>
      <c r="D41" s="424"/>
      <c r="E41" s="357" t="s">
        <v>332</v>
      </c>
      <c r="F41" s="427"/>
      <c r="G41" s="317">
        <v>2024</v>
      </c>
      <c r="H41" s="298" t="s">
        <v>502</v>
      </c>
      <c r="I41" s="315" t="s">
        <v>249</v>
      </c>
      <c r="J41" s="316">
        <v>14</v>
      </c>
      <c r="K41" s="298" t="s">
        <v>335</v>
      </c>
      <c r="L41" s="298" t="s">
        <v>336</v>
      </c>
      <c r="M41" s="300" t="s">
        <v>474</v>
      </c>
      <c r="N41" s="300">
        <v>9.4499999999999993</v>
      </c>
      <c r="O41" s="300">
        <v>11</v>
      </c>
      <c r="P41" s="300">
        <v>11.51</v>
      </c>
      <c r="Q41" s="300">
        <v>11.51</v>
      </c>
      <c r="R41" s="300">
        <v>11.51</v>
      </c>
      <c r="S41" s="300">
        <v>11.51</v>
      </c>
      <c r="T41" s="300">
        <v>11.51</v>
      </c>
      <c r="U41" s="300">
        <v>11.51</v>
      </c>
      <c r="V41" s="300">
        <v>11.51</v>
      </c>
      <c r="W41" s="300">
        <v>11.51</v>
      </c>
      <c r="X41" s="300">
        <v>11</v>
      </c>
      <c r="Y41" s="300">
        <v>11</v>
      </c>
      <c r="Z41" s="300">
        <v>11</v>
      </c>
      <c r="AA41" s="300">
        <v>11</v>
      </c>
      <c r="AB41" s="361">
        <v>2.06</v>
      </c>
      <c r="AC41" s="361">
        <v>2.06</v>
      </c>
      <c r="AD41" s="361">
        <v>2.06</v>
      </c>
      <c r="AE41" s="361">
        <v>2.06</v>
      </c>
      <c r="AF41" s="361">
        <v>2.06</v>
      </c>
      <c r="AG41" s="361">
        <v>2.06</v>
      </c>
      <c r="AH41" s="361">
        <v>2.06</v>
      </c>
      <c r="AI41" s="361">
        <v>2.06</v>
      </c>
      <c r="AJ41" s="361">
        <v>2.06</v>
      </c>
      <c r="AK41" s="361">
        <v>2.1</v>
      </c>
      <c r="AL41" s="361">
        <v>2.1</v>
      </c>
      <c r="AM41" s="361">
        <v>2.1</v>
      </c>
      <c r="AN41" s="361">
        <v>2.1</v>
      </c>
      <c r="AO41" s="255">
        <v>4855</v>
      </c>
      <c r="AP41" s="254">
        <f t="shared" si="0"/>
        <v>10001.300000000001</v>
      </c>
      <c r="AQ41" s="255">
        <v>4399</v>
      </c>
      <c r="AR41" s="254">
        <f t="shared" si="1"/>
        <v>9061.94</v>
      </c>
      <c r="AS41" s="255">
        <v>2280</v>
      </c>
      <c r="AT41" s="254">
        <f t="shared" si="2"/>
        <v>4696.8</v>
      </c>
      <c r="AU41" s="256">
        <v>7436</v>
      </c>
      <c r="AV41" s="257">
        <f t="shared" si="3"/>
        <v>15318.16</v>
      </c>
      <c r="AW41" s="380">
        <v>3763</v>
      </c>
      <c r="AX41" s="257">
        <f t="shared" si="4"/>
        <v>7751.7800000000007</v>
      </c>
      <c r="AY41" s="268">
        <v>7160</v>
      </c>
      <c r="AZ41" s="257">
        <f t="shared" si="5"/>
        <v>14749.6</v>
      </c>
      <c r="BA41" s="268">
        <v>2320</v>
      </c>
      <c r="BB41" s="257">
        <f t="shared" si="6"/>
        <v>4779.2</v>
      </c>
      <c r="BC41" s="268">
        <v>7400</v>
      </c>
      <c r="BD41" s="257">
        <f t="shared" si="7"/>
        <v>15244</v>
      </c>
      <c r="BE41" s="268">
        <v>3320</v>
      </c>
      <c r="BF41" s="257">
        <f t="shared" si="8"/>
        <v>6972</v>
      </c>
      <c r="BG41" s="256">
        <v>2440</v>
      </c>
      <c r="BH41" s="257">
        <f t="shared" si="9"/>
        <v>5124</v>
      </c>
      <c r="BI41" s="268">
        <v>4800</v>
      </c>
      <c r="BJ41" s="257">
        <f t="shared" si="10"/>
        <v>10080</v>
      </c>
      <c r="BK41" s="268">
        <v>2960</v>
      </c>
      <c r="BL41" s="257">
        <f t="shared" si="11"/>
        <v>6216</v>
      </c>
      <c r="BM41" s="1" t="s">
        <v>505</v>
      </c>
      <c r="BO41" s="1" t="s">
        <v>457</v>
      </c>
      <c r="BP41" s="1" t="s">
        <v>506</v>
      </c>
    </row>
    <row r="42" spans="1:68" ht="15" customHeight="1">
      <c r="A42" s="250" t="s">
        <v>451</v>
      </c>
      <c r="B42" s="59" t="s">
        <v>331</v>
      </c>
      <c r="C42" s="354" t="s">
        <v>172</v>
      </c>
      <c r="D42" s="424"/>
      <c r="E42" s="357" t="s">
        <v>332</v>
      </c>
      <c r="F42" s="427"/>
      <c r="G42" s="317">
        <v>2024</v>
      </c>
      <c r="H42" s="59" t="s">
        <v>507</v>
      </c>
      <c r="I42" s="315" t="s">
        <v>249</v>
      </c>
      <c r="J42" s="316">
        <v>14</v>
      </c>
      <c r="K42" s="298" t="s">
        <v>508</v>
      </c>
      <c r="L42" s="298" t="s">
        <v>336</v>
      </c>
      <c r="M42" s="300" t="s">
        <v>474</v>
      </c>
      <c r="N42" s="300">
        <v>9.4499999999999993</v>
      </c>
      <c r="O42" s="300">
        <v>11</v>
      </c>
      <c r="P42" s="300">
        <v>11.51</v>
      </c>
      <c r="Q42" s="300">
        <v>11.51</v>
      </c>
      <c r="R42" s="300">
        <v>11.51</v>
      </c>
      <c r="S42" s="300">
        <v>11.51</v>
      </c>
      <c r="T42" s="300">
        <v>11.51</v>
      </c>
      <c r="U42" s="300">
        <v>11.51</v>
      </c>
      <c r="V42" s="300">
        <v>11.51</v>
      </c>
      <c r="W42" s="300">
        <v>11.51</v>
      </c>
      <c r="X42" s="300">
        <v>11</v>
      </c>
      <c r="Y42" s="300">
        <v>11</v>
      </c>
      <c r="Z42" s="300">
        <v>11</v>
      </c>
      <c r="AA42" s="300">
        <v>11</v>
      </c>
      <c r="AB42" s="361">
        <v>2.06</v>
      </c>
      <c r="AC42" s="361">
        <v>2.06</v>
      </c>
      <c r="AD42" s="361">
        <v>2.06</v>
      </c>
      <c r="AE42" s="361">
        <v>2.06</v>
      </c>
      <c r="AF42" s="361">
        <v>2.06</v>
      </c>
      <c r="AG42" s="361">
        <v>2.06</v>
      </c>
      <c r="AH42" s="361">
        <v>2.06</v>
      </c>
      <c r="AI42" s="361">
        <v>2.06</v>
      </c>
      <c r="AJ42" s="361">
        <v>2.06</v>
      </c>
      <c r="AK42" s="361">
        <v>2.1</v>
      </c>
      <c r="AL42" s="361">
        <v>2.1</v>
      </c>
      <c r="AM42" s="361">
        <v>2.1</v>
      </c>
      <c r="AN42" s="361">
        <v>2.1</v>
      </c>
      <c r="AO42" s="255"/>
      <c r="AP42" s="254">
        <f t="shared" ref="AP42:AP49" si="18">AC42*AO42</f>
        <v>0</v>
      </c>
      <c r="AQ42" s="314"/>
      <c r="AR42" s="254">
        <f t="shared" ref="AR42:AR50" si="19">AD42*AQ42</f>
        <v>0</v>
      </c>
      <c r="AS42" s="261">
        <v>960</v>
      </c>
      <c r="AT42" s="254">
        <f t="shared" ref="AT42:AT50" si="20">AE42*AS42</f>
        <v>1977.6000000000001</v>
      </c>
      <c r="AU42" s="256">
        <v>840</v>
      </c>
      <c r="AV42" s="257">
        <f t="shared" ref="AV42:AV50" si="21">AF42*AU42</f>
        <v>1730.4</v>
      </c>
      <c r="AW42" s="380">
        <v>1200</v>
      </c>
      <c r="AX42" s="257">
        <f t="shared" ref="AX42:AX49" si="22">AG42*AW42</f>
        <v>2472</v>
      </c>
      <c r="AY42" s="268">
        <v>2280</v>
      </c>
      <c r="AZ42" s="257">
        <f t="shared" ref="AZ42:AZ49" si="23">AH42*AY42</f>
        <v>4696.8</v>
      </c>
      <c r="BA42" s="268">
        <v>360</v>
      </c>
      <c r="BB42" s="257">
        <f t="shared" ref="BB42:BB49" si="24">AI42*BA42</f>
        <v>741.6</v>
      </c>
      <c r="BC42" s="268">
        <v>720</v>
      </c>
      <c r="BD42" s="257">
        <f t="shared" ref="BD42:BD49" si="25">AJ42*BC42</f>
        <v>1483.2</v>
      </c>
      <c r="BE42" s="268">
        <v>1920</v>
      </c>
      <c r="BF42" s="257">
        <f t="shared" si="8"/>
        <v>4032</v>
      </c>
      <c r="BG42" s="256">
        <v>959</v>
      </c>
      <c r="BH42" s="257">
        <f t="shared" ref="BH42:BH49" si="26">AL42*BG42</f>
        <v>2013.9</v>
      </c>
      <c r="BI42" s="268">
        <v>1840</v>
      </c>
      <c r="BJ42" s="257">
        <f t="shared" ref="BJ42:BJ49" si="27">AM42*BI42</f>
        <v>3864</v>
      </c>
      <c r="BK42" s="268">
        <v>3509</v>
      </c>
      <c r="BL42" s="257">
        <f t="shared" ref="BL42:BL48" si="28">AN42*BK42</f>
        <v>7368.9000000000005</v>
      </c>
      <c r="BM42" s="1" t="s">
        <v>509</v>
      </c>
      <c r="BN42" s="1" t="s">
        <v>462</v>
      </c>
      <c r="BO42" s="1" t="s">
        <v>457</v>
      </c>
      <c r="BP42" s="1" t="s">
        <v>510</v>
      </c>
    </row>
    <row r="43" spans="1:68" ht="15" customHeight="1">
      <c r="A43" s="250" t="s">
        <v>451</v>
      </c>
      <c r="B43" s="59" t="s">
        <v>331</v>
      </c>
      <c r="C43" s="354" t="s">
        <v>172</v>
      </c>
      <c r="D43" s="424"/>
      <c r="E43" s="357" t="s">
        <v>332</v>
      </c>
      <c r="F43" s="427"/>
      <c r="G43" s="317">
        <v>2024</v>
      </c>
      <c r="H43" s="59" t="s">
        <v>507</v>
      </c>
      <c r="I43" s="315" t="s">
        <v>249</v>
      </c>
      <c r="J43" s="316">
        <v>14</v>
      </c>
      <c r="K43" s="298" t="s">
        <v>508</v>
      </c>
      <c r="L43" s="298" t="s">
        <v>336</v>
      </c>
      <c r="M43" s="300" t="s">
        <v>474</v>
      </c>
      <c r="N43" s="300">
        <v>9.4499999999999993</v>
      </c>
      <c r="O43" s="300">
        <v>11</v>
      </c>
      <c r="P43" s="300">
        <v>11.51</v>
      </c>
      <c r="Q43" s="300">
        <v>11.51</v>
      </c>
      <c r="R43" s="300">
        <v>11.51</v>
      </c>
      <c r="S43" s="300">
        <v>11.51</v>
      </c>
      <c r="T43" s="300">
        <v>11.51</v>
      </c>
      <c r="U43" s="300">
        <v>11.51</v>
      </c>
      <c r="V43" s="300">
        <v>11.51</v>
      </c>
      <c r="W43" s="300">
        <v>11.51</v>
      </c>
      <c r="X43" s="300">
        <v>11</v>
      </c>
      <c r="Y43" s="300">
        <v>11</v>
      </c>
      <c r="Z43" s="300">
        <v>11</v>
      </c>
      <c r="AA43" s="300">
        <v>11</v>
      </c>
      <c r="AB43" s="361">
        <v>2.06</v>
      </c>
      <c r="AC43" s="361">
        <v>2.06</v>
      </c>
      <c r="AD43" s="361">
        <v>2.06</v>
      </c>
      <c r="AE43" s="361">
        <v>2.06</v>
      </c>
      <c r="AF43" s="361">
        <v>2.06</v>
      </c>
      <c r="AG43" s="361">
        <v>2.06</v>
      </c>
      <c r="AH43" s="361">
        <v>2.06</v>
      </c>
      <c r="AI43" s="361">
        <v>2.06</v>
      </c>
      <c r="AJ43" s="361">
        <v>2.06</v>
      </c>
      <c r="AK43" s="361">
        <v>2.1</v>
      </c>
      <c r="AL43" s="361">
        <v>2.1</v>
      </c>
      <c r="AM43" s="361">
        <v>2.1</v>
      </c>
      <c r="AN43" s="361">
        <v>2.1</v>
      </c>
      <c r="AO43" s="255"/>
      <c r="AP43" s="254">
        <f t="shared" si="18"/>
        <v>0</v>
      </c>
      <c r="AQ43" s="255"/>
      <c r="AR43" s="254">
        <f t="shared" si="19"/>
        <v>0</v>
      </c>
      <c r="AS43" s="261">
        <v>1480</v>
      </c>
      <c r="AT43" s="254">
        <f t="shared" si="20"/>
        <v>3048.8</v>
      </c>
      <c r="AU43" s="256">
        <v>560</v>
      </c>
      <c r="AV43" s="257">
        <f t="shared" si="21"/>
        <v>1153.6000000000001</v>
      </c>
      <c r="AW43" s="380">
        <v>440</v>
      </c>
      <c r="AX43" s="257">
        <f t="shared" si="22"/>
        <v>906.4</v>
      </c>
      <c r="AY43" s="268">
        <v>1240</v>
      </c>
      <c r="AZ43" s="257">
        <f t="shared" si="23"/>
        <v>2554.4</v>
      </c>
      <c r="BA43" s="268">
        <v>1040</v>
      </c>
      <c r="BB43" s="257">
        <f t="shared" si="24"/>
        <v>2142.4</v>
      </c>
      <c r="BC43" s="268">
        <v>1880</v>
      </c>
      <c r="BD43" s="257">
        <f t="shared" si="25"/>
        <v>3872.8</v>
      </c>
      <c r="BE43" s="268">
        <v>1480</v>
      </c>
      <c r="BF43" s="257">
        <f t="shared" si="8"/>
        <v>3108</v>
      </c>
      <c r="BG43" s="256">
        <v>1720</v>
      </c>
      <c r="BH43" s="257">
        <f t="shared" si="26"/>
        <v>3612</v>
      </c>
      <c r="BI43" s="268">
        <v>2900</v>
      </c>
      <c r="BJ43" s="257">
        <f t="shared" si="27"/>
        <v>6090</v>
      </c>
      <c r="BK43" s="268">
        <v>1400</v>
      </c>
      <c r="BL43" s="257">
        <f t="shared" si="28"/>
        <v>2940</v>
      </c>
      <c r="BM43" s="1" t="s">
        <v>511</v>
      </c>
      <c r="BO43" s="1" t="s">
        <v>457</v>
      </c>
      <c r="BP43" s="1" t="s">
        <v>512</v>
      </c>
    </row>
    <row r="44" spans="1:68" ht="15" customHeight="1">
      <c r="A44" s="250" t="s">
        <v>451</v>
      </c>
      <c r="B44" s="59" t="s">
        <v>331</v>
      </c>
      <c r="C44" s="354" t="s">
        <v>172</v>
      </c>
      <c r="D44" s="424"/>
      <c r="E44" s="357" t="s">
        <v>332</v>
      </c>
      <c r="F44" s="427"/>
      <c r="G44" s="317">
        <v>2024</v>
      </c>
      <c r="H44" s="298" t="s">
        <v>502</v>
      </c>
      <c r="I44" s="315" t="s">
        <v>249</v>
      </c>
      <c r="J44" s="316">
        <v>14</v>
      </c>
      <c r="K44" s="298" t="s">
        <v>335</v>
      </c>
      <c r="L44" s="298" t="s">
        <v>464</v>
      </c>
      <c r="M44" s="300" t="s">
        <v>513</v>
      </c>
      <c r="N44" s="300">
        <v>9.4499999999999993</v>
      </c>
      <c r="O44" s="300">
        <v>11</v>
      </c>
      <c r="P44" s="300">
        <v>11.51</v>
      </c>
      <c r="Q44" s="300">
        <v>11.51</v>
      </c>
      <c r="R44" s="300">
        <v>11.51</v>
      </c>
      <c r="S44" s="300">
        <v>11.51</v>
      </c>
      <c r="T44" s="300">
        <v>11.51</v>
      </c>
      <c r="U44" s="300">
        <v>11.51</v>
      </c>
      <c r="V44" s="300">
        <v>11.51</v>
      </c>
      <c r="W44" s="300">
        <v>11.51</v>
      </c>
      <c r="X44" s="300">
        <v>11</v>
      </c>
      <c r="Y44" s="300">
        <v>11</v>
      </c>
      <c r="Z44" s="300">
        <v>11</v>
      </c>
      <c r="AA44" s="300">
        <v>11</v>
      </c>
      <c r="AB44" s="361">
        <v>2.06</v>
      </c>
      <c r="AC44" s="361">
        <v>2.06</v>
      </c>
      <c r="AD44" s="361">
        <v>2.06</v>
      </c>
      <c r="AE44" s="361">
        <v>2.06</v>
      </c>
      <c r="AF44" s="361">
        <v>2.06</v>
      </c>
      <c r="AG44" s="361">
        <v>2.06</v>
      </c>
      <c r="AH44" s="361">
        <v>2.06</v>
      </c>
      <c r="AI44" s="361">
        <v>2.06</v>
      </c>
      <c r="AJ44" s="361">
        <v>2.06</v>
      </c>
      <c r="AK44" s="361">
        <v>2.1</v>
      </c>
      <c r="AL44" s="361">
        <v>2.1</v>
      </c>
      <c r="AM44" s="361">
        <v>2.1</v>
      </c>
      <c r="AN44" s="361">
        <v>2.1</v>
      </c>
      <c r="AO44" s="255"/>
      <c r="AP44" s="254">
        <f t="shared" si="18"/>
        <v>0</v>
      </c>
      <c r="AQ44" s="255"/>
      <c r="AR44" s="254">
        <f t="shared" si="19"/>
        <v>0</v>
      </c>
      <c r="AS44" s="261"/>
      <c r="AT44" s="254">
        <f t="shared" si="20"/>
        <v>0</v>
      </c>
      <c r="AU44" s="256"/>
      <c r="AV44" s="257">
        <f t="shared" si="21"/>
        <v>0</v>
      </c>
      <c r="AW44" s="380"/>
      <c r="AX44" s="257">
        <f t="shared" si="22"/>
        <v>0</v>
      </c>
      <c r="AY44" s="268"/>
      <c r="AZ44" s="257">
        <f t="shared" si="23"/>
        <v>0</v>
      </c>
      <c r="BA44" s="256">
        <v>3000</v>
      </c>
      <c r="BB44" s="257">
        <f t="shared" si="24"/>
        <v>6180</v>
      </c>
      <c r="BC44" s="268">
        <v>2240</v>
      </c>
      <c r="BD44" s="257">
        <f t="shared" si="25"/>
        <v>4614.4000000000005</v>
      </c>
      <c r="BE44" s="268">
        <v>1840</v>
      </c>
      <c r="BF44" s="257">
        <f t="shared" si="8"/>
        <v>3864</v>
      </c>
      <c r="BG44" s="256">
        <v>280</v>
      </c>
      <c r="BH44" s="257">
        <f t="shared" si="26"/>
        <v>588</v>
      </c>
      <c r="BI44" s="268">
        <v>1280</v>
      </c>
      <c r="BJ44" s="257">
        <f t="shared" si="27"/>
        <v>2688</v>
      </c>
      <c r="BK44" s="268">
        <v>320</v>
      </c>
      <c r="BL44" s="257">
        <f t="shared" si="28"/>
        <v>672</v>
      </c>
      <c r="BM44" s="1" t="s">
        <v>503</v>
      </c>
      <c r="BN44" s="1" t="s">
        <v>462</v>
      </c>
      <c r="BO44" s="1" t="s">
        <v>457</v>
      </c>
      <c r="BP44" s="1" t="s">
        <v>504</v>
      </c>
    </row>
    <row r="45" spans="1:68" ht="15" customHeight="1">
      <c r="A45" s="250" t="s">
        <v>451</v>
      </c>
      <c r="B45" s="59" t="s">
        <v>331</v>
      </c>
      <c r="C45" s="354" t="s">
        <v>172</v>
      </c>
      <c r="D45" s="424"/>
      <c r="E45" s="357" t="s">
        <v>332</v>
      </c>
      <c r="F45" s="427"/>
      <c r="G45" s="317">
        <v>2024</v>
      </c>
      <c r="H45" s="298" t="s">
        <v>502</v>
      </c>
      <c r="I45" s="315" t="s">
        <v>249</v>
      </c>
      <c r="J45" s="316">
        <v>14</v>
      </c>
      <c r="K45" s="298" t="s">
        <v>335</v>
      </c>
      <c r="L45" s="298" t="s">
        <v>464</v>
      </c>
      <c r="M45" s="300" t="s">
        <v>513</v>
      </c>
      <c r="N45" s="300">
        <v>9.4499999999999993</v>
      </c>
      <c r="O45" s="300">
        <v>11</v>
      </c>
      <c r="P45" s="300">
        <v>11.51</v>
      </c>
      <c r="Q45" s="300">
        <v>11.51</v>
      </c>
      <c r="R45" s="300">
        <v>11.51</v>
      </c>
      <c r="S45" s="300">
        <v>11.51</v>
      </c>
      <c r="T45" s="300">
        <v>11.51</v>
      </c>
      <c r="U45" s="300">
        <v>11.51</v>
      </c>
      <c r="V45" s="300">
        <v>11.51</v>
      </c>
      <c r="W45" s="300">
        <v>11.51</v>
      </c>
      <c r="X45" s="300">
        <v>11</v>
      </c>
      <c r="Y45" s="300">
        <v>11</v>
      </c>
      <c r="Z45" s="300">
        <v>11</v>
      </c>
      <c r="AA45" s="300">
        <v>11</v>
      </c>
      <c r="AB45" s="361">
        <v>2.06</v>
      </c>
      <c r="AC45" s="361">
        <v>2.06</v>
      </c>
      <c r="AD45" s="361">
        <v>2.06</v>
      </c>
      <c r="AE45" s="361">
        <v>2.06</v>
      </c>
      <c r="AF45" s="361">
        <v>2.06</v>
      </c>
      <c r="AG45" s="361">
        <v>2.06</v>
      </c>
      <c r="AH45" s="361">
        <v>2.06</v>
      </c>
      <c r="AI45" s="361">
        <v>2.06</v>
      </c>
      <c r="AJ45" s="361">
        <v>2.06</v>
      </c>
      <c r="AK45" s="361">
        <v>2.1</v>
      </c>
      <c r="AL45" s="361">
        <v>2.1</v>
      </c>
      <c r="AM45" s="361">
        <v>2.1</v>
      </c>
      <c r="AN45" s="361">
        <v>2.1</v>
      </c>
      <c r="AO45" s="255"/>
      <c r="AP45" s="254">
        <f t="shared" si="18"/>
        <v>0</v>
      </c>
      <c r="AQ45" s="255"/>
      <c r="AR45" s="254">
        <f t="shared" si="19"/>
        <v>0</v>
      </c>
      <c r="AS45" s="261"/>
      <c r="AT45" s="254">
        <f t="shared" si="20"/>
        <v>0</v>
      </c>
      <c r="AU45" s="256"/>
      <c r="AV45" s="257">
        <f t="shared" si="21"/>
        <v>0</v>
      </c>
      <c r="AW45" s="380"/>
      <c r="AX45" s="257">
        <f t="shared" si="22"/>
        <v>0</v>
      </c>
      <c r="AY45" s="268">
        <v>80</v>
      </c>
      <c r="AZ45" s="257">
        <f t="shared" si="23"/>
        <v>164.8</v>
      </c>
      <c r="BA45" s="256">
        <v>2440</v>
      </c>
      <c r="BB45" s="257">
        <f t="shared" si="24"/>
        <v>5026.4000000000005</v>
      </c>
      <c r="BC45" s="268">
        <v>720</v>
      </c>
      <c r="BD45" s="257">
        <f t="shared" si="25"/>
        <v>1483.2</v>
      </c>
      <c r="BE45" s="268">
        <v>520</v>
      </c>
      <c r="BF45" s="257">
        <f t="shared" si="8"/>
        <v>1092</v>
      </c>
      <c r="BG45" s="256">
        <v>1160</v>
      </c>
      <c r="BH45" s="257">
        <f t="shared" si="26"/>
        <v>2436</v>
      </c>
      <c r="BI45" s="268">
        <v>400</v>
      </c>
      <c r="BJ45" s="257">
        <f t="shared" si="27"/>
        <v>840</v>
      </c>
      <c r="BK45" s="268">
        <v>480</v>
      </c>
      <c r="BL45" s="257">
        <f t="shared" si="28"/>
        <v>1008</v>
      </c>
      <c r="BM45" s="1" t="s">
        <v>505</v>
      </c>
      <c r="BO45" s="1" t="s">
        <v>457</v>
      </c>
      <c r="BP45" s="1" t="s">
        <v>506</v>
      </c>
    </row>
    <row r="46" spans="1:68" ht="15" customHeight="1">
      <c r="A46" s="250" t="s">
        <v>451</v>
      </c>
      <c r="B46" s="59" t="s">
        <v>331</v>
      </c>
      <c r="C46" s="354" t="s">
        <v>172</v>
      </c>
      <c r="D46" s="424"/>
      <c r="E46" s="357" t="s">
        <v>332</v>
      </c>
      <c r="F46" s="427"/>
      <c r="G46" s="317">
        <v>2024</v>
      </c>
      <c r="H46" s="59" t="s">
        <v>507</v>
      </c>
      <c r="I46" s="315" t="s">
        <v>249</v>
      </c>
      <c r="J46" s="316">
        <v>14</v>
      </c>
      <c r="K46" s="298" t="s">
        <v>508</v>
      </c>
      <c r="L46" s="298" t="s">
        <v>464</v>
      </c>
      <c r="M46" s="300" t="s">
        <v>513</v>
      </c>
      <c r="N46" s="300">
        <v>9.4499999999999993</v>
      </c>
      <c r="O46" s="300">
        <v>11</v>
      </c>
      <c r="P46" s="300">
        <v>11.51</v>
      </c>
      <c r="Q46" s="300">
        <v>11.51</v>
      </c>
      <c r="R46" s="300">
        <v>11.51</v>
      </c>
      <c r="S46" s="300">
        <v>11.51</v>
      </c>
      <c r="T46" s="300">
        <v>11.51</v>
      </c>
      <c r="U46" s="300">
        <v>11.51</v>
      </c>
      <c r="V46" s="300">
        <v>11.51</v>
      </c>
      <c r="W46" s="300">
        <v>11.51</v>
      </c>
      <c r="X46" s="300">
        <v>11</v>
      </c>
      <c r="Y46" s="300">
        <v>11</v>
      </c>
      <c r="Z46" s="300">
        <v>11</v>
      </c>
      <c r="AA46" s="300">
        <v>11</v>
      </c>
      <c r="AB46" s="361">
        <v>2.06</v>
      </c>
      <c r="AC46" s="361">
        <v>2.06</v>
      </c>
      <c r="AD46" s="361">
        <v>2.06</v>
      </c>
      <c r="AE46" s="361">
        <v>2.06</v>
      </c>
      <c r="AF46" s="361">
        <v>2.06</v>
      </c>
      <c r="AG46" s="361">
        <v>2.06</v>
      </c>
      <c r="AH46" s="361">
        <v>2.06</v>
      </c>
      <c r="AI46" s="361">
        <v>2.06</v>
      </c>
      <c r="AJ46" s="361">
        <v>2.06</v>
      </c>
      <c r="AK46" s="361">
        <v>2.1</v>
      </c>
      <c r="AL46" s="361">
        <v>2.1</v>
      </c>
      <c r="AM46" s="361">
        <v>2.1</v>
      </c>
      <c r="AN46" s="361">
        <v>2.1</v>
      </c>
      <c r="AO46" s="255"/>
      <c r="AP46" s="254">
        <f t="shared" si="18"/>
        <v>0</v>
      </c>
      <c r="AQ46" s="255"/>
      <c r="AR46" s="254">
        <f t="shared" si="19"/>
        <v>0</v>
      </c>
      <c r="AS46" s="261"/>
      <c r="AT46" s="254">
        <f t="shared" si="20"/>
        <v>0</v>
      </c>
      <c r="AU46" s="256"/>
      <c r="AV46" s="257">
        <f t="shared" si="21"/>
        <v>0</v>
      </c>
      <c r="AW46" s="380"/>
      <c r="AX46" s="257">
        <f t="shared" si="22"/>
        <v>0</v>
      </c>
      <c r="AY46" s="268"/>
      <c r="AZ46" s="257">
        <f t="shared" si="23"/>
        <v>0</v>
      </c>
      <c r="BA46" s="256">
        <v>1480</v>
      </c>
      <c r="BB46" s="257">
        <f t="shared" si="24"/>
        <v>3048.8</v>
      </c>
      <c r="BC46" s="268">
        <v>1600</v>
      </c>
      <c r="BD46" s="257">
        <f t="shared" si="25"/>
        <v>3296</v>
      </c>
      <c r="BE46" s="268">
        <v>80</v>
      </c>
      <c r="BF46" s="257">
        <f t="shared" si="8"/>
        <v>168</v>
      </c>
      <c r="BG46" s="256">
        <v>40</v>
      </c>
      <c r="BH46" s="257">
        <f t="shared" si="26"/>
        <v>84</v>
      </c>
      <c r="BI46" s="268">
        <v>1680</v>
      </c>
      <c r="BJ46" s="257">
        <f t="shared" si="27"/>
        <v>3528</v>
      </c>
      <c r="BK46" s="268">
        <v>680</v>
      </c>
      <c r="BL46" s="257">
        <f t="shared" si="28"/>
        <v>1428</v>
      </c>
      <c r="BM46" s="1" t="s">
        <v>509</v>
      </c>
      <c r="BN46" s="1" t="s">
        <v>462</v>
      </c>
      <c r="BO46" s="1" t="s">
        <v>457</v>
      </c>
      <c r="BP46" s="1" t="s">
        <v>510</v>
      </c>
    </row>
    <row r="47" spans="1:68" ht="15" customHeight="1">
      <c r="A47" s="250" t="s">
        <v>451</v>
      </c>
      <c r="B47" s="59" t="s">
        <v>331</v>
      </c>
      <c r="C47" s="354" t="s">
        <v>172</v>
      </c>
      <c r="D47" s="424"/>
      <c r="E47" s="357" t="s">
        <v>332</v>
      </c>
      <c r="F47" s="427"/>
      <c r="G47" s="317">
        <v>2024</v>
      </c>
      <c r="H47" s="59" t="s">
        <v>507</v>
      </c>
      <c r="I47" s="315" t="s">
        <v>249</v>
      </c>
      <c r="J47" s="316">
        <v>14</v>
      </c>
      <c r="K47" s="298" t="s">
        <v>508</v>
      </c>
      <c r="L47" s="298" t="s">
        <v>464</v>
      </c>
      <c r="M47" s="300" t="s">
        <v>513</v>
      </c>
      <c r="N47" s="300">
        <v>9.4499999999999993</v>
      </c>
      <c r="O47" s="300">
        <v>11</v>
      </c>
      <c r="P47" s="300">
        <v>11.51</v>
      </c>
      <c r="Q47" s="300">
        <v>11.51</v>
      </c>
      <c r="R47" s="300">
        <v>11.51</v>
      </c>
      <c r="S47" s="300">
        <v>11.51</v>
      </c>
      <c r="T47" s="300">
        <v>11.51</v>
      </c>
      <c r="U47" s="300">
        <v>11.51</v>
      </c>
      <c r="V47" s="300">
        <v>11.51</v>
      </c>
      <c r="W47" s="300">
        <v>11.51</v>
      </c>
      <c r="X47" s="300">
        <v>11</v>
      </c>
      <c r="Y47" s="300">
        <v>11</v>
      </c>
      <c r="Z47" s="300">
        <v>11</v>
      </c>
      <c r="AA47" s="300">
        <v>11</v>
      </c>
      <c r="AB47" s="361">
        <v>2.06</v>
      </c>
      <c r="AC47" s="361">
        <v>2.06</v>
      </c>
      <c r="AD47" s="361">
        <v>2.06</v>
      </c>
      <c r="AE47" s="361">
        <v>2.06</v>
      </c>
      <c r="AF47" s="361">
        <v>2.06</v>
      </c>
      <c r="AG47" s="361">
        <v>2.06</v>
      </c>
      <c r="AH47" s="361">
        <v>2.06</v>
      </c>
      <c r="AI47" s="361">
        <v>2.06</v>
      </c>
      <c r="AJ47" s="361">
        <v>2.06</v>
      </c>
      <c r="AK47" s="361">
        <v>2.1</v>
      </c>
      <c r="AL47" s="361">
        <v>2.1</v>
      </c>
      <c r="AM47" s="361">
        <v>2.1</v>
      </c>
      <c r="AN47" s="361">
        <v>2.1</v>
      </c>
      <c r="AO47" s="255"/>
      <c r="AP47" s="254">
        <f t="shared" si="18"/>
        <v>0</v>
      </c>
      <c r="AQ47" s="255"/>
      <c r="AR47" s="254">
        <f t="shared" si="19"/>
        <v>0</v>
      </c>
      <c r="AS47" s="261"/>
      <c r="AT47" s="254">
        <f t="shared" si="20"/>
        <v>0</v>
      </c>
      <c r="AU47" s="256"/>
      <c r="AV47" s="257">
        <f t="shared" si="21"/>
        <v>0</v>
      </c>
      <c r="AW47" s="380"/>
      <c r="AX47" s="257">
        <f t="shared" si="22"/>
        <v>0</v>
      </c>
      <c r="AY47" s="268"/>
      <c r="AZ47" s="257">
        <f t="shared" si="23"/>
        <v>0</v>
      </c>
      <c r="BA47" s="256">
        <v>120</v>
      </c>
      <c r="BB47" s="257">
        <f t="shared" si="24"/>
        <v>247.20000000000002</v>
      </c>
      <c r="BC47" s="268">
        <v>560</v>
      </c>
      <c r="BD47" s="257">
        <f t="shared" si="25"/>
        <v>1153.6000000000001</v>
      </c>
      <c r="BE47" s="268">
        <v>440</v>
      </c>
      <c r="BF47" s="257">
        <f t="shared" si="8"/>
        <v>924</v>
      </c>
      <c r="BG47" s="256">
        <v>720</v>
      </c>
      <c r="BH47" s="257">
        <f t="shared" si="26"/>
        <v>1512</v>
      </c>
      <c r="BI47" s="268">
        <v>800</v>
      </c>
      <c r="BJ47" s="257">
        <f t="shared" si="27"/>
        <v>1680</v>
      </c>
      <c r="BK47" s="268">
        <v>520</v>
      </c>
      <c r="BL47" s="257">
        <f t="shared" si="28"/>
        <v>1092</v>
      </c>
      <c r="BM47" s="1" t="s">
        <v>511</v>
      </c>
      <c r="BO47" s="1" t="s">
        <v>457</v>
      </c>
      <c r="BP47" s="1" t="s">
        <v>512</v>
      </c>
    </row>
    <row r="48" spans="1:68" ht="15" customHeight="1">
      <c r="A48" s="250"/>
      <c r="C48" s="354"/>
      <c r="D48" s="424"/>
      <c r="E48" s="357"/>
      <c r="F48" s="427"/>
      <c r="G48" s="317"/>
      <c r="H48" s="59"/>
      <c r="I48" s="315"/>
      <c r="J48" s="316"/>
      <c r="K48" s="298"/>
      <c r="L48" s="298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61"/>
      <c r="AC48" s="361"/>
      <c r="AD48" s="361"/>
      <c r="AE48" s="361"/>
      <c r="AF48" s="361"/>
      <c r="AG48" s="361"/>
      <c r="AH48" s="361"/>
      <c r="AI48" s="361"/>
      <c r="AJ48" s="361"/>
      <c r="AK48" s="361"/>
      <c r="AL48" s="361"/>
      <c r="AM48" s="361"/>
      <c r="AN48" s="361"/>
      <c r="AO48" s="255"/>
      <c r="AP48" s="254">
        <f t="shared" si="18"/>
        <v>0</v>
      </c>
      <c r="AQ48" s="255"/>
      <c r="AR48" s="254">
        <f t="shared" si="19"/>
        <v>0</v>
      </c>
      <c r="AS48" s="261"/>
      <c r="AT48" s="254">
        <f t="shared" si="20"/>
        <v>0</v>
      </c>
      <c r="AU48" s="256"/>
      <c r="AV48" s="257">
        <f t="shared" si="21"/>
        <v>0</v>
      </c>
      <c r="AW48" s="380"/>
      <c r="AX48" s="257">
        <f t="shared" si="22"/>
        <v>0</v>
      </c>
      <c r="AY48" s="268"/>
      <c r="AZ48" s="257">
        <f t="shared" si="23"/>
        <v>0</v>
      </c>
      <c r="BA48" s="59"/>
      <c r="BB48" s="257">
        <f t="shared" si="24"/>
        <v>0</v>
      </c>
      <c r="BC48" s="268"/>
      <c r="BD48" s="257">
        <f t="shared" si="25"/>
        <v>0</v>
      </c>
      <c r="BE48" s="268"/>
      <c r="BF48" s="257">
        <f t="shared" si="8"/>
        <v>0</v>
      </c>
      <c r="BG48" s="256"/>
      <c r="BH48" s="257">
        <f t="shared" si="26"/>
        <v>0</v>
      </c>
      <c r="BI48" s="268"/>
      <c r="BJ48" s="257">
        <f t="shared" si="27"/>
        <v>0</v>
      </c>
      <c r="BK48" s="268"/>
      <c r="BL48" s="257">
        <f t="shared" si="28"/>
        <v>0</v>
      </c>
    </row>
    <row r="49" spans="1:68" ht="17.25" customHeight="1">
      <c r="A49" s="250"/>
      <c r="C49" s="354"/>
      <c r="D49" s="424"/>
      <c r="E49" s="357"/>
      <c r="F49" s="429" t="s">
        <v>170</v>
      </c>
      <c r="G49" s="319"/>
      <c r="H49" s="298"/>
      <c r="I49" s="298"/>
      <c r="J49" s="299"/>
      <c r="K49" s="298"/>
      <c r="L49" s="298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1"/>
      <c r="AD49" s="301"/>
      <c r="AE49" s="301"/>
      <c r="AF49" s="59"/>
      <c r="AG49" s="59"/>
      <c r="AH49" s="59"/>
      <c r="AI49" s="59"/>
      <c r="AJ49" s="59"/>
      <c r="AK49" s="59"/>
      <c r="AL49" s="59"/>
      <c r="AM49" s="59"/>
      <c r="AN49" s="59"/>
      <c r="AO49" s="255"/>
      <c r="AP49" s="254">
        <f t="shared" si="18"/>
        <v>0</v>
      </c>
      <c r="AQ49" s="255"/>
      <c r="AR49" s="254">
        <f t="shared" si="19"/>
        <v>0</v>
      </c>
      <c r="AS49" s="255"/>
      <c r="AT49" s="254">
        <f t="shared" si="20"/>
        <v>0</v>
      </c>
      <c r="AU49" s="256"/>
      <c r="AV49" s="257">
        <f t="shared" si="21"/>
        <v>0</v>
      </c>
      <c r="AW49" s="380"/>
      <c r="AX49" s="257">
        <f t="shared" si="22"/>
        <v>0</v>
      </c>
      <c r="AY49" s="268"/>
      <c r="AZ49" s="257">
        <f t="shared" si="23"/>
        <v>0</v>
      </c>
      <c r="BA49" s="59"/>
      <c r="BB49" s="257">
        <f t="shared" si="24"/>
        <v>0</v>
      </c>
      <c r="BC49" s="268"/>
      <c r="BD49" s="257">
        <f t="shared" si="25"/>
        <v>0</v>
      </c>
      <c r="BE49" s="268"/>
      <c r="BF49" s="257">
        <f t="shared" si="8"/>
        <v>0</v>
      </c>
      <c r="BG49" s="59"/>
      <c r="BH49" s="257">
        <f t="shared" si="26"/>
        <v>0</v>
      </c>
      <c r="BI49" s="268"/>
      <c r="BJ49" s="257">
        <f t="shared" si="27"/>
        <v>0</v>
      </c>
      <c r="BK49" s="268"/>
      <c r="BL49" s="257">
        <f t="shared" si="11"/>
        <v>0</v>
      </c>
    </row>
    <row r="50" spans="1:68" ht="15" customHeight="1">
      <c r="A50" s="250"/>
      <c r="C50" s="354"/>
      <c r="D50" s="424"/>
      <c r="E50" s="357"/>
      <c r="F50" s="417"/>
      <c r="G50" s="59"/>
      <c r="H50" s="59"/>
      <c r="I50" s="59"/>
      <c r="J50" s="302"/>
      <c r="K50" s="59"/>
      <c r="L50" s="59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1"/>
      <c r="AD50" s="301"/>
      <c r="AE50" s="301"/>
      <c r="AF50" s="59"/>
      <c r="AG50" s="59"/>
      <c r="AH50" s="59"/>
      <c r="AI50" s="59"/>
      <c r="AJ50" s="59"/>
      <c r="AK50" s="59"/>
      <c r="AL50" s="59"/>
      <c r="AM50" s="59"/>
      <c r="AN50" s="59"/>
      <c r="AO50" s="255"/>
      <c r="AP50" s="254">
        <f t="shared" si="0"/>
        <v>0</v>
      </c>
      <c r="AQ50" s="255"/>
      <c r="AR50" s="254">
        <f t="shared" si="19"/>
        <v>0</v>
      </c>
      <c r="AS50" s="255"/>
      <c r="AT50" s="254">
        <f t="shared" si="20"/>
        <v>0</v>
      </c>
      <c r="AU50" s="256"/>
      <c r="AV50" s="257">
        <f t="shared" si="21"/>
        <v>0</v>
      </c>
      <c r="AW50" s="380"/>
      <c r="AX50" s="257">
        <f t="shared" si="4"/>
        <v>0</v>
      </c>
      <c r="AY50" s="268"/>
      <c r="AZ50" s="257">
        <f t="shared" si="5"/>
        <v>0</v>
      </c>
      <c r="BA50" s="59"/>
      <c r="BB50" s="257">
        <f t="shared" si="6"/>
        <v>0</v>
      </c>
      <c r="BC50" s="268"/>
      <c r="BD50" s="257">
        <f t="shared" si="7"/>
        <v>0</v>
      </c>
      <c r="BE50" s="268"/>
      <c r="BF50" s="257">
        <f t="shared" si="8"/>
        <v>0</v>
      </c>
      <c r="BG50" s="59"/>
      <c r="BH50" s="257">
        <f t="shared" si="9"/>
        <v>0</v>
      </c>
      <c r="BI50" s="268"/>
      <c r="BJ50" s="257">
        <f t="shared" si="10"/>
        <v>0</v>
      </c>
      <c r="BK50" s="268"/>
      <c r="BL50" s="257">
        <f t="shared" si="11"/>
        <v>0</v>
      </c>
    </row>
    <row r="51" spans="1:68" ht="15" customHeight="1">
      <c r="A51" s="250" t="s">
        <v>451</v>
      </c>
      <c r="B51" s="59" t="s">
        <v>331</v>
      </c>
      <c r="C51" s="354" t="s">
        <v>172</v>
      </c>
      <c r="D51" s="424"/>
      <c r="E51" s="357" t="s">
        <v>173</v>
      </c>
      <c r="F51" s="417" t="s">
        <v>71</v>
      </c>
      <c r="G51" s="317">
        <v>2022</v>
      </c>
      <c r="H51" s="59" t="s">
        <v>514</v>
      </c>
      <c r="I51" s="315" t="s">
        <v>175</v>
      </c>
      <c r="J51" s="316">
        <v>11</v>
      </c>
      <c r="K51" s="59" t="s">
        <v>515</v>
      </c>
      <c r="L51" s="59" t="s">
        <v>177</v>
      </c>
      <c r="M51" s="300" t="s">
        <v>474</v>
      </c>
      <c r="N51" s="300">
        <v>3.15</v>
      </c>
      <c r="O51" s="300">
        <v>4.03</v>
      </c>
      <c r="P51" s="300">
        <v>4.03</v>
      </c>
      <c r="Q51" s="300">
        <v>4.03</v>
      </c>
      <c r="R51" s="300">
        <v>4.03</v>
      </c>
      <c r="S51" s="300">
        <v>4.03</v>
      </c>
      <c r="T51" s="300">
        <v>4.03</v>
      </c>
      <c r="U51" s="300">
        <v>4.03</v>
      </c>
      <c r="V51" s="300">
        <v>4.03</v>
      </c>
      <c r="W51" s="300">
        <v>4.03</v>
      </c>
      <c r="X51" s="300">
        <v>4.03</v>
      </c>
      <c r="Y51" s="300">
        <v>4.03</v>
      </c>
      <c r="Z51" s="300">
        <v>4.03</v>
      </c>
      <c r="AA51" s="300">
        <v>4.03</v>
      </c>
      <c r="AB51" s="59">
        <v>0.59</v>
      </c>
      <c r="AC51" s="59">
        <v>0.59</v>
      </c>
      <c r="AD51" s="59">
        <v>0.59</v>
      </c>
      <c r="AE51" s="59">
        <v>0.59</v>
      </c>
      <c r="AF51" s="59">
        <v>0.59</v>
      </c>
      <c r="AG51" s="59">
        <v>0.59</v>
      </c>
      <c r="AH51" s="59">
        <v>0.59</v>
      </c>
      <c r="AI51" s="59">
        <v>0.59</v>
      </c>
      <c r="AJ51" s="59">
        <v>0.59</v>
      </c>
      <c r="AK51" s="59">
        <v>0.59</v>
      </c>
      <c r="AL51" s="59">
        <v>0.59</v>
      </c>
      <c r="AM51" s="59">
        <v>0.59</v>
      </c>
      <c r="AN51" s="59">
        <v>0.59</v>
      </c>
      <c r="AO51" s="255"/>
      <c r="AP51" s="254">
        <f t="shared" si="0"/>
        <v>0</v>
      </c>
      <c r="AQ51" s="255"/>
      <c r="AR51" s="254">
        <f t="shared" si="1"/>
        <v>0</v>
      </c>
      <c r="AS51" s="255"/>
      <c r="AT51" s="254">
        <f t="shared" si="2"/>
        <v>0</v>
      </c>
      <c r="AU51" s="255">
        <v>4360</v>
      </c>
      <c r="AV51" s="257">
        <f t="shared" si="3"/>
        <v>2572.4</v>
      </c>
      <c r="AW51" s="381">
        <v>280</v>
      </c>
      <c r="AX51" s="257">
        <f t="shared" si="4"/>
        <v>165.2</v>
      </c>
      <c r="AY51" s="388">
        <v>80</v>
      </c>
      <c r="AZ51" s="257">
        <f t="shared" si="5"/>
        <v>47.199999999999996</v>
      </c>
      <c r="BA51" s="255">
        <v>40</v>
      </c>
      <c r="BB51" s="257">
        <f t="shared" si="6"/>
        <v>23.599999999999998</v>
      </c>
      <c r="BC51" s="255"/>
      <c r="BD51" s="257">
        <f t="shared" si="7"/>
        <v>0</v>
      </c>
      <c r="BE51" s="255">
        <v>1560</v>
      </c>
      <c r="BF51" s="257">
        <f t="shared" si="8"/>
        <v>920.4</v>
      </c>
      <c r="BG51" s="255"/>
      <c r="BH51" s="257">
        <f t="shared" si="9"/>
        <v>0</v>
      </c>
      <c r="BI51" s="255"/>
      <c r="BJ51" s="257">
        <f t="shared" si="10"/>
        <v>0</v>
      </c>
      <c r="BK51" s="255"/>
      <c r="BL51" s="257">
        <f t="shared" si="11"/>
        <v>0</v>
      </c>
      <c r="BM51" s="1" t="s">
        <v>516</v>
      </c>
      <c r="BO51" s="1" t="s">
        <v>457</v>
      </c>
      <c r="BP51" s="1" t="s">
        <v>517</v>
      </c>
    </row>
    <row r="52" spans="1:68" ht="15" customHeight="1">
      <c r="A52" s="250" t="s">
        <v>451</v>
      </c>
      <c r="B52" s="59" t="s">
        <v>331</v>
      </c>
      <c r="C52" s="354" t="s">
        <v>172</v>
      </c>
      <c r="D52" s="424"/>
      <c r="E52" s="357" t="s">
        <v>173</v>
      </c>
      <c r="F52" s="417"/>
      <c r="G52" s="317">
        <v>2022</v>
      </c>
      <c r="H52" s="59" t="s">
        <v>514</v>
      </c>
      <c r="I52" s="315" t="s">
        <v>175</v>
      </c>
      <c r="J52" s="316">
        <v>11</v>
      </c>
      <c r="K52" s="59" t="s">
        <v>518</v>
      </c>
      <c r="L52" s="59" t="s">
        <v>177</v>
      </c>
      <c r="M52" s="300" t="s">
        <v>474</v>
      </c>
      <c r="N52" s="300">
        <v>3.15</v>
      </c>
      <c r="O52" s="300">
        <v>4.03</v>
      </c>
      <c r="P52" s="300">
        <v>4.03</v>
      </c>
      <c r="Q52" s="300">
        <v>4.03</v>
      </c>
      <c r="R52" s="300">
        <v>4.03</v>
      </c>
      <c r="S52" s="300">
        <v>4.03</v>
      </c>
      <c r="T52" s="300">
        <v>4.03</v>
      </c>
      <c r="U52" s="300">
        <v>4.03</v>
      </c>
      <c r="V52" s="300">
        <v>4.03</v>
      </c>
      <c r="W52" s="300">
        <v>4.03</v>
      </c>
      <c r="X52" s="300">
        <v>4.03</v>
      </c>
      <c r="Y52" s="300">
        <v>4.03</v>
      </c>
      <c r="Z52" s="300">
        <v>4.03</v>
      </c>
      <c r="AA52" s="300">
        <v>4.03</v>
      </c>
      <c r="AB52" s="59">
        <v>0.59</v>
      </c>
      <c r="AC52" s="59">
        <v>0.59</v>
      </c>
      <c r="AD52" s="59">
        <v>0.59</v>
      </c>
      <c r="AE52" s="59">
        <v>0.59</v>
      </c>
      <c r="AF52" s="59">
        <v>0.59</v>
      </c>
      <c r="AG52" s="59">
        <v>0.59</v>
      </c>
      <c r="AH52" s="59">
        <v>0.59</v>
      </c>
      <c r="AI52" s="59">
        <v>0.59</v>
      </c>
      <c r="AJ52" s="59">
        <v>0.59</v>
      </c>
      <c r="AK52" s="59">
        <v>0.59</v>
      </c>
      <c r="AL52" s="59">
        <v>0.59</v>
      </c>
      <c r="AM52" s="59">
        <v>0.59</v>
      </c>
      <c r="AN52" s="59">
        <v>0.59</v>
      </c>
      <c r="AO52" s="255">
        <v>40</v>
      </c>
      <c r="AP52" s="254">
        <f t="shared" si="0"/>
        <v>23.599999999999998</v>
      </c>
      <c r="AQ52" s="255">
        <v>160</v>
      </c>
      <c r="AR52" s="254">
        <f t="shared" si="1"/>
        <v>94.399999999999991</v>
      </c>
      <c r="AS52" s="255">
        <v>200</v>
      </c>
      <c r="AT52" s="254">
        <f t="shared" si="2"/>
        <v>118</v>
      </c>
      <c r="AU52" s="255"/>
      <c r="AV52" s="257">
        <f t="shared" si="3"/>
        <v>0</v>
      </c>
      <c r="AW52" s="381"/>
      <c r="AX52" s="257">
        <f t="shared" si="4"/>
        <v>0</v>
      </c>
      <c r="AY52" s="388"/>
      <c r="AZ52" s="257">
        <f t="shared" si="5"/>
        <v>0</v>
      </c>
      <c r="BA52" s="255">
        <v>40</v>
      </c>
      <c r="BB52" s="257">
        <f t="shared" si="6"/>
        <v>23.599999999999998</v>
      </c>
      <c r="BC52" s="255"/>
      <c r="BD52" s="257">
        <f t="shared" si="7"/>
        <v>0</v>
      </c>
      <c r="BE52" s="255">
        <v>160</v>
      </c>
      <c r="BF52" s="257">
        <f t="shared" si="8"/>
        <v>94.399999999999991</v>
      </c>
      <c r="BG52" s="255">
        <v>80</v>
      </c>
      <c r="BH52" s="257">
        <f t="shared" si="9"/>
        <v>47.199999999999996</v>
      </c>
      <c r="BI52" s="255"/>
      <c r="BJ52" s="257">
        <f t="shared" si="10"/>
        <v>0</v>
      </c>
      <c r="BK52" s="255"/>
      <c r="BL52" s="257">
        <f t="shared" si="11"/>
        <v>0</v>
      </c>
      <c r="BM52" s="1" t="s">
        <v>519</v>
      </c>
      <c r="BO52" s="1" t="s">
        <v>457</v>
      </c>
      <c r="BP52" s="1" t="s">
        <v>520</v>
      </c>
    </row>
    <row r="53" spans="1:68" ht="15" customHeight="1">
      <c r="A53" s="250" t="s">
        <v>451</v>
      </c>
      <c r="B53" s="59" t="s">
        <v>331</v>
      </c>
      <c r="C53" s="354" t="s">
        <v>172</v>
      </c>
      <c r="D53" s="424"/>
      <c r="E53" s="357" t="s">
        <v>173</v>
      </c>
      <c r="F53" s="417"/>
      <c r="G53" s="317">
        <v>2023</v>
      </c>
      <c r="H53" s="59" t="s">
        <v>514</v>
      </c>
      <c r="I53" s="315" t="s">
        <v>175</v>
      </c>
      <c r="J53" s="316">
        <v>11</v>
      </c>
      <c r="K53" s="59" t="s">
        <v>521</v>
      </c>
      <c r="L53" s="59" t="s">
        <v>177</v>
      </c>
      <c r="M53" s="300" t="s">
        <v>474</v>
      </c>
      <c r="N53" s="300">
        <v>3.15</v>
      </c>
      <c r="O53" s="300">
        <v>4.03</v>
      </c>
      <c r="P53" s="300">
        <v>4.03</v>
      </c>
      <c r="Q53" s="300">
        <v>4.03</v>
      </c>
      <c r="R53" s="300">
        <v>4.03</v>
      </c>
      <c r="S53" s="300">
        <v>4.03</v>
      </c>
      <c r="T53" s="300">
        <v>4.03</v>
      </c>
      <c r="U53" s="300">
        <v>4.03</v>
      </c>
      <c r="V53" s="300">
        <v>4.03</v>
      </c>
      <c r="W53" s="300">
        <v>4.03</v>
      </c>
      <c r="X53" s="300">
        <v>4.03</v>
      </c>
      <c r="Y53" s="300">
        <v>4.03</v>
      </c>
      <c r="Z53" s="300">
        <v>4.03</v>
      </c>
      <c r="AA53" s="300">
        <v>4.03</v>
      </c>
      <c r="AB53" s="59">
        <v>0.59</v>
      </c>
      <c r="AC53" s="59">
        <v>0.59</v>
      </c>
      <c r="AD53" s="59">
        <v>0.59</v>
      </c>
      <c r="AE53" s="59">
        <v>0.59</v>
      </c>
      <c r="AF53" s="59">
        <v>0.59</v>
      </c>
      <c r="AG53" s="59">
        <v>0.59</v>
      </c>
      <c r="AH53" s="59">
        <v>0.59</v>
      </c>
      <c r="AI53" s="59">
        <v>0.59</v>
      </c>
      <c r="AJ53" s="59">
        <v>0.59</v>
      </c>
      <c r="AK53" s="59">
        <v>0.59</v>
      </c>
      <c r="AL53" s="59">
        <v>0.59</v>
      </c>
      <c r="AM53" s="59">
        <v>0.59</v>
      </c>
      <c r="AN53" s="59">
        <v>0.59</v>
      </c>
      <c r="AO53" s="255"/>
      <c r="AP53" s="254">
        <f t="shared" si="0"/>
        <v>0</v>
      </c>
      <c r="AQ53" s="255"/>
      <c r="AR53" s="254">
        <f t="shared" si="1"/>
        <v>0</v>
      </c>
      <c r="AS53" s="255"/>
      <c r="AT53" s="254">
        <f t="shared" si="2"/>
        <v>0</v>
      </c>
      <c r="AU53" s="255"/>
      <c r="AV53" s="257">
        <f t="shared" si="3"/>
        <v>0</v>
      </c>
      <c r="AW53" s="381"/>
      <c r="AX53" s="257">
        <f t="shared" si="4"/>
        <v>0</v>
      </c>
      <c r="AY53" s="388"/>
      <c r="AZ53" s="257">
        <f t="shared" si="5"/>
        <v>0</v>
      </c>
      <c r="BA53" s="255"/>
      <c r="BB53" s="257">
        <f t="shared" si="6"/>
        <v>0</v>
      </c>
      <c r="BC53" s="255"/>
      <c r="BD53" s="257">
        <f t="shared" si="7"/>
        <v>0</v>
      </c>
      <c r="BE53" s="255"/>
      <c r="BF53" s="257">
        <f t="shared" si="8"/>
        <v>0</v>
      </c>
      <c r="BG53" s="255"/>
      <c r="BH53" s="257">
        <f t="shared" si="9"/>
        <v>0</v>
      </c>
      <c r="BI53" s="255"/>
      <c r="BJ53" s="257">
        <f t="shared" si="10"/>
        <v>0</v>
      </c>
      <c r="BK53" s="255"/>
      <c r="BL53" s="257">
        <f t="shared" si="11"/>
        <v>0</v>
      </c>
      <c r="BM53" s="1" t="s">
        <v>522</v>
      </c>
      <c r="BO53" s="1" t="s">
        <v>457</v>
      </c>
      <c r="BP53" s="1" t="s">
        <v>523</v>
      </c>
    </row>
    <row r="54" spans="1:68" ht="15" customHeight="1">
      <c r="A54" s="250" t="s">
        <v>451</v>
      </c>
      <c r="B54" s="59" t="s">
        <v>331</v>
      </c>
      <c r="C54" s="354" t="s">
        <v>172</v>
      </c>
      <c r="D54" s="424"/>
      <c r="E54" s="357" t="s">
        <v>173</v>
      </c>
      <c r="F54" s="417"/>
      <c r="G54" s="317">
        <v>2023</v>
      </c>
      <c r="H54" s="59" t="s">
        <v>524</v>
      </c>
      <c r="I54" s="315" t="s">
        <v>175</v>
      </c>
      <c r="J54" s="316">
        <v>11</v>
      </c>
      <c r="K54" s="59" t="s">
        <v>515</v>
      </c>
      <c r="L54" s="59" t="s">
        <v>177</v>
      </c>
      <c r="M54" s="300" t="s">
        <v>474</v>
      </c>
      <c r="N54" s="300">
        <v>3.15</v>
      </c>
      <c r="O54" s="300">
        <v>4.03</v>
      </c>
      <c r="P54" s="300">
        <v>4.03</v>
      </c>
      <c r="Q54" s="300">
        <v>4.03</v>
      </c>
      <c r="R54" s="300">
        <v>4.03</v>
      </c>
      <c r="S54" s="300">
        <v>4.03</v>
      </c>
      <c r="T54" s="300">
        <v>4.03</v>
      </c>
      <c r="U54" s="300">
        <v>4.03</v>
      </c>
      <c r="V54" s="300">
        <v>4.03</v>
      </c>
      <c r="W54" s="300">
        <v>4.03</v>
      </c>
      <c r="X54" s="300">
        <v>4.03</v>
      </c>
      <c r="Y54" s="300">
        <v>4.03</v>
      </c>
      <c r="Z54" s="300">
        <v>4.03</v>
      </c>
      <c r="AA54" s="300">
        <v>4.03</v>
      </c>
      <c r="AB54" s="59">
        <v>0.59</v>
      </c>
      <c r="AC54" s="59">
        <v>0.59</v>
      </c>
      <c r="AD54" s="59">
        <v>0.59</v>
      </c>
      <c r="AE54" s="59">
        <v>0.59</v>
      </c>
      <c r="AF54" s="59">
        <v>0.59</v>
      </c>
      <c r="AG54" s="59">
        <v>0.59</v>
      </c>
      <c r="AH54" s="59">
        <v>0.59</v>
      </c>
      <c r="AI54" s="59">
        <v>0.59</v>
      </c>
      <c r="AJ54" s="59">
        <v>0.59</v>
      </c>
      <c r="AK54" s="59">
        <v>0.59</v>
      </c>
      <c r="AL54" s="59">
        <v>0.59</v>
      </c>
      <c r="AM54" s="59">
        <v>0.59</v>
      </c>
      <c r="AN54" s="59">
        <v>0.59</v>
      </c>
      <c r="AO54" s="255">
        <v>3080</v>
      </c>
      <c r="AP54" s="254">
        <f t="shared" si="0"/>
        <v>1817.1999999999998</v>
      </c>
      <c r="AQ54" s="255">
        <v>15433</v>
      </c>
      <c r="AR54" s="254">
        <f t="shared" si="1"/>
        <v>9105.4699999999993</v>
      </c>
      <c r="AS54" s="255">
        <v>4840</v>
      </c>
      <c r="AT54" s="254">
        <f t="shared" si="2"/>
        <v>2855.6</v>
      </c>
      <c r="AU54" s="255">
        <v>24412</v>
      </c>
      <c r="AV54" s="257">
        <f t="shared" si="3"/>
        <v>14403.08</v>
      </c>
      <c r="AW54" s="381">
        <v>4800</v>
      </c>
      <c r="AX54" s="257">
        <f t="shared" si="4"/>
        <v>2832</v>
      </c>
      <c r="AY54" s="388">
        <v>4200</v>
      </c>
      <c r="AZ54" s="257">
        <f t="shared" si="5"/>
        <v>2478</v>
      </c>
      <c r="BA54" s="255">
        <v>120</v>
      </c>
      <c r="BB54" s="257">
        <f t="shared" si="6"/>
        <v>70.8</v>
      </c>
      <c r="BC54" s="255">
        <v>1920</v>
      </c>
      <c r="BD54" s="257">
        <f t="shared" si="7"/>
        <v>1132.8</v>
      </c>
      <c r="BE54" s="255">
        <v>1400</v>
      </c>
      <c r="BF54" s="257">
        <f t="shared" si="8"/>
        <v>826</v>
      </c>
      <c r="BG54" s="255">
        <v>1040</v>
      </c>
      <c r="BH54" s="257">
        <f t="shared" si="9"/>
        <v>613.6</v>
      </c>
      <c r="BI54" s="255">
        <v>1160</v>
      </c>
      <c r="BJ54" s="257">
        <f t="shared" si="10"/>
        <v>684.4</v>
      </c>
      <c r="BK54" s="255">
        <v>560</v>
      </c>
      <c r="BL54" s="257">
        <f t="shared" si="11"/>
        <v>330.4</v>
      </c>
      <c r="BM54" s="1" t="s">
        <v>525</v>
      </c>
      <c r="BO54" s="1" t="s">
        <v>457</v>
      </c>
      <c r="BP54" s="1" t="s">
        <v>526</v>
      </c>
    </row>
    <row r="55" spans="1:68" ht="15" customHeight="1">
      <c r="A55" s="250" t="s">
        <v>451</v>
      </c>
      <c r="B55" s="59" t="s">
        <v>331</v>
      </c>
      <c r="C55" s="354" t="s">
        <v>172</v>
      </c>
      <c r="D55" s="424"/>
      <c r="E55" s="357" t="s">
        <v>173</v>
      </c>
      <c r="F55" s="417"/>
      <c r="G55" s="317">
        <v>2023</v>
      </c>
      <c r="H55" s="59" t="s">
        <v>524</v>
      </c>
      <c r="I55" s="315" t="s">
        <v>175</v>
      </c>
      <c r="J55" s="316">
        <v>11</v>
      </c>
      <c r="K55" s="59" t="s">
        <v>518</v>
      </c>
      <c r="L55" s="59" t="s">
        <v>177</v>
      </c>
      <c r="M55" s="300" t="s">
        <v>474</v>
      </c>
      <c r="N55" s="300">
        <v>3.15</v>
      </c>
      <c r="O55" s="300">
        <v>4.03</v>
      </c>
      <c r="P55" s="300">
        <v>4.03</v>
      </c>
      <c r="Q55" s="300">
        <v>4.03</v>
      </c>
      <c r="R55" s="300">
        <v>4.03</v>
      </c>
      <c r="S55" s="300">
        <v>4.03</v>
      </c>
      <c r="T55" s="300">
        <v>4.03</v>
      </c>
      <c r="U55" s="300">
        <v>4.03</v>
      </c>
      <c r="V55" s="300">
        <v>4.03</v>
      </c>
      <c r="W55" s="300">
        <v>4.03</v>
      </c>
      <c r="X55" s="300">
        <v>4.03</v>
      </c>
      <c r="Y55" s="300">
        <v>4.03</v>
      </c>
      <c r="Z55" s="300">
        <v>4.03</v>
      </c>
      <c r="AA55" s="300">
        <v>4.03</v>
      </c>
      <c r="AB55" s="59">
        <v>0.59</v>
      </c>
      <c r="AC55" s="59">
        <v>0.59</v>
      </c>
      <c r="AD55" s="59">
        <v>0.59</v>
      </c>
      <c r="AE55" s="59">
        <v>0.59</v>
      </c>
      <c r="AF55" s="59">
        <v>0.59</v>
      </c>
      <c r="AG55" s="59">
        <v>0.59</v>
      </c>
      <c r="AH55" s="59">
        <v>0.59</v>
      </c>
      <c r="AI55" s="59">
        <v>0.59</v>
      </c>
      <c r="AJ55" s="59">
        <v>0.59</v>
      </c>
      <c r="AK55" s="59">
        <v>0.59</v>
      </c>
      <c r="AL55" s="59">
        <v>0.59</v>
      </c>
      <c r="AM55" s="59">
        <v>0.59</v>
      </c>
      <c r="AN55" s="59">
        <v>0.59</v>
      </c>
      <c r="AO55" s="255"/>
      <c r="AP55" s="254">
        <f t="shared" si="0"/>
        <v>0</v>
      </c>
      <c r="AQ55" s="255"/>
      <c r="AR55" s="254">
        <f t="shared" si="1"/>
        <v>0</v>
      </c>
      <c r="AS55" s="255"/>
      <c r="AT55" s="254">
        <f t="shared" si="2"/>
        <v>0</v>
      </c>
      <c r="AU55" s="255"/>
      <c r="AV55" s="257">
        <f t="shared" si="3"/>
        <v>0</v>
      </c>
      <c r="AW55" s="381"/>
      <c r="AX55" s="257">
        <f t="shared" si="4"/>
        <v>0</v>
      </c>
      <c r="AY55" s="388"/>
      <c r="AZ55" s="257">
        <f t="shared" si="5"/>
        <v>0</v>
      </c>
      <c r="BA55" s="255"/>
      <c r="BB55" s="257">
        <f t="shared" si="6"/>
        <v>0</v>
      </c>
      <c r="BC55" s="255"/>
      <c r="BD55" s="257">
        <f t="shared" si="7"/>
        <v>0</v>
      </c>
      <c r="BE55" s="255"/>
      <c r="BF55" s="257">
        <f t="shared" si="8"/>
        <v>0</v>
      </c>
      <c r="BG55" s="255"/>
      <c r="BH55" s="257">
        <f t="shared" si="9"/>
        <v>0</v>
      </c>
      <c r="BI55" s="255"/>
      <c r="BJ55" s="257">
        <f t="shared" si="10"/>
        <v>0</v>
      </c>
      <c r="BK55" s="255"/>
      <c r="BL55" s="257">
        <f t="shared" si="11"/>
        <v>0</v>
      </c>
      <c r="BM55" s="1" t="s">
        <v>527</v>
      </c>
      <c r="BO55" s="1" t="s">
        <v>457</v>
      </c>
      <c r="BP55" s="1" t="s">
        <v>528</v>
      </c>
    </row>
    <row r="56" spans="1:68" ht="15" customHeight="1">
      <c r="A56" s="250" t="s">
        <v>451</v>
      </c>
      <c r="B56" s="59" t="s">
        <v>331</v>
      </c>
      <c r="C56" s="354" t="s">
        <v>172</v>
      </c>
      <c r="D56" s="424"/>
      <c r="E56" s="357" t="s">
        <v>173</v>
      </c>
      <c r="F56" s="417"/>
      <c r="G56" s="317">
        <v>2023</v>
      </c>
      <c r="H56" s="59" t="s">
        <v>524</v>
      </c>
      <c r="I56" s="315" t="s">
        <v>175</v>
      </c>
      <c r="J56" s="316">
        <v>11</v>
      </c>
      <c r="K56" s="59" t="s">
        <v>521</v>
      </c>
      <c r="L56" s="59" t="s">
        <v>177</v>
      </c>
      <c r="M56" s="300" t="s">
        <v>474</v>
      </c>
      <c r="N56" s="300">
        <v>3.15</v>
      </c>
      <c r="O56" s="300">
        <v>4.03</v>
      </c>
      <c r="P56" s="300">
        <v>4.03</v>
      </c>
      <c r="Q56" s="300">
        <v>4.03</v>
      </c>
      <c r="R56" s="300">
        <v>4.03</v>
      </c>
      <c r="S56" s="300">
        <v>4.03</v>
      </c>
      <c r="T56" s="300">
        <v>4.03</v>
      </c>
      <c r="U56" s="300">
        <v>4.03</v>
      </c>
      <c r="V56" s="300">
        <v>4.03</v>
      </c>
      <c r="W56" s="300">
        <v>4.03</v>
      </c>
      <c r="X56" s="300">
        <v>4.03</v>
      </c>
      <c r="Y56" s="300">
        <v>4.03</v>
      </c>
      <c r="Z56" s="300">
        <v>4.03</v>
      </c>
      <c r="AA56" s="300">
        <v>4.03</v>
      </c>
      <c r="AB56" s="59">
        <v>0.59</v>
      </c>
      <c r="AC56" s="59">
        <v>0.59</v>
      </c>
      <c r="AD56" s="59">
        <v>0.59</v>
      </c>
      <c r="AE56" s="59">
        <v>0.59</v>
      </c>
      <c r="AF56" s="59">
        <v>0.59</v>
      </c>
      <c r="AG56" s="59">
        <v>0.59</v>
      </c>
      <c r="AH56" s="59">
        <v>0.59</v>
      </c>
      <c r="AI56" s="59">
        <v>0.59</v>
      </c>
      <c r="AJ56" s="59">
        <v>0.59</v>
      </c>
      <c r="AK56" s="59">
        <v>0.59</v>
      </c>
      <c r="AL56" s="59">
        <v>0.59</v>
      </c>
      <c r="AM56" s="59">
        <v>0.59</v>
      </c>
      <c r="AN56" s="59">
        <v>0.59</v>
      </c>
      <c r="AO56" s="255">
        <v>679</v>
      </c>
      <c r="AP56" s="254">
        <f t="shared" si="0"/>
        <v>400.60999999999996</v>
      </c>
      <c r="AQ56" s="255">
        <v>120</v>
      </c>
      <c r="AR56" s="254">
        <f t="shared" si="1"/>
        <v>70.8</v>
      </c>
      <c r="AS56" s="255">
        <v>120</v>
      </c>
      <c r="AT56" s="254">
        <f t="shared" si="2"/>
        <v>70.8</v>
      </c>
      <c r="AU56" s="255">
        <v>840</v>
      </c>
      <c r="AV56" s="257">
        <f t="shared" si="3"/>
        <v>495.59999999999997</v>
      </c>
      <c r="AW56" s="381">
        <v>1820</v>
      </c>
      <c r="AX56" s="257">
        <f t="shared" si="4"/>
        <v>1073.8</v>
      </c>
      <c r="AY56" s="388">
        <v>1360</v>
      </c>
      <c r="AZ56" s="257">
        <f t="shared" si="5"/>
        <v>802.4</v>
      </c>
      <c r="BA56" s="255">
        <v>360</v>
      </c>
      <c r="BB56" s="257">
        <f t="shared" si="6"/>
        <v>212.39999999999998</v>
      </c>
      <c r="BC56" s="255">
        <v>280</v>
      </c>
      <c r="BD56" s="257">
        <f t="shared" si="7"/>
        <v>165.2</v>
      </c>
      <c r="BE56" s="255">
        <v>40</v>
      </c>
      <c r="BF56" s="257">
        <f t="shared" si="8"/>
        <v>23.599999999999998</v>
      </c>
      <c r="BG56" s="255">
        <v>40</v>
      </c>
      <c r="BH56" s="257">
        <f t="shared" si="9"/>
        <v>23.599999999999998</v>
      </c>
      <c r="BI56" s="255"/>
      <c r="BJ56" s="257">
        <f t="shared" si="10"/>
        <v>0</v>
      </c>
      <c r="BK56" s="255"/>
      <c r="BL56" s="257">
        <f t="shared" si="11"/>
        <v>0</v>
      </c>
      <c r="BM56" s="1" t="s">
        <v>529</v>
      </c>
      <c r="BO56" s="1" t="s">
        <v>457</v>
      </c>
      <c r="BP56" s="1" t="s">
        <v>530</v>
      </c>
    </row>
    <row r="57" spans="1:68" ht="15" customHeight="1">
      <c r="A57" s="250" t="s">
        <v>451</v>
      </c>
      <c r="B57" s="59" t="s">
        <v>331</v>
      </c>
      <c r="C57" s="354" t="s">
        <v>172</v>
      </c>
      <c r="D57" s="424"/>
      <c r="E57" s="357" t="s">
        <v>173</v>
      </c>
      <c r="F57" s="417"/>
      <c r="G57" s="317">
        <v>2024</v>
      </c>
      <c r="H57" s="59" t="s">
        <v>524</v>
      </c>
      <c r="I57" s="315" t="s">
        <v>175</v>
      </c>
      <c r="J57" s="316">
        <v>11</v>
      </c>
      <c r="K57" s="59" t="s">
        <v>515</v>
      </c>
      <c r="L57" s="59" t="s">
        <v>177</v>
      </c>
      <c r="M57" s="300" t="s">
        <v>474</v>
      </c>
      <c r="N57" s="300">
        <v>3.15</v>
      </c>
      <c r="O57" s="300">
        <v>4.03</v>
      </c>
      <c r="P57" s="300">
        <v>4.03</v>
      </c>
      <c r="Q57" s="300">
        <v>4.03</v>
      </c>
      <c r="R57" s="300">
        <v>4.03</v>
      </c>
      <c r="S57" s="300">
        <v>4.03</v>
      </c>
      <c r="T57" s="300">
        <v>4.03</v>
      </c>
      <c r="U57" s="300">
        <v>4.03</v>
      </c>
      <c r="V57" s="300">
        <v>4.03</v>
      </c>
      <c r="W57" s="300">
        <v>4.03</v>
      </c>
      <c r="X57" s="300">
        <v>4.03</v>
      </c>
      <c r="Y57" s="300">
        <v>4.03</v>
      </c>
      <c r="Z57" s="300">
        <v>4.03</v>
      </c>
      <c r="AA57" s="300">
        <v>4.03</v>
      </c>
      <c r="AB57" s="59">
        <v>0.59</v>
      </c>
      <c r="AC57" s="59">
        <v>0.59</v>
      </c>
      <c r="AD57" s="59">
        <v>0.59</v>
      </c>
      <c r="AE57" s="59">
        <v>0.59</v>
      </c>
      <c r="AF57" s="59">
        <v>0.59</v>
      </c>
      <c r="AG57" s="59">
        <v>0.59</v>
      </c>
      <c r="AH57" s="59">
        <v>0.59</v>
      </c>
      <c r="AI57" s="59">
        <v>0.59</v>
      </c>
      <c r="AJ57" s="59">
        <v>0.59</v>
      </c>
      <c r="AK57" s="59">
        <v>0.59</v>
      </c>
      <c r="AL57" s="59">
        <v>0.59</v>
      </c>
      <c r="AM57" s="59">
        <v>0.59</v>
      </c>
      <c r="AN57" s="59">
        <v>0.59</v>
      </c>
      <c r="AO57" s="255"/>
      <c r="AP57" s="254">
        <f t="shared" si="0"/>
        <v>0</v>
      </c>
      <c r="AQ57" s="255"/>
      <c r="AR57" s="254">
        <f t="shared" si="1"/>
        <v>0</v>
      </c>
      <c r="AS57" s="255">
        <v>80</v>
      </c>
      <c r="AT57" s="254">
        <f t="shared" si="2"/>
        <v>47.199999999999996</v>
      </c>
      <c r="AU57" s="255">
        <v>80</v>
      </c>
      <c r="AV57" s="257">
        <f t="shared" si="3"/>
        <v>47.199999999999996</v>
      </c>
      <c r="AW57" s="381">
        <v>7160</v>
      </c>
      <c r="AX57" s="257">
        <f t="shared" si="4"/>
        <v>4224.3999999999996</v>
      </c>
      <c r="AY57" s="388">
        <v>2760</v>
      </c>
      <c r="AZ57" s="257">
        <f t="shared" si="5"/>
        <v>1628.3999999999999</v>
      </c>
      <c r="BA57" s="255">
        <v>10600</v>
      </c>
      <c r="BB57" s="257">
        <f t="shared" si="6"/>
        <v>6254</v>
      </c>
      <c r="BC57" s="255">
        <v>10059</v>
      </c>
      <c r="BD57" s="257">
        <f t="shared" si="7"/>
        <v>5934.8099999999995</v>
      </c>
      <c r="BE57" s="255">
        <v>11120</v>
      </c>
      <c r="BF57" s="257">
        <f t="shared" si="8"/>
        <v>6560.7999999999993</v>
      </c>
      <c r="BG57" s="255">
        <v>2080</v>
      </c>
      <c r="BH57" s="257">
        <f t="shared" si="9"/>
        <v>1227.2</v>
      </c>
      <c r="BI57" s="255">
        <v>26970</v>
      </c>
      <c r="BJ57" s="257">
        <f t="shared" si="10"/>
        <v>15912.3</v>
      </c>
      <c r="BK57" s="255">
        <v>11460</v>
      </c>
      <c r="BL57" s="257">
        <f t="shared" si="11"/>
        <v>6761.4</v>
      </c>
      <c r="BM57" s="1" t="s">
        <v>531</v>
      </c>
      <c r="BN57" s="1" t="s">
        <v>532</v>
      </c>
      <c r="BO57" s="1" t="s">
        <v>457</v>
      </c>
      <c r="BP57" s="1" t="s">
        <v>533</v>
      </c>
    </row>
    <row r="58" spans="1:68" ht="15" customHeight="1">
      <c r="A58" s="250" t="s">
        <v>451</v>
      </c>
      <c r="B58" s="59" t="s">
        <v>331</v>
      </c>
      <c r="C58" s="354" t="s">
        <v>172</v>
      </c>
      <c r="D58" s="424"/>
      <c r="E58" s="357" t="s">
        <v>173</v>
      </c>
      <c r="F58" s="417"/>
      <c r="G58" s="317">
        <v>2024</v>
      </c>
      <c r="H58" s="59" t="s">
        <v>524</v>
      </c>
      <c r="I58" s="315" t="s">
        <v>175</v>
      </c>
      <c r="J58" s="316">
        <v>11</v>
      </c>
      <c r="K58" s="59" t="s">
        <v>534</v>
      </c>
      <c r="L58" s="59" t="s">
        <v>177</v>
      </c>
      <c r="M58" s="300" t="s">
        <v>474</v>
      </c>
      <c r="N58" s="300">
        <v>3.15</v>
      </c>
      <c r="O58" s="300">
        <v>4.03</v>
      </c>
      <c r="P58" s="300">
        <v>4.03</v>
      </c>
      <c r="Q58" s="300">
        <v>4.03</v>
      </c>
      <c r="R58" s="300">
        <v>4.03</v>
      </c>
      <c r="S58" s="300">
        <v>4.03</v>
      </c>
      <c r="T58" s="300">
        <v>4.03</v>
      </c>
      <c r="U58" s="300">
        <v>4.03</v>
      </c>
      <c r="V58" s="300">
        <v>4.03</v>
      </c>
      <c r="W58" s="300">
        <v>4.03</v>
      </c>
      <c r="X58" s="300">
        <v>4.03</v>
      </c>
      <c r="Y58" s="300">
        <v>4.03</v>
      </c>
      <c r="Z58" s="300">
        <v>4.03</v>
      </c>
      <c r="AA58" s="300">
        <v>4.03</v>
      </c>
      <c r="AB58" s="59">
        <v>0.59</v>
      </c>
      <c r="AC58" s="59">
        <v>0.59</v>
      </c>
      <c r="AD58" s="59">
        <v>0.59</v>
      </c>
      <c r="AE58" s="59">
        <v>0.59</v>
      </c>
      <c r="AF58" s="59">
        <v>0.59</v>
      </c>
      <c r="AG58" s="59">
        <v>0.59</v>
      </c>
      <c r="AH58" s="59">
        <v>0.59</v>
      </c>
      <c r="AI58" s="59">
        <v>0.59</v>
      </c>
      <c r="AJ58" s="59">
        <v>0.59</v>
      </c>
      <c r="AK58" s="59">
        <v>0.59</v>
      </c>
      <c r="AL58" s="59">
        <v>0.59</v>
      </c>
      <c r="AM58" s="59">
        <v>0.59</v>
      </c>
      <c r="AN58" s="59">
        <v>0.59</v>
      </c>
      <c r="AO58" s="255"/>
      <c r="AP58" s="254">
        <f t="shared" si="0"/>
        <v>0</v>
      </c>
      <c r="AQ58" s="255"/>
      <c r="AR58" s="254">
        <f t="shared" si="1"/>
        <v>0</v>
      </c>
      <c r="AS58" s="255"/>
      <c r="AT58" s="254">
        <f t="shared" si="2"/>
        <v>0</v>
      </c>
      <c r="AU58" s="255"/>
      <c r="AV58" s="257">
        <f t="shared" si="3"/>
        <v>0</v>
      </c>
      <c r="AW58" s="381">
        <v>1720</v>
      </c>
      <c r="AX58" s="257">
        <f t="shared" si="4"/>
        <v>1014.8</v>
      </c>
      <c r="AY58" s="388">
        <v>720</v>
      </c>
      <c r="AZ58" s="257">
        <f t="shared" si="5"/>
        <v>424.79999999999995</v>
      </c>
      <c r="BA58" s="255">
        <v>1080</v>
      </c>
      <c r="BB58" s="257">
        <f t="shared" si="6"/>
        <v>637.19999999999993</v>
      </c>
      <c r="BC58" s="255">
        <v>800</v>
      </c>
      <c r="BD58" s="257">
        <f t="shared" si="7"/>
        <v>472</v>
      </c>
      <c r="BE58" s="255">
        <v>1200</v>
      </c>
      <c r="BF58" s="257">
        <f t="shared" si="8"/>
        <v>708</v>
      </c>
      <c r="BG58" s="255">
        <v>240</v>
      </c>
      <c r="BH58" s="257">
        <f t="shared" si="9"/>
        <v>141.6</v>
      </c>
      <c r="BI58" s="255">
        <v>400</v>
      </c>
      <c r="BJ58" s="257">
        <f t="shared" si="10"/>
        <v>236</v>
      </c>
      <c r="BK58" s="255">
        <v>800</v>
      </c>
      <c r="BL58" s="257">
        <f t="shared" si="11"/>
        <v>472</v>
      </c>
      <c r="BM58" s="1" t="s">
        <v>535</v>
      </c>
      <c r="BN58" s="1" t="s">
        <v>532</v>
      </c>
      <c r="BO58" s="1" t="s">
        <v>457</v>
      </c>
      <c r="BP58" s="1" t="s">
        <v>536</v>
      </c>
    </row>
    <row r="59" spans="1:68" ht="15" customHeight="1">
      <c r="A59" s="250" t="s">
        <v>451</v>
      </c>
      <c r="B59" s="59" t="s">
        <v>331</v>
      </c>
      <c r="C59" s="354" t="s">
        <v>172</v>
      </c>
      <c r="D59" s="424"/>
      <c r="E59" s="357" t="s">
        <v>173</v>
      </c>
      <c r="F59" s="417"/>
      <c r="G59" s="317">
        <v>2023</v>
      </c>
      <c r="H59" s="59" t="s">
        <v>524</v>
      </c>
      <c r="I59" s="315" t="s">
        <v>175</v>
      </c>
      <c r="J59" s="316">
        <v>11</v>
      </c>
      <c r="K59" s="59" t="s">
        <v>515</v>
      </c>
      <c r="L59" s="59" t="s">
        <v>464</v>
      </c>
      <c r="M59" s="300" t="s">
        <v>513</v>
      </c>
      <c r="N59" s="300">
        <v>3.15</v>
      </c>
      <c r="O59" s="300">
        <v>4.03</v>
      </c>
      <c r="P59" s="300">
        <v>4.03</v>
      </c>
      <c r="Q59" s="300">
        <v>4.03</v>
      </c>
      <c r="R59" s="300">
        <v>4.03</v>
      </c>
      <c r="S59" s="300">
        <v>4.03</v>
      </c>
      <c r="T59" s="300">
        <v>4.03</v>
      </c>
      <c r="U59" s="300">
        <v>4.03</v>
      </c>
      <c r="V59" s="300">
        <v>4.03</v>
      </c>
      <c r="W59" s="300">
        <v>4.03</v>
      </c>
      <c r="X59" s="300">
        <v>4.03</v>
      </c>
      <c r="Y59" s="300">
        <v>4.03</v>
      </c>
      <c r="Z59" s="300">
        <v>4.03</v>
      </c>
      <c r="AA59" s="300">
        <v>4.03</v>
      </c>
      <c r="AB59" s="59">
        <v>0.59</v>
      </c>
      <c r="AC59" s="59">
        <v>0.59</v>
      </c>
      <c r="AD59" s="59">
        <v>0.59</v>
      </c>
      <c r="AE59" s="59">
        <v>0.59</v>
      </c>
      <c r="AF59" s="59">
        <v>0.59</v>
      </c>
      <c r="AG59" s="59">
        <v>0.59</v>
      </c>
      <c r="AH59" s="59">
        <v>0.59</v>
      </c>
      <c r="AI59" s="59">
        <v>0.59</v>
      </c>
      <c r="AJ59" s="59">
        <v>0.59</v>
      </c>
      <c r="AK59" s="59">
        <v>0.59</v>
      </c>
      <c r="AL59" s="59">
        <v>0.59</v>
      </c>
      <c r="AM59" s="59">
        <v>0.59</v>
      </c>
      <c r="AN59" s="59">
        <v>0.59</v>
      </c>
      <c r="AO59" s="255"/>
      <c r="AP59" s="254">
        <f t="shared" si="0"/>
        <v>0</v>
      </c>
      <c r="AQ59" s="255"/>
      <c r="AR59" s="254">
        <f t="shared" si="1"/>
        <v>0</v>
      </c>
      <c r="AS59" s="255"/>
      <c r="AT59" s="254">
        <f t="shared" si="2"/>
        <v>0</v>
      </c>
      <c r="AU59" s="255"/>
      <c r="AV59" s="257">
        <f t="shared" si="3"/>
        <v>0</v>
      </c>
      <c r="AW59" s="381"/>
      <c r="AX59" s="257">
        <f t="shared" si="4"/>
        <v>0</v>
      </c>
      <c r="AY59" s="388"/>
      <c r="AZ59" s="257">
        <f t="shared" si="5"/>
        <v>0</v>
      </c>
      <c r="BA59" s="255"/>
      <c r="BB59" s="257">
        <f t="shared" si="6"/>
        <v>0</v>
      </c>
      <c r="BC59" s="255">
        <v>400</v>
      </c>
      <c r="BD59" s="257">
        <f t="shared" si="7"/>
        <v>236</v>
      </c>
      <c r="BE59" s="255"/>
      <c r="BF59" s="257">
        <f t="shared" si="8"/>
        <v>0</v>
      </c>
      <c r="BG59" s="255"/>
      <c r="BH59" s="257">
        <f t="shared" si="9"/>
        <v>0</v>
      </c>
      <c r="BI59" s="255">
        <v>6520</v>
      </c>
      <c r="BJ59" s="257">
        <f t="shared" si="10"/>
        <v>3846.7999999999997</v>
      </c>
      <c r="BK59" s="255"/>
      <c r="BL59" s="257">
        <f t="shared" si="11"/>
        <v>0</v>
      </c>
      <c r="BM59" s="1" t="s">
        <v>525</v>
      </c>
      <c r="BO59" s="1" t="s">
        <v>457</v>
      </c>
      <c r="BP59" s="1" t="s">
        <v>526</v>
      </c>
    </row>
    <row r="60" spans="1:68" ht="15" customHeight="1">
      <c r="A60" s="250" t="s">
        <v>451</v>
      </c>
      <c r="B60" s="59" t="s">
        <v>331</v>
      </c>
      <c r="C60" s="354" t="s">
        <v>172</v>
      </c>
      <c r="D60" s="424"/>
      <c r="E60" s="357" t="s">
        <v>173</v>
      </c>
      <c r="F60" s="417"/>
      <c r="G60" s="317">
        <v>2023</v>
      </c>
      <c r="H60" s="59" t="s">
        <v>524</v>
      </c>
      <c r="I60" s="315" t="s">
        <v>175</v>
      </c>
      <c r="J60" s="316">
        <v>11</v>
      </c>
      <c r="K60" s="59" t="s">
        <v>518</v>
      </c>
      <c r="L60" s="59" t="s">
        <v>464</v>
      </c>
      <c r="M60" s="300" t="s">
        <v>513</v>
      </c>
      <c r="N60" s="300">
        <v>3.15</v>
      </c>
      <c r="O60" s="300">
        <v>4.03</v>
      </c>
      <c r="P60" s="300">
        <v>4.03</v>
      </c>
      <c r="Q60" s="300">
        <v>4.03</v>
      </c>
      <c r="R60" s="300">
        <v>4.03</v>
      </c>
      <c r="S60" s="300">
        <v>4.03</v>
      </c>
      <c r="T60" s="300">
        <v>4.03</v>
      </c>
      <c r="U60" s="300">
        <v>4.03</v>
      </c>
      <c r="V60" s="300">
        <v>4.03</v>
      </c>
      <c r="W60" s="300">
        <v>4.03</v>
      </c>
      <c r="X60" s="300">
        <v>4.03</v>
      </c>
      <c r="Y60" s="300">
        <v>4.03</v>
      </c>
      <c r="Z60" s="300">
        <v>4.03</v>
      </c>
      <c r="AA60" s="300">
        <v>4.03</v>
      </c>
      <c r="AB60" s="59">
        <v>0.59</v>
      </c>
      <c r="AC60" s="59">
        <v>0.59</v>
      </c>
      <c r="AD60" s="59">
        <v>0.59</v>
      </c>
      <c r="AE60" s="59">
        <v>0.59</v>
      </c>
      <c r="AF60" s="59">
        <v>0.59</v>
      </c>
      <c r="AG60" s="59">
        <v>0.59</v>
      </c>
      <c r="AH60" s="59">
        <v>0.59</v>
      </c>
      <c r="AI60" s="59">
        <v>0.59</v>
      </c>
      <c r="AJ60" s="59">
        <v>0.59</v>
      </c>
      <c r="AK60" s="59">
        <v>0.59</v>
      </c>
      <c r="AL60" s="59">
        <v>0.59</v>
      </c>
      <c r="AM60" s="59">
        <v>0.59</v>
      </c>
      <c r="AN60" s="59">
        <v>0.59</v>
      </c>
      <c r="AO60" s="255"/>
      <c r="AP60" s="254">
        <f t="shared" si="0"/>
        <v>0</v>
      </c>
      <c r="AQ60" s="255"/>
      <c r="AR60" s="254">
        <f t="shared" si="1"/>
        <v>0</v>
      </c>
      <c r="AS60" s="255"/>
      <c r="AT60" s="254">
        <f t="shared" si="2"/>
        <v>0</v>
      </c>
      <c r="AU60" s="255"/>
      <c r="AV60" s="257">
        <f t="shared" si="3"/>
        <v>0</v>
      </c>
      <c r="AW60" s="381"/>
      <c r="AX60" s="257">
        <f t="shared" si="4"/>
        <v>0</v>
      </c>
      <c r="AY60" s="388"/>
      <c r="AZ60" s="257">
        <f t="shared" si="5"/>
        <v>0</v>
      </c>
      <c r="BA60" s="255"/>
      <c r="BB60" s="257">
        <f t="shared" si="6"/>
        <v>0</v>
      </c>
      <c r="BC60" s="255"/>
      <c r="BD60" s="257">
        <f t="shared" si="7"/>
        <v>0</v>
      </c>
      <c r="BE60" s="255"/>
      <c r="BF60" s="257">
        <f t="shared" si="8"/>
        <v>0</v>
      </c>
      <c r="BG60" s="255"/>
      <c r="BH60" s="257">
        <f t="shared" si="9"/>
        <v>0</v>
      </c>
      <c r="BI60" s="255"/>
      <c r="BJ60" s="257">
        <f t="shared" si="10"/>
        <v>0</v>
      </c>
      <c r="BK60" s="255"/>
      <c r="BL60" s="257">
        <f t="shared" si="11"/>
        <v>0</v>
      </c>
      <c r="BM60" s="1" t="s">
        <v>527</v>
      </c>
      <c r="BO60" s="1" t="s">
        <v>457</v>
      </c>
      <c r="BP60" s="1" t="s">
        <v>528</v>
      </c>
    </row>
    <row r="61" spans="1:68" ht="15" customHeight="1">
      <c r="A61" s="250" t="s">
        <v>451</v>
      </c>
      <c r="B61" s="59" t="s">
        <v>331</v>
      </c>
      <c r="C61" s="354" t="s">
        <v>172</v>
      </c>
      <c r="D61" s="424"/>
      <c r="E61" s="357" t="s">
        <v>173</v>
      </c>
      <c r="F61" s="417"/>
      <c r="G61" s="317">
        <v>2023</v>
      </c>
      <c r="H61" s="59" t="s">
        <v>524</v>
      </c>
      <c r="I61" s="315" t="s">
        <v>175</v>
      </c>
      <c r="J61" s="316">
        <v>11</v>
      </c>
      <c r="K61" s="59" t="s">
        <v>521</v>
      </c>
      <c r="L61" s="59" t="s">
        <v>464</v>
      </c>
      <c r="M61" s="300" t="s">
        <v>513</v>
      </c>
      <c r="N61" s="300">
        <v>3.15</v>
      </c>
      <c r="O61" s="300">
        <v>4.03</v>
      </c>
      <c r="P61" s="300">
        <v>4.03</v>
      </c>
      <c r="Q61" s="300">
        <v>4.03</v>
      </c>
      <c r="R61" s="300">
        <v>4.03</v>
      </c>
      <c r="S61" s="300">
        <v>4.03</v>
      </c>
      <c r="T61" s="300">
        <v>4.03</v>
      </c>
      <c r="U61" s="300">
        <v>4.03</v>
      </c>
      <c r="V61" s="300">
        <v>4.03</v>
      </c>
      <c r="W61" s="300">
        <v>4.03</v>
      </c>
      <c r="X61" s="300">
        <v>4.03</v>
      </c>
      <c r="Y61" s="300">
        <v>4.03</v>
      </c>
      <c r="Z61" s="300">
        <v>4.03</v>
      </c>
      <c r="AA61" s="300">
        <v>4.03</v>
      </c>
      <c r="AB61" s="59">
        <v>0.59</v>
      </c>
      <c r="AC61" s="59">
        <v>0.59</v>
      </c>
      <c r="AD61" s="59">
        <v>0.59</v>
      </c>
      <c r="AE61" s="59">
        <v>0.59</v>
      </c>
      <c r="AF61" s="59">
        <v>0.59</v>
      </c>
      <c r="AG61" s="59">
        <v>0.59</v>
      </c>
      <c r="AH61" s="59">
        <v>0.59</v>
      </c>
      <c r="AI61" s="59">
        <v>0.59</v>
      </c>
      <c r="AJ61" s="59">
        <v>0.59</v>
      </c>
      <c r="AK61" s="59">
        <v>0.59</v>
      </c>
      <c r="AL61" s="59">
        <v>0.59</v>
      </c>
      <c r="AM61" s="59">
        <v>0.59</v>
      </c>
      <c r="AN61" s="59">
        <v>0.59</v>
      </c>
      <c r="AO61" s="255"/>
      <c r="AP61" s="254">
        <f t="shared" si="0"/>
        <v>0</v>
      </c>
      <c r="AQ61" s="255"/>
      <c r="AR61" s="254">
        <f t="shared" si="1"/>
        <v>0</v>
      </c>
      <c r="AS61" s="255"/>
      <c r="AT61" s="254">
        <f t="shared" si="2"/>
        <v>0</v>
      </c>
      <c r="AU61" s="255"/>
      <c r="AV61" s="257">
        <f t="shared" si="3"/>
        <v>0</v>
      </c>
      <c r="AW61" s="381"/>
      <c r="AX61" s="257">
        <f t="shared" si="4"/>
        <v>0</v>
      </c>
      <c r="AY61" s="388"/>
      <c r="AZ61" s="257">
        <f t="shared" si="5"/>
        <v>0</v>
      </c>
      <c r="BA61" s="255"/>
      <c r="BB61" s="257">
        <f t="shared" si="6"/>
        <v>0</v>
      </c>
      <c r="BC61" s="255"/>
      <c r="BD61" s="257">
        <f t="shared" si="7"/>
        <v>0</v>
      </c>
      <c r="BE61" s="255"/>
      <c r="BF61" s="257">
        <f t="shared" si="8"/>
        <v>0</v>
      </c>
      <c r="BG61" s="255"/>
      <c r="BH61" s="257">
        <f t="shared" si="9"/>
        <v>0</v>
      </c>
      <c r="BI61" s="255"/>
      <c r="BJ61" s="257">
        <f t="shared" si="10"/>
        <v>0</v>
      </c>
      <c r="BK61" s="255"/>
      <c r="BL61" s="257">
        <f t="shared" si="11"/>
        <v>0</v>
      </c>
      <c r="BM61" s="1" t="s">
        <v>529</v>
      </c>
      <c r="BO61" s="1" t="s">
        <v>457</v>
      </c>
      <c r="BP61" s="1" t="s">
        <v>530</v>
      </c>
    </row>
    <row r="62" spans="1:68" ht="15" customHeight="1">
      <c r="A62" s="250" t="s">
        <v>451</v>
      </c>
      <c r="B62" s="59" t="s">
        <v>331</v>
      </c>
      <c r="C62" s="354" t="s">
        <v>172</v>
      </c>
      <c r="D62" s="424"/>
      <c r="E62" s="357" t="s">
        <v>173</v>
      </c>
      <c r="F62" s="417"/>
      <c r="G62" s="317">
        <v>2024</v>
      </c>
      <c r="H62" s="59" t="s">
        <v>524</v>
      </c>
      <c r="I62" s="315" t="s">
        <v>175</v>
      </c>
      <c r="J62" s="316">
        <v>11</v>
      </c>
      <c r="K62" s="59" t="s">
        <v>515</v>
      </c>
      <c r="L62" s="59" t="s">
        <v>464</v>
      </c>
      <c r="M62" s="300" t="s">
        <v>513</v>
      </c>
      <c r="N62" s="300">
        <v>3.15</v>
      </c>
      <c r="O62" s="300">
        <v>4.03</v>
      </c>
      <c r="P62" s="300">
        <v>4.03</v>
      </c>
      <c r="Q62" s="300">
        <v>4.03</v>
      </c>
      <c r="R62" s="300">
        <v>4.03</v>
      </c>
      <c r="S62" s="300">
        <v>4.03</v>
      </c>
      <c r="T62" s="300">
        <v>4.03</v>
      </c>
      <c r="U62" s="300">
        <v>4.03</v>
      </c>
      <c r="V62" s="300">
        <v>4.03</v>
      </c>
      <c r="W62" s="300">
        <v>4.03</v>
      </c>
      <c r="X62" s="300">
        <v>4.03</v>
      </c>
      <c r="Y62" s="300">
        <v>4.03</v>
      </c>
      <c r="Z62" s="300">
        <v>4.03</v>
      </c>
      <c r="AA62" s="300">
        <v>4.03</v>
      </c>
      <c r="AB62" s="59">
        <v>0.59</v>
      </c>
      <c r="AC62" s="59">
        <v>0.59</v>
      </c>
      <c r="AD62" s="59">
        <v>0.59</v>
      </c>
      <c r="AE62" s="59">
        <v>0.59</v>
      </c>
      <c r="AF62" s="59">
        <v>0.59</v>
      </c>
      <c r="AG62" s="59">
        <v>0.59</v>
      </c>
      <c r="AH62" s="59">
        <v>0.59</v>
      </c>
      <c r="AI62" s="59">
        <v>0.59</v>
      </c>
      <c r="AJ62" s="59">
        <v>0.59</v>
      </c>
      <c r="AK62" s="59">
        <v>0.59</v>
      </c>
      <c r="AL62" s="59">
        <v>0.59</v>
      </c>
      <c r="AM62" s="59">
        <v>0.59</v>
      </c>
      <c r="AN62" s="59">
        <v>0.59</v>
      </c>
      <c r="AO62" s="255"/>
      <c r="AP62" s="254">
        <f t="shared" si="0"/>
        <v>0</v>
      </c>
      <c r="AQ62" s="255"/>
      <c r="AR62" s="254">
        <f t="shared" si="1"/>
        <v>0</v>
      </c>
      <c r="AS62" s="255"/>
      <c r="AT62" s="254">
        <f t="shared" si="2"/>
        <v>0</v>
      </c>
      <c r="AU62" s="255"/>
      <c r="AV62" s="257">
        <f t="shared" si="3"/>
        <v>0</v>
      </c>
      <c r="AW62" s="381"/>
      <c r="AX62" s="257">
        <f t="shared" si="4"/>
        <v>0</v>
      </c>
      <c r="AY62" s="388"/>
      <c r="AZ62" s="257">
        <f t="shared" si="5"/>
        <v>0</v>
      </c>
      <c r="BA62" s="255"/>
      <c r="BB62" s="257">
        <f t="shared" si="6"/>
        <v>0</v>
      </c>
      <c r="BC62" s="255"/>
      <c r="BD62" s="257">
        <f t="shared" si="7"/>
        <v>0</v>
      </c>
      <c r="BE62" s="255">
        <v>7600</v>
      </c>
      <c r="BF62" s="257">
        <f t="shared" si="8"/>
        <v>4484</v>
      </c>
      <c r="BG62" s="255">
        <v>1920</v>
      </c>
      <c r="BH62" s="257">
        <f t="shared" si="9"/>
        <v>1132.8</v>
      </c>
      <c r="BI62" s="255">
        <v>520</v>
      </c>
      <c r="BJ62" s="257">
        <f t="shared" si="10"/>
        <v>306.8</v>
      </c>
      <c r="BK62" s="255">
        <v>6660</v>
      </c>
      <c r="BL62" s="257">
        <f t="shared" si="11"/>
        <v>3929.3999999999996</v>
      </c>
      <c r="BM62" s="1" t="s">
        <v>531</v>
      </c>
      <c r="BN62" s="1" t="s">
        <v>532</v>
      </c>
      <c r="BO62" s="1" t="s">
        <v>457</v>
      </c>
      <c r="BP62" s="1" t="s">
        <v>533</v>
      </c>
    </row>
    <row r="63" spans="1:68" ht="15" customHeight="1">
      <c r="A63" s="250" t="s">
        <v>451</v>
      </c>
      <c r="B63" s="59" t="s">
        <v>331</v>
      </c>
      <c r="C63" s="354" t="s">
        <v>172</v>
      </c>
      <c r="D63" s="424"/>
      <c r="E63" s="357" t="s">
        <v>173</v>
      </c>
      <c r="F63" s="417"/>
      <c r="G63" s="317">
        <v>2024</v>
      </c>
      <c r="H63" s="59" t="s">
        <v>524</v>
      </c>
      <c r="I63" s="315" t="s">
        <v>175</v>
      </c>
      <c r="J63" s="316">
        <v>11</v>
      </c>
      <c r="K63" s="59" t="s">
        <v>534</v>
      </c>
      <c r="L63" s="59" t="s">
        <v>464</v>
      </c>
      <c r="M63" s="300" t="s">
        <v>513</v>
      </c>
      <c r="N63" s="300">
        <v>3.15</v>
      </c>
      <c r="O63" s="300">
        <v>4.03</v>
      </c>
      <c r="P63" s="300">
        <v>4.03</v>
      </c>
      <c r="Q63" s="300">
        <v>4.03</v>
      </c>
      <c r="R63" s="300">
        <v>4.03</v>
      </c>
      <c r="S63" s="300">
        <v>4.03</v>
      </c>
      <c r="T63" s="300">
        <v>4.03</v>
      </c>
      <c r="U63" s="300">
        <v>4.03</v>
      </c>
      <c r="V63" s="300">
        <v>4.03</v>
      </c>
      <c r="W63" s="300">
        <v>4.03</v>
      </c>
      <c r="X63" s="300">
        <v>4.03</v>
      </c>
      <c r="Y63" s="300">
        <v>4.03</v>
      </c>
      <c r="Z63" s="300">
        <v>4.03</v>
      </c>
      <c r="AA63" s="300">
        <v>4.03</v>
      </c>
      <c r="AB63" s="59">
        <v>0.59</v>
      </c>
      <c r="AC63" s="59">
        <v>0.59</v>
      </c>
      <c r="AD63" s="59">
        <v>0.59</v>
      </c>
      <c r="AE63" s="59">
        <v>0.59</v>
      </c>
      <c r="AF63" s="59">
        <v>0.59</v>
      </c>
      <c r="AG63" s="59">
        <v>0.59</v>
      </c>
      <c r="AH63" s="59">
        <v>0.59</v>
      </c>
      <c r="AI63" s="59">
        <v>0.59</v>
      </c>
      <c r="AJ63" s="59">
        <v>0.59</v>
      </c>
      <c r="AK63" s="59">
        <v>0.59</v>
      </c>
      <c r="AL63" s="59">
        <v>0.59</v>
      </c>
      <c r="AM63" s="59">
        <v>0.59</v>
      </c>
      <c r="AN63" s="59">
        <v>0.59</v>
      </c>
      <c r="AO63" s="255"/>
      <c r="AP63" s="254">
        <f t="shared" si="0"/>
        <v>0</v>
      </c>
      <c r="AQ63" s="255"/>
      <c r="AR63" s="254">
        <f t="shared" si="1"/>
        <v>0</v>
      </c>
      <c r="AS63" s="255"/>
      <c r="AT63" s="254">
        <f t="shared" si="2"/>
        <v>0</v>
      </c>
      <c r="AU63" s="255"/>
      <c r="AV63" s="257">
        <f t="shared" si="3"/>
        <v>0</v>
      </c>
      <c r="AW63" s="381"/>
      <c r="AX63" s="257">
        <f t="shared" si="4"/>
        <v>0</v>
      </c>
      <c r="AY63" s="388"/>
      <c r="AZ63" s="257">
        <f t="shared" si="5"/>
        <v>0</v>
      </c>
      <c r="BA63" s="255"/>
      <c r="BB63" s="257">
        <f t="shared" si="6"/>
        <v>0</v>
      </c>
      <c r="BC63" s="255"/>
      <c r="BD63" s="257">
        <f t="shared" si="7"/>
        <v>0</v>
      </c>
      <c r="BE63" s="255"/>
      <c r="BF63" s="257">
        <f t="shared" si="8"/>
        <v>0</v>
      </c>
      <c r="BG63" s="255"/>
      <c r="BH63" s="257">
        <f t="shared" si="9"/>
        <v>0</v>
      </c>
      <c r="BI63" s="255"/>
      <c r="BJ63" s="257">
        <f t="shared" si="10"/>
        <v>0</v>
      </c>
      <c r="BK63" s="255"/>
      <c r="BL63" s="257">
        <f t="shared" si="11"/>
        <v>0</v>
      </c>
      <c r="BM63" s="1" t="s">
        <v>535</v>
      </c>
      <c r="BN63" s="1" t="s">
        <v>532</v>
      </c>
      <c r="BO63" s="1" t="s">
        <v>457</v>
      </c>
      <c r="BP63" s="1" t="s">
        <v>536</v>
      </c>
    </row>
    <row r="64" spans="1:68" ht="15" customHeight="1">
      <c r="A64" s="250" t="s">
        <v>451</v>
      </c>
      <c r="B64" s="59" t="s">
        <v>331</v>
      </c>
      <c r="C64" s="354" t="s">
        <v>172</v>
      </c>
      <c r="D64" s="424"/>
      <c r="E64" s="357" t="s">
        <v>173</v>
      </c>
      <c r="F64" s="417"/>
      <c r="G64" s="317">
        <v>2022</v>
      </c>
      <c r="H64" s="59" t="s">
        <v>537</v>
      </c>
      <c r="I64" s="315" t="s">
        <v>175</v>
      </c>
      <c r="J64" s="316">
        <v>14</v>
      </c>
      <c r="K64" s="59" t="s">
        <v>180</v>
      </c>
      <c r="L64" s="59" t="s">
        <v>177</v>
      </c>
      <c r="M64" s="300" t="s">
        <v>474</v>
      </c>
      <c r="N64" s="300">
        <v>3.15</v>
      </c>
      <c r="O64" s="300">
        <v>4.9000000000000004</v>
      </c>
      <c r="P64" s="300">
        <v>4.9000000000000004</v>
      </c>
      <c r="Q64" s="300">
        <v>4.9000000000000004</v>
      </c>
      <c r="R64" s="300">
        <v>4.9000000000000004</v>
      </c>
      <c r="S64" s="300">
        <v>4.9000000000000004</v>
      </c>
      <c r="T64" s="300">
        <v>4.9000000000000004</v>
      </c>
      <c r="U64" s="300">
        <v>4.9000000000000004</v>
      </c>
      <c r="V64" s="300">
        <v>4.9000000000000004</v>
      </c>
      <c r="W64" s="300">
        <v>4.9000000000000004</v>
      </c>
      <c r="X64" s="300">
        <v>4.9000000000000004</v>
      </c>
      <c r="Y64" s="300">
        <v>4.9000000000000004</v>
      </c>
      <c r="Z64" s="300">
        <v>4.9000000000000004</v>
      </c>
      <c r="AA64" s="300">
        <v>4.9000000000000004</v>
      </c>
      <c r="AB64" s="59">
        <v>1.5</v>
      </c>
      <c r="AC64" s="59">
        <v>1.5</v>
      </c>
      <c r="AD64" s="59">
        <v>1.5</v>
      </c>
      <c r="AE64" s="59">
        <v>1.5</v>
      </c>
      <c r="AF64" s="59">
        <v>1.5</v>
      </c>
      <c r="AG64" s="59">
        <v>1.5</v>
      </c>
      <c r="AH64" s="59">
        <v>1.5</v>
      </c>
      <c r="AI64" s="59">
        <v>1.5</v>
      </c>
      <c r="AJ64" s="59">
        <v>1.5</v>
      </c>
      <c r="AK64" s="59">
        <v>1.5</v>
      </c>
      <c r="AL64" s="59">
        <v>1.5</v>
      </c>
      <c r="AM64" s="59">
        <v>1.5</v>
      </c>
      <c r="AN64" s="59">
        <v>1.5</v>
      </c>
      <c r="AO64" s="255">
        <v>680</v>
      </c>
      <c r="AP64" s="254">
        <f t="shared" si="0"/>
        <v>1020</v>
      </c>
      <c r="AQ64" s="255">
        <v>10880</v>
      </c>
      <c r="AR64" s="254">
        <f t="shared" si="1"/>
        <v>16320</v>
      </c>
      <c r="AS64" s="255">
        <v>560</v>
      </c>
      <c r="AT64" s="254">
        <f t="shared" si="2"/>
        <v>840</v>
      </c>
      <c r="AU64" s="255">
        <v>960</v>
      </c>
      <c r="AV64" s="257">
        <f t="shared" si="3"/>
        <v>1440</v>
      </c>
      <c r="AW64" s="381">
        <v>220</v>
      </c>
      <c r="AX64" s="257">
        <f t="shared" si="4"/>
        <v>330</v>
      </c>
      <c r="AY64" s="388">
        <v>6600</v>
      </c>
      <c r="AZ64" s="257">
        <f t="shared" si="5"/>
        <v>9900</v>
      </c>
      <c r="BA64" s="255">
        <v>3360</v>
      </c>
      <c r="BB64" s="257">
        <f t="shared" si="6"/>
        <v>5040</v>
      </c>
      <c r="BC64" s="255">
        <v>1120</v>
      </c>
      <c r="BD64" s="257">
        <f t="shared" si="7"/>
        <v>1680</v>
      </c>
      <c r="BE64" s="255">
        <v>80</v>
      </c>
      <c r="BF64" s="257">
        <f t="shared" si="8"/>
        <v>120</v>
      </c>
      <c r="BG64" s="255">
        <v>400</v>
      </c>
      <c r="BH64" s="257">
        <f t="shared" si="9"/>
        <v>600</v>
      </c>
      <c r="BI64" s="255">
        <v>160</v>
      </c>
      <c r="BJ64" s="257">
        <f t="shared" si="10"/>
        <v>240</v>
      </c>
      <c r="BK64" s="255">
        <v>40</v>
      </c>
      <c r="BL64" s="257">
        <f t="shared" si="11"/>
        <v>60</v>
      </c>
      <c r="BM64" s="1" t="s">
        <v>538</v>
      </c>
      <c r="BO64" s="1" t="s">
        <v>457</v>
      </c>
      <c r="BP64" s="1" t="s">
        <v>539</v>
      </c>
    </row>
    <row r="65" spans="1:68" ht="15" customHeight="1">
      <c r="A65" s="250"/>
      <c r="C65" s="354"/>
      <c r="D65" s="424"/>
      <c r="E65" s="357"/>
      <c r="F65" s="417"/>
      <c r="G65" s="317"/>
      <c r="H65" s="59"/>
      <c r="I65" s="315"/>
      <c r="J65" s="316"/>
      <c r="K65" s="59"/>
      <c r="L65" s="59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255"/>
      <c r="AP65" s="254">
        <f t="shared" si="0"/>
        <v>0</v>
      </c>
      <c r="AQ65" s="255"/>
      <c r="AR65" s="254">
        <f t="shared" si="1"/>
        <v>0</v>
      </c>
      <c r="AS65" s="255"/>
      <c r="AT65" s="254">
        <f t="shared" si="2"/>
        <v>0</v>
      </c>
      <c r="AU65" s="255"/>
      <c r="AV65" s="257">
        <f t="shared" si="3"/>
        <v>0</v>
      </c>
      <c r="AW65" s="381"/>
      <c r="AX65" s="257">
        <f t="shared" si="4"/>
        <v>0</v>
      </c>
      <c r="AY65" s="388"/>
      <c r="AZ65" s="257">
        <f t="shared" si="5"/>
        <v>0</v>
      </c>
      <c r="BA65" s="255"/>
      <c r="BB65" s="257">
        <f t="shared" si="6"/>
        <v>0</v>
      </c>
      <c r="BC65" s="255"/>
      <c r="BD65" s="257">
        <f t="shared" si="7"/>
        <v>0</v>
      </c>
      <c r="BE65" s="255"/>
      <c r="BF65" s="257">
        <f t="shared" si="8"/>
        <v>0</v>
      </c>
      <c r="BG65" s="255"/>
      <c r="BH65" s="257">
        <f t="shared" si="9"/>
        <v>0</v>
      </c>
      <c r="BI65" s="255"/>
      <c r="BJ65" s="257">
        <f t="shared" si="10"/>
        <v>0</v>
      </c>
      <c r="BK65" s="255"/>
      <c r="BL65" s="257">
        <f t="shared" si="11"/>
        <v>0</v>
      </c>
    </row>
    <row r="66" spans="1:68" ht="17.25" customHeight="1">
      <c r="A66" s="250"/>
      <c r="C66" s="354"/>
      <c r="D66" s="424"/>
      <c r="E66" s="357"/>
      <c r="F66" s="429" t="s">
        <v>181</v>
      </c>
      <c r="G66" s="317"/>
      <c r="H66" s="59"/>
      <c r="I66" s="315"/>
      <c r="J66" s="317"/>
      <c r="K66" s="59"/>
      <c r="L66" s="298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255"/>
      <c r="AP66" s="254">
        <f t="shared" si="0"/>
        <v>0</v>
      </c>
      <c r="AQ66" s="255"/>
      <c r="AR66" s="254">
        <f t="shared" si="1"/>
        <v>0</v>
      </c>
      <c r="AS66" s="255"/>
      <c r="AT66" s="254">
        <f t="shared" si="2"/>
        <v>0</v>
      </c>
      <c r="AU66" s="256"/>
      <c r="AV66" s="257">
        <f t="shared" si="3"/>
        <v>0</v>
      </c>
      <c r="AW66" s="381"/>
      <c r="AX66" s="257">
        <f t="shared" si="4"/>
        <v>0</v>
      </c>
      <c r="AY66" s="388"/>
      <c r="AZ66" s="257">
        <f t="shared" si="5"/>
        <v>0</v>
      </c>
      <c r="BA66" s="255"/>
      <c r="BB66" s="257">
        <f t="shared" si="6"/>
        <v>0</v>
      </c>
      <c r="BC66" s="255"/>
      <c r="BD66" s="257">
        <f t="shared" si="7"/>
        <v>0</v>
      </c>
      <c r="BE66" s="255"/>
      <c r="BF66" s="257">
        <f t="shared" si="8"/>
        <v>0</v>
      </c>
      <c r="BG66" s="59"/>
      <c r="BH66" s="257">
        <f t="shared" si="9"/>
        <v>0</v>
      </c>
      <c r="BI66" s="268"/>
      <c r="BJ66" s="257">
        <f t="shared" si="10"/>
        <v>0</v>
      </c>
      <c r="BK66" s="268"/>
      <c r="BL66" s="257">
        <f t="shared" si="11"/>
        <v>0</v>
      </c>
    </row>
    <row r="67" spans="1:68" ht="15" customHeight="1">
      <c r="A67" s="250"/>
      <c r="C67" s="354"/>
      <c r="D67" s="424"/>
      <c r="E67" s="357"/>
      <c r="F67" s="429"/>
      <c r="G67" s="317"/>
      <c r="H67" s="59"/>
      <c r="I67" s="315"/>
      <c r="J67" s="317"/>
      <c r="K67" s="59"/>
      <c r="L67" s="59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255"/>
      <c r="AP67" s="254">
        <f t="shared" si="0"/>
        <v>0</v>
      </c>
      <c r="AQ67" s="255"/>
      <c r="AR67" s="254">
        <f t="shared" si="1"/>
        <v>0</v>
      </c>
      <c r="AS67" s="255"/>
      <c r="AT67" s="254">
        <f t="shared" si="2"/>
        <v>0</v>
      </c>
      <c r="AU67" s="256"/>
      <c r="AV67" s="257">
        <f t="shared" si="3"/>
        <v>0</v>
      </c>
      <c r="AW67" s="381"/>
      <c r="AX67" s="257">
        <f t="shared" si="4"/>
        <v>0</v>
      </c>
      <c r="AY67" s="388"/>
      <c r="AZ67" s="257">
        <f t="shared" si="5"/>
        <v>0</v>
      </c>
      <c r="BA67" s="255"/>
      <c r="BB67" s="257">
        <f t="shared" si="6"/>
        <v>0</v>
      </c>
      <c r="BC67" s="255"/>
      <c r="BD67" s="257">
        <f t="shared" si="7"/>
        <v>0</v>
      </c>
      <c r="BE67" s="255"/>
      <c r="BF67" s="257">
        <f t="shared" si="8"/>
        <v>0</v>
      </c>
      <c r="BG67" s="59"/>
      <c r="BH67" s="257">
        <f t="shared" si="9"/>
        <v>0</v>
      </c>
      <c r="BI67" s="268"/>
      <c r="BJ67" s="257">
        <f t="shared" si="10"/>
        <v>0</v>
      </c>
      <c r="BK67" s="268"/>
      <c r="BL67" s="257">
        <f t="shared" si="11"/>
        <v>0</v>
      </c>
    </row>
    <row r="68" spans="1:68" ht="17.25" customHeight="1">
      <c r="A68" s="250"/>
      <c r="C68" s="354"/>
      <c r="D68" s="424"/>
      <c r="E68" s="357"/>
      <c r="F68" s="421" t="s">
        <v>68</v>
      </c>
      <c r="G68" s="319"/>
      <c r="H68" s="298"/>
      <c r="I68" s="298"/>
      <c r="J68" s="299"/>
      <c r="K68" s="298"/>
      <c r="L68" s="298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255"/>
      <c r="AP68" s="254">
        <f t="shared" si="0"/>
        <v>0</v>
      </c>
      <c r="AQ68" s="255"/>
      <c r="AR68" s="254">
        <f t="shared" si="1"/>
        <v>0</v>
      </c>
      <c r="AS68" s="255"/>
      <c r="AT68" s="254">
        <f t="shared" si="2"/>
        <v>0</v>
      </c>
      <c r="AU68" s="256"/>
      <c r="AV68" s="257">
        <f t="shared" si="3"/>
        <v>0</v>
      </c>
      <c r="AW68" s="382"/>
      <c r="AX68" s="257">
        <f t="shared" si="4"/>
        <v>0</v>
      </c>
      <c r="AY68" s="268"/>
      <c r="AZ68" s="257">
        <f t="shared" si="5"/>
        <v>0</v>
      </c>
      <c r="BA68" s="268"/>
      <c r="BB68" s="257">
        <f t="shared" si="6"/>
        <v>0</v>
      </c>
      <c r="BC68" s="268"/>
      <c r="BD68" s="257">
        <f t="shared" si="7"/>
        <v>0</v>
      </c>
      <c r="BE68" s="268"/>
      <c r="BF68" s="257">
        <f t="shared" ref="BF68:BF111" si="29">AK68*BE68</f>
        <v>0</v>
      </c>
      <c r="BG68" s="59"/>
      <c r="BH68" s="257">
        <f t="shared" si="9"/>
        <v>0</v>
      </c>
      <c r="BI68" s="268"/>
      <c r="BJ68" s="257">
        <f t="shared" si="10"/>
        <v>0</v>
      </c>
      <c r="BK68" s="268"/>
      <c r="BL68" s="257">
        <f t="shared" si="11"/>
        <v>0</v>
      </c>
    </row>
    <row r="69" spans="1:68" ht="17.25" customHeight="1">
      <c r="A69" s="250"/>
      <c r="C69" s="354"/>
      <c r="D69" s="424"/>
      <c r="E69" s="357"/>
      <c r="F69" s="421"/>
      <c r="G69" s="59"/>
      <c r="H69" s="59"/>
      <c r="I69" s="59"/>
      <c r="J69" s="302"/>
      <c r="K69" s="59"/>
      <c r="L69" s="59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255"/>
      <c r="AP69" s="254">
        <f t="shared" si="0"/>
        <v>0</v>
      </c>
      <c r="AQ69" s="255"/>
      <c r="AR69" s="254">
        <f t="shared" si="1"/>
        <v>0</v>
      </c>
      <c r="AS69" s="255"/>
      <c r="AT69" s="254">
        <f t="shared" si="2"/>
        <v>0</v>
      </c>
      <c r="AU69" s="256"/>
      <c r="AV69" s="257">
        <f t="shared" si="3"/>
        <v>0</v>
      </c>
      <c r="AW69" s="382"/>
      <c r="AX69" s="257">
        <f t="shared" si="4"/>
        <v>0</v>
      </c>
      <c r="AY69" s="268"/>
      <c r="AZ69" s="257">
        <f t="shared" si="5"/>
        <v>0</v>
      </c>
      <c r="BA69" s="268"/>
      <c r="BB69" s="257">
        <f t="shared" si="6"/>
        <v>0</v>
      </c>
      <c r="BC69" s="268"/>
      <c r="BD69" s="257">
        <f t="shared" si="7"/>
        <v>0</v>
      </c>
      <c r="BE69" s="268"/>
      <c r="BF69" s="257">
        <f t="shared" si="29"/>
        <v>0</v>
      </c>
      <c r="BG69" s="59"/>
      <c r="BH69" s="257">
        <f t="shared" si="9"/>
        <v>0</v>
      </c>
      <c r="BI69" s="268"/>
      <c r="BJ69" s="257">
        <f t="shared" si="10"/>
        <v>0</v>
      </c>
      <c r="BK69" s="268"/>
      <c r="BL69" s="257">
        <f t="shared" si="11"/>
        <v>0</v>
      </c>
    </row>
    <row r="70" spans="1:68" ht="17.25" customHeight="1">
      <c r="A70" s="250"/>
      <c r="C70" s="354"/>
      <c r="D70" s="424"/>
      <c r="E70" s="357"/>
      <c r="F70" s="421"/>
      <c r="G70" s="59"/>
      <c r="H70" s="59"/>
      <c r="I70" s="59"/>
      <c r="J70" s="302"/>
      <c r="K70" s="59"/>
      <c r="L70" s="59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255"/>
      <c r="AP70" s="254">
        <f t="shared" si="0"/>
        <v>0</v>
      </c>
      <c r="AQ70" s="255"/>
      <c r="AR70" s="254">
        <f t="shared" si="1"/>
        <v>0</v>
      </c>
      <c r="AS70" s="255"/>
      <c r="AT70" s="254">
        <f t="shared" si="2"/>
        <v>0</v>
      </c>
      <c r="AU70" s="256"/>
      <c r="AV70" s="257">
        <f t="shared" si="3"/>
        <v>0</v>
      </c>
      <c r="AW70" s="382"/>
      <c r="AX70" s="257">
        <f t="shared" si="4"/>
        <v>0</v>
      </c>
      <c r="AY70" s="268"/>
      <c r="AZ70" s="257">
        <f t="shared" si="5"/>
        <v>0</v>
      </c>
      <c r="BA70" s="268"/>
      <c r="BB70" s="257">
        <f t="shared" si="6"/>
        <v>0</v>
      </c>
      <c r="BC70" s="268"/>
      <c r="BD70" s="257">
        <f t="shared" si="7"/>
        <v>0</v>
      </c>
      <c r="BE70" s="268"/>
      <c r="BF70" s="257">
        <f t="shared" si="29"/>
        <v>0</v>
      </c>
      <c r="BG70" s="59"/>
      <c r="BH70" s="257">
        <f t="shared" si="9"/>
        <v>0</v>
      </c>
      <c r="BI70" s="268"/>
      <c r="BJ70" s="257">
        <f t="shared" si="10"/>
        <v>0</v>
      </c>
      <c r="BK70" s="268"/>
      <c r="BL70" s="257">
        <f t="shared" si="11"/>
        <v>0</v>
      </c>
    </row>
    <row r="71" spans="1:68" ht="15" customHeight="1">
      <c r="A71" s="250"/>
      <c r="C71" s="354"/>
      <c r="D71" s="424"/>
      <c r="E71" s="357"/>
      <c r="F71" s="417"/>
      <c r="G71" s="59"/>
      <c r="H71" s="59"/>
      <c r="I71" s="59"/>
      <c r="J71" s="302"/>
      <c r="K71" s="59"/>
      <c r="L71" s="59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255"/>
      <c r="AP71" s="254">
        <f t="shared" si="0"/>
        <v>0</v>
      </c>
      <c r="AQ71" s="255"/>
      <c r="AR71" s="254">
        <f t="shared" si="1"/>
        <v>0</v>
      </c>
      <c r="AS71" s="255"/>
      <c r="AT71" s="254">
        <f t="shared" si="2"/>
        <v>0</v>
      </c>
      <c r="AU71" s="256"/>
      <c r="AV71" s="257">
        <f t="shared" si="3"/>
        <v>0</v>
      </c>
      <c r="AW71" s="382"/>
      <c r="AX71" s="257">
        <f t="shared" si="4"/>
        <v>0</v>
      </c>
      <c r="AY71" s="268"/>
      <c r="AZ71" s="257">
        <f t="shared" si="5"/>
        <v>0</v>
      </c>
      <c r="BA71" s="268"/>
      <c r="BB71" s="257">
        <f t="shared" si="6"/>
        <v>0</v>
      </c>
      <c r="BC71" s="268"/>
      <c r="BD71" s="257">
        <f t="shared" si="7"/>
        <v>0</v>
      </c>
      <c r="BE71" s="268"/>
      <c r="BF71" s="257">
        <f t="shared" si="29"/>
        <v>0</v>
      </c>
      <c r="BG71" s="59"/>
      <c r="BH71" s="257">
        <f t="shared" si="9"/>
        <v>0</v>
      </c>
      <c r="BI71" s="268"/>
      <c r="BJ71" s="257">
        <f t="shared" si="10"/>
        <v>0</v>
      </c>
      <c r="BK71" s="268"/>
      <c r="BL71" s="257">
        <f t="shared" si="11"/>
        <v>0</v>
      </c>
    </row>
    <row r="72" spans="1:68" ht="15.75" customHeight="1">
      <c r="A72" s="250" t="s">
        <v>451</v>
      </c>
      <c r="B72" s="59" t="s">
        <v>341</v>
      </c>
      <c r="C72" s="354" t="s">
        <v>172</v>
      </c>
      <c r="D72" s="424"/>
      <c r="E72" s="357" t="s">
        <v>173</v>
      </c>
      <c r="F72" s="421" t="s">
        <v>188</v>
      </c>
      <c r="G72" s="317">
        <v>2020</v>
      </c>
      <c r="H72" s="59" t="s">
        <v>342</v>
      </c>
      <c r="I72" s="315" t="s">
        <v>175</v>
      </c>
      <c r="J72" s="317">
        <v>14</v>
      </c>
      <c r="K72" s="59" t="s">
        <v>540</v>
      </c>
      <c r="L72" s="298" t="s">
        <v>344</v>
      </c>
      <c r="M72" s="300" t="s">
        <v>541</v>
      </c>
      <c r="N72" s="300">
        <v>2.9</v>
      </c>
      <c r="O72" s="300">
        <v>3.5</v>
      </c>
      <c r="P72" s="300">
        <v>3.5</v>
      </c>
      <c r="Q72" s="300">
        <v>3.5</v>
      </c>
      <c r="R72" s="300">
        <v>3.5</v>
      </c>
      <c r="S72" s="300">
        <v>3.5</v>
      </c>
      <c r="T72" s="300">
        <v>3.5</v>
      </c>
      <c r="U72" s="300">
        <v>3.5</v>
      </c>
      <c r="V72" s="300">
        <v>3.5</v>
      </c>
      <c r="W72" s="300">
        <v>3.5</v>
      </c>
      <c r="X72" s="300">
        <v>3.5</v>
      </c>
      <c r="Y72" s="300">
        <v>3.5</v>
      </c>
      <c r="Z72" s="300">
        <v>3.5</v>
      </c>
      <c r="AA72" s="300">
        <v>3.5</v>
      </c>
      <c r="AB72" s="301">
        <v>0.6</v>
      </c>
      <c r="AC72" s="301">
        <v>0.6</v>
      </c>
      <c r="AD72" s="301">
        <v>0.6</v>
      </c>
      <c r="AE72" s="301">
        <v>0.6</v>
      </c>
      <c r="AF72" s="301">
        <v>0.6</v>
      </c>
      <c r="AG72" s="301">
        <v>0.6</v>
      </c>
      <c r="AH72" s="301">
        <v>0.6</v>
      </c>
      <c r="AI72" s="301">
        <v>0.6</v>
      </c>
      <c r="AJ72" s="301">
        <v>0.6</v>
      </c>
      <c r="AK72" s="301">
        <v>0.6</v>
      </c>
      <c r="AL72" s="301">
        <v>0.6</v>
      </c>
      <c r="AM72" s="301">
        <v>0.6</v>
      </c>
      <c r="AN72" s="301">
        <v>0.6</v>
      </c>
      <c r="AO72" s="255">
        <v>15120</v>
      </c>
      <c r="AP72" s="254">
        <f t="shared" si="0"/>
        <v>9072</v>
      </c>
      <c r="AQ72" s="255">
        <v>9400</v>
      </c>
      <c r="AR72" s="254">
        <f t="shared" si="1"/>
        <v>5640</v>
      </c>
      <c r="AS72" s="255">
        <v>27235</v>
      </c>
      <c r="AT72" s="254">
        <f t="shared" si="2"/>
        <v>16341</v>
      </c>
      <c r="AU72" s="255">
        <v>10000</v>
      </c>
      <c r="AV72" s="257">
        <f t="shared" si="3"/>
        <v>6000</v>
      </c>
      <c r="AW72" s="381">
        <v>12920</v>
      </c>
      <c r="AX72" s="257">
        <f t="shared" si="4"/>
        <v>7752</v>
      </c>
      <c r="AY72" s="388">
        <v>43080</v>
      </c>
      <c r="AZ72" s="257">
        <f t="shared" si="5"/>
        <v>25848</v>
      </c>
      <c r="BA72" s="255">
        <v>31948</v>
      </c>
      <c r="BB72" s="257">
        <f t="shared" si="6"/>
        <v>19168.8</v>
      </c>
      <c r="BC72" s="255">
        <v>10280</v>
      </c>
      <c r="BD72" s="257">
        <f t="shared" si="7"/>
        <v>6168</v>
      </c>
      <c r="BE72" s="255">
        <v>1800</v>
      </c>
      <c r="BF72" s="257">
        <f t="shared" si="29"/>
        <v>1080</v>
      </c>
      <c r="BG72" s="255">
        <v>1998</v>
      </c>
      <c r="BH72" s="257">
        <f t="shared" si="9"/>
        <v>1198.8</v>
      </c>
      <c r="BI72" s="255">
        <v>5000</v>
      </c>
      <c r="BJ72" s="257">
        <f t="shared" si="10"/>
        <v>3000</v>
      </c>
      <c r="BK72" s="255">
        <v>720</v>
      </c>
      <c r="BL72" s="257">
        <f t="shared" si="11"/>
        <v>432</v>
      </c>
      <c r="BM72" s="1" t="s">
        <v>542</v>
      </c>
      <c r="BO72" s="1" t="s">
        <v>457</v>
      </c>
      <c r="BP72" s="1" t="s">
        <v>543</v>
      </c>
    </row>
    <row r="73" spans="1:68" ht="15.75" customHeight="1">
      <c r="A73" s="250" t="s">
        <v>451</v>
      </c>
      <c r="B73" s="59" t="s">
        <v>341</v>
      </c>
      <c r="C73" s="354" t="s">
        <v>172</v>
      </c>
      <c r="D73" s="424"/>
      <c r="E73" s="357" t="s">
        <v>173</v>
      </c>
      <c r="F73" s="421"/>
      <c r="G73" s="317">
        <v>2021</v>
      </c>
      <c r="H73" s="59" t="s">
        <v>346</v>
      </c>
      <c r="I73" s="315" t="s">
        <v>175</v>
      </c>
      <c r="J73" s="317">
        <v>14</v>
      </c>
      <c r="K73" s="59" t="s">
        <v>515</v>
      </c>
      <c r="L73" s="298" t="s">
        <v>344</v>
      </c>
      <c r="M73" s="300" t="s">
        <v>541</v>
      </c>
      <c r="N73" s="300">
        <v>2.9</v>
      </c>
      <c r="O73" s="300">
        <v>3.5</v>
      </c>
      <c r="P73" s="300">
        <v>3.5</v>
      </c>
      <c r="Q73" s="300">
        <v>3.5</v>
      </c>
      <c r="R73" s="300">
        <v>3.5</v>
      </c>
      <c r="S73" s="300">
        <v>3.5</v>
      </c>
      <c r="T73" s="300">
        <v>3.5</v>
      </c>
      <c r="U73" s="300">
        <v>3.5</v>
      </c>
      <c r="V73" s="300">
        <v>3.5</v>
      </c>
      <c r="W73" s="300">
        <v>3.5</v>
      </c>
      <c r="X73" s="300">
        <v>3.5</v>
      </c>
      <c r="Y73" s="300">
        <v>3.5</v>
      </c>
      <c r="Z73" s="300">
        <v>3.5</v>
      </c>
      <c r="AA73" s="300">
        <v>3.5</v>
      </c>
      <c r="AB73" s="301">
        <v>0.6</v>
      </c>
      <c r="AC73" s="301">
        <v>0.6</v>
      </c>
      <c r="AD73" s="301">
        <v>0.6</v>
      </c>
      <c r="AE73" s="301">
        <v>0.6</v>
      </c>
      <c r="AF73" s="301">
        <v>0.6</v>
      </c>
      <c r="AG73" s="301">
        <v>0.6</v>
      </c>
      <c r="AH73" s="301">
        <v>0.6</v>
      </c>
      <c r="AI73" s="301">
        <v>0.6</v>
      </c>
      <c r="AJ73" s="301">
        <v>0.6</v>
      </c>
      <c r="AK73" s="301">
        <v>0.6</v>
      </c>
      <c r="AL73" s="301">
        <v>0.6</v>
      </c>
      <c r="AM73" s="301">
        <v>0.6</v>
      </c>
      <c r="AN73" s="301">
        <v>0.6</v>
      </c>
      <c r="AO73" s="255"/>
      <c r="AP73" s="254">
        <f t="shared" si="0"/>
        <v>0</v>
      </c>
      <c r="AQ73" s="255">
        <v>120</v>
      </c>
      <c r="AR73" s="254">
        <f t="shared" si="1"/>
        <v>72</v>
      </c>
      <c r="AS73" s="255">
        <v>472</v>
      </c>
      <c r="AT73" s="254">
        <f t="shared" si="2"/>
        <v>283.2</v>
      </c>
      <c r="AU73" s="256"/>
      <c r="AV73" s="257">
        <f t="shared" si="3"/>
        <v>0</v>
      </c>
      <c r="AW73" s="381"/>
      <c r="AX73" s="257">
        <f t="shared" si="4"/>
        <v>0</v>
      </c>
      <c r="AY73" s="388"/>
      <c r="AZ73" s="257">
        <f t="shared" si="5"/>
        <v>0</v>
      </c>
      <c r="BA73" s="255"/>
      <c r="BB73" s="257">
        <f t="shared" si="6"/>
        <v>0</v>
      </c>
      <c r="BC73" s="255"/>
      <c r="BD73" s="257">
        <f t="shared" si="7"/>
        <v>0</v>
      </c>
      <c r="BE73" s="255"/>
      <c r="BF73" s="257">
        <f t="shared" si="29"/>
        <v>0</v>
      </c>
      <c r="BG73" s="255">
        <v>360</v>
      </c>
      <c r="BH73" s="257">
        <f t="shared" si="9"/>
        <v>216</v>
      </c>
      <c r="BI73" s="255">
        <v>20</v>
      </c>
      <c r="BJ73" s="257">
        <f t="shared" si="10"/>
        <v>12</v>
      </c>
      <c r="BK73" s="255">
        <v>40</v>
      </c>
      <c r="BL73" s="257">
        <f t="shared" si="11"/>
        <v>24</v>
      </c>
      <c r="BM73" s="1" t="s">
        <v>544</v>
      </c>
      <c r="BO73" s="1" t="s">
        <v>457</v>
      </c>
      <c r="BP73" s="1" t="s">
        <v>545</v>
      </c>
    </row>
    <row r="74" spans="1:68" ht="15.75" customHeight="1">
      <c r="A74" s="250" t="s">
        <v>451</v>
      </c>
      <c r="B74" s="59" t="s">
        <v>341</v>
      </c>
      <c r="C74" s="354" t="s">
        <v>172</v>
      </c>
      <c r="D74" s="424"/>
      <c r="E74" s="357" t="s">
        <v>173</v>
      </c>
      <c r="F74" s="421"/>
      <c r="G74" s="317">
        <v>2021</v>
      </c>
      <c r="H74" s="59" t="s">
        <v>346</v>
      </c>
      <c r="I74" s="315" t="s">
        <v>249</v>
      </c>
      <c r="J74" s="317">
        <v>14</v>
      </c>
      <c r="K74" s="59" t="s">
        <v>515</v>
      </c>
      <c r="L74" s="298" t="s">
        <v>344</v>
      </c>
      <c r="M74" s="300" t="s">
        <v>541</v>
      </c>
      <c r="N74" s="300">
        <v>9</v>
      </c>
      <c r="O74" s="300">
        <v>12.15</v>
      </c>
      <c r="P74" s="300">
        <v>12.15</v>
      </c>
      <c r="Q74" s="300">
        <v>12.15</v>
      </c>
      <c r="R74" s="300">
        <v>12.15</v>
      </c>
      <c r="S74" s="300">
        <v>12.15</v>
      </c>
      <c r="T74" s="300">
        <v>12.15</v>
      </c>
      <c r="U74" s="300">
        <v>12.15</v>
      </c>
      <c r="V74" s="300">
        <v>12.15</v>
      </c>
      <c r="W74" s="300">
        <v>12.15</v>
      </c>
      <c r="X74" s="300">
        <v>12.15</v>
      </c>
      <c r="Y74" s="300">
        <v>12.15</v>
      </c>
      <c r="Z74" s="300">
        <v>12.15</v>
      </c>
      <c r="AA74" s="300">
        <v>12.15</v>
      </c>
      <c r="AB74" s="301">
        <v>3.15</v>
      </c>
      <c r="AC74" s="301">
        <v>3.15</v>
      </c>
      <c r="AD74" s="301">
        <v>3.15</v>
      </c>
      <c r="AE74" s="301">
        <v>3.15</v>
      </c>
      <c r="AF74" s="301">
        <v>3.15</v>
      </c>
      <c r="AG74" s="301">
        <v>3.15</v>
      </c>
      <c r="AH74" s="301">
        <v>3.15</v>
      </c>
      <c r="AI74" s="301">
        <v>3.15</v>
      </c>
      <c r="AJ74" s="301">
        <v>3.15</v>
      </c>
      <c r="AK74" s="301">
        <v>3.15</v>
      </c>
      <c r="AL74" s="301">
        <v>3.15</v>
      </c>
      <c r="AM74" s="301">
        <v>3.15</v>
      </c>
      <c r="AN74" s="301">
        <v>3.15</v>
      </c>
      <c r="AO74" s="255"/>
      <c r="AP74" s="254">
        <f t="shared" si="0"/>
        <v>0</v>
      </c>
      <c r="AQ74" s="255"/>
      <c r="AR74" s="254">
        <f t="shared" si="1"/>
        <v>0</v>
      </c>
      <c r="AS74" s="255"/>
      <c r="AT74" s="254">
        <f t="shared" si="2"/>
        <v>0</v>
      </c>
      <c r="AU74" s="256"/>
      <c r="AV74" s="257">
        <f t="shared" si="3"/>
        <v>0</v>
      </c>
      <c r="AW74" s="381"/>
      <c r="AX74" s="257">
        <f t="shared" si="4"/>
        <v>0</v>
      </c>
      <c r="AY74" s="388"/>
      <c r="AZ74" s="257">
        <f t="shared" si="5"/>
        <v>0</v>
      </c>
      <c r="BA74" s="255"/>
      <c r="BB74" s="257">
        <f t="shared" si="6"/>
        <v>0</v>
      </c>
      <c r="BC74" s="255"/>
      <c r="BD74" s="257">
        <f t="shared" si="7"/>
        <v>0</v>
      </c>
      <c r="BE74" s="255"/>
      <c r="BF74" s="257">
        <f t="shared" si="29"/>
        <v>0</v>
      </c>
      <c r="BG74" s="255"/>
      <c r="BH74" s="257">
        <f t="shared" si="9"/>
        <v>0</v>
      </c>
      <c r="BI74" s="255"/>
      <c r="BJ74" s="257">
        <f t="shared" si="10"/>
        <v>0</v>
      </c>
      <c r="BK74" s="255"/>
      <c r="BL74" s="257">
        <f t="shared" si="11"/>
        <v>0</v>
      </c>
      <c r="BM74" s="1" t="s">
        <v>546</v>
      </c>
      <c r="BO74" s="1" t="s">
        <v>457</v>
      </c>
      <c r="BP74" s="1" t="s">
        <v>547</v>
      </c>
    </row>
    <row r="75" spans="1:68" ht="15.75" customHeight="1">
      <c r="A75" s="250" t="s">
        <v>451</v>
      </c>
      <c r="B75" s="59" t="s">
        <v>341</v>
      </c>
      <c r="C75" s="354" t="s">
        <v>172</v>
      </c>
      <c r="D75" s="424"/>
      <c r="E75" s="357" t="s">
        <v>173</v>
      </c>
      <c r="F75" s="421"/>
      <c r="G75" s="317">
        <v>2022</v>
      </c>
      <c r="H75" s="59" t="s">
        <v>350</v>
      </c>
      <c r="I75" s="315" t="s">
        <v>249</v>
      </c>
      <c r="J75" s="317">
        <v>14</v>
      </c>
      <c r="K75" s="59" t="s">
        <v>548</v>
      </c>
      <c r="L75" s="298" t="s">
        <v>344</v>
      </c>
      <c r="M75" s="300" t="s">
        <v>541</v>
      </c>
      <c r="N75" s="300">
        <v>9</v>
      </c>
      <c r="O75" s="300">
        <v>13.45</v>
      </c>
      <c r="P75" s="300">
        <v>13.45</v>
      </c>
      <c r="Q75" s="300">
        <v>13.45</v>
      </c>
      <c r="R75" s="300">
        <v>13.45</v>
      </c>
      <c r="S75" s="300">
        <v>13.45</v>
      </c>
      <c r="T75" s="300">
        <v>13.45</v>
      </c>
      <c r="U75" s="300">
        <v>13.45</v>
      </c>
      <c r="V75" s="300">
        <v>13.45</v>
      </c>
      <c r="W75" s="300">
        <v>13.45</v>
      </c>
      <c r="X75" s="300">
        <v>13.45</v>
      </c>
      <c r="Y75" s="300">
        <v>13.45</v>
      </c>
      <c r="Z75" s="300">
        <v>13.45</v>
      </c>
      <c r="AA75" s="300">
        <v>13.45</v>
      </c>
      <c r="AB75" s="301">
        <v>2.0499999999999998</v>
      </c>
      <c r="AC75" s="301">
        <v>2.0499999999999998</v>
      </c>
      <c r="AD75" s="301">
        <v>2.0499999999999998</v>
      </c>
      <c r="AE75" s="301">
        <v>2.0499999999999998</v>
      </c>
      <c r="AF75" s="301">
        <v>2.0499999999999998</v>
      </c>
      <c r="AG75" s="301">
        <v>2.0499999999999998</v>
      </c>
      <c r="AH75" s="301">
        <v>2.0499999999999998</v>
      </c>
      <c r="AI75" s="301">
        <v>2.0499999999999998</v>
      </c>
      <c r="AJ75" s="301">
        <v>2.0499999999999998</v>
      </c>
      <c r="AK75" s="301">
        <v>2.0499999999999998</v>
      </c>
      <c r="AL75" s="301">
        <v>2.0499999999999998</v>
      </c>
      <c r="AM75" s="301">
        <v>2.0499999999999998</v>
      </c>
      <c r="AN75" s="301">
        <v>2.0499999999999998</v>
      </c>
      <c r="AO75" s="255">
        <v>5440</v>
      </c>
      <c r="AP75" s="254">
        <f t="shared" si="0"/>
        <v>11151.999999999998</v>
      </c>
      <c r="AQ75" s="255">
        <v>4880</v>
      </c>
      <c r="AR75" s="254">
        <f t="shared" si="1"/>
        <v>10004</v>
      </c>
      <c r="AS75" s="255">
        <v>3080</v>
      </c>
      <c r="AT75" s="254">
        <f t="shared" ref="AT75" si="30">AE75*AS75</f>
        <v>6313.9999999999991</v>
      </c>
      <c r="AU75" s="255">
        <v>2800</v>
      </c>
      <c r="AV75" s="257">
        <f t="shared" ref="AV75" si="31">AF75*AU75</f>
        <v>5739.9999999999991</v>
      </c>
      <c r="AW75" s="381">
        <v>600</v>
      </c>
      <c r="AX75" s="257">
        <f t="shared" ref="AX75" si="32">AG75*AW75</f>
        <v>1230</v>
      </c>
      <c r="AY75" s="388">
        <v>600</v>
      </c>
      <c r="AZ75" s="257">
        <f t="shared" ref="AZ75" si="33">AH75*AY75</f>
        <v>1230</v>
      </c>
      <c r="BA75" s="255">
        <v>800</v>
      </c>
      <c r="BB75" s="257">
        <f t="shared" ref="BB75" si="34">AI75*BA75</f>
        <v>1639.9999999999998</v>
      </c>
      <c r="BC75" s="255">
        <v>80</v>
      </c>
      <c r="BD75" s="257">
        <f t="shared" ref="BD75" si="35">AJ75*BC75</f>
        <v>164</v>
      </c>
      <c r="BE75" s="255">
        <v>600</v>
      </c>
      <c r="BF75" s="257">
        <f t="shared" si="29"/>
        <v>1230</v>
      </c>
      <c r="BG75" s="255">
        <v>680</v>
      </c>
      <c r="BH75" s="257">
        <f t="shared" ref="BH75" si="36">AL75*BG75</f>
        <v>1393.9999999999998</v>
      </c>
      <c r="BI75" s="255">
        <v>320</v>
      </c>
      <c r="BJ75" s="257">
        <f t="shared" ref="BJ75" si="37">AM75*BI75</f>
        <v>656</v>
      </c>
      <c r="BK75" s="255">
        <v>280</v>
      </c>
      <c r="BL75" s="257">
        <f t="shared" ref="BL75" si="38">AN75*BK75</f>
        <v>574</v>
      </c>
      <c r="BM75" s="1" t="s">
        <v>549</v>
      </c>
      <c r="BO75" s="1" t="s">
        <v>457</v>
      </c>
      <c r="BP75" s="1" t="s">
        <v>550</v>
      </c>
    </row>
    <row r="76" spans="1:68" ht="15.75" customHeight="1">
      <c r="A76" s="250" t="s">
        <v>451</v>
      </c>
      <c r="B76" s="59" t="s">
        <v>341</v>
      </c>
      <c r="C76" s="354" t="s">
        <v>172</v>
      </c>
      <c r="D76" s="424"/>
      <c r="E76" s="357" t="s">
        <v>173</v>
      </c>
      <c r="F76" s="421"/>
      <c r="G76" s="317">
        <v>2022</v>
      </c>
      <c r="H76" s="59" t="s">
        <v>350</v>
      </c>
      <c r="I76" s="315" t="s">
        <v>249</v>
      </c>
      <c r="J76" s="317">
        <v>14</v>
      </c>
      <c r="K76" s="59" t="s">
        <v>548</v>
      </c>
      <c r="L76" s="298" t="s">
        <v>344</v>
      </c>
      <c r="M76" s="300" t="s">
        <v>541</v>
      </c>
      <c r="N76" s="300">
        <v>9</v>
      </c>
      <c r="O76" s="300">
        <v>13.45</v>
      </c>
      <c r="P76" s="300">
        <v>13.45</v>
      </c>
      <c r="Q76" s="300">
        <v>13.45</v>
      </c>
      <c r="R76" s="300">
        <v>13.45</v>
      </c>
      <c r="S76" s="300">
        <v>13.45</v>
      </c>
      <c r="T76" s="300">
        <v>13.45</v>
      </c>
      <c r="U76" s="300">
        <v>13.45</v>
      </c>
      <c r="V76" s="300">
        <v>13.45</v>
      </c>
      <c r="W76" s="300">
        <v>13.45</v>
      </c>
      <c r="X76" s="300">
        <v>13.45</v>
      </c>
      <c r="Y76" s="300">
        <v>13.45</v>
      </c>
      <c r="Z76" s="300">
        <v>13.45</v>
      </c>
      <c r="AA76" s="300">
        <v>13.45</v>
      </c>
      <c r="AB76" s="301">
        <v>2.0499999999999998</v>
      </c>
      <c r="AC76" s="301">
        <v>2.0499999999999998</v>
      </c>
      <c r="AD76" s="301">
        <v>2.0499999999999998</v>
      </c>
      <c r="AE76" s="301">
        <v>2.0499999999999998</v>
      </c>
      <c r="AF76" s="301">
        <v>2.0499999999999998</v>
      </c>
      <c r="AG76" s="301">
        <v>2.0499999999999998</v>
      </c>
      <c r="AH76" s="301">
        <v>2.0499999999999998</v>
      </c>
      <c r="AI76" s="301">
        <v>2.0499999999999998</v>
      </c>
      <c r="AJ76" s="301">
        <v>2.0499999999999998</v>
      </c>
      <c r="AK76" s="301">
        <v>2.0499999999999998</v>
      </c>
      <c r="AL76" s="301">
        <v>2.0499999999999998</v>
      </c>
      <c r="AM76" s="301">
        <v>2.0499999999999998</v>
      </c>
      <c r="AN76" s="301">
        <v>2.0499999999999998</v>
      </c>
      <c r="AO76" s="255">
        <v>280</v>
      </c>
      <c r="AP76" s="254">
        <f t="shared" si="0"/>
        <v>574</v>
      </c>
      <c r="AQ76" s="255">
        <v>200</v>
      </c>
      <c r="AR76" s="254">
        <f t="shared" si="1"/>
        <v>409.99999999999994</v>
      </c>
      <c r="AS76" s="255">
        <v>40</v>
      </c>
      <c r="AT76" s="254">
        <f t="shared" si="2"/>
        <v>82</v>
      </c>
      <c r="AU76" s="255">
        <v>80</v>
      </c>
      <c r="AV76" s="257">
        <f t="shared" si="3"/>
        <v>164</v>
      </c>
      <c r="AW76" s="381">
        <v>120</v>
      </c>
      <c r="AX76" s="257">
        <f t="shared" si="4"/>
        <v>245.99999999999997</v>
      </c>
      <c r="AY76" s="388">
        <v>80</v>
      </c>
      <c r="AZ76" s="257">
        <f t="shared" si="5"/>
        <v>164</v>
      </c>
      <c r="BA76" s="255">
        <v>80</v>
      </c>
      <c r="BB76" s="257">
        <f t="shared" si="6"/>
        <v>164</v>
      </c>
      <c r="BC76" s="255">
        <v>160</v>
      </c>
      <c r="BD76" s="257">
        <f t="shared" si="7"/>
        <v>328</v>
      </c>
      <c r="BE76" s="255"/>
      <c r="BF76" s="257">
        <f t="shared" si="29"/>
        <v>0</v>
      </c>
      <c r="BG76" s="255"/>
      <c r="BH76" s="257">
        <f t="shared" si="9"/>
        <v>0</v>
      </c>
      <c r="BI76" s="255">
        <v>40</v>
      </c>
      <c r="BJ76" s="257">
        <f t="shared" si="10"/>
        <v>82</v>
      </c>
      <c r="BK76" s="255">
        <v>40</v>
      </c>
      <c r="BL76" s="257">
        <f t="shared" si="11"/>
        <v>82</v>
      </c>
      <c r="BM76" s="1" t="s">
        <v>551</v>
      </c>
      <c r="BO76" s="1" t="s">
        <v>457</v>
      </c>
      <c r="BP76" s="1" t="s">
        <v>552</v>
      </c>
    </row>
    <row r="77" spans="1:68" ht="15.75" customHeight="1">
      <c r="A77" s="250" t="s">
        <v>451</v>
      </c>
      <c r="B77" s="59" t="s">
        <v>341</v>
      </c>
      <c r="C77" s="354" t="s">
        <v>172</v>
      </c>
      <c r="D77" s="424"/>
      <c r="E77" s="357" t="s">
        <v>173</v>
      </c>
      <c r="F77" s="421"/>
      <c r="G77" s="317">
        <v>2022</v>
      </c>
      <c r="H77" s="59" t="s">
        <v>352</v>
      </c>
      <c r="I77" s="315" t="s">
        <v>249</v>
      </c>
      <c r="J77" s="317">
        <v>14</v>
      </c>
      <c r="K77" s="59" t="s">
        <v>351</v>
      </c>
      <c r="L77" s="298" t="s">
        <v>344</v>
      </c>
      <c r="M77" s="300" t="s">
        <v>541</v>
      </c>
      <c r="N77" s="300">
        <v>8.6999999999999993</v>
      </c>
      <c r="O77" s="300">
        <v>12.45</v>
      </c>
      <c r="P77" s="300">
        <v>12.45</v>
      </c>
      <c r="Q77" s="300">
        <v>12.45</v>
      </c>
      <c r="R77" s="300">
        <v>12.45</v>
      </c>
      <c r="S77" s="300">
        <v>12.45</v>
      </c>
      <c r="T77" s="300">
        <v>12.45</v>
      </c>
      <c r="U77" s="300">
        <v>12.45</v>
      </c>
      <c r="V77" s="300">
        <v>12.45</v>
      </c>
      <c r="W77" s="300">
        <v>12.45</v>
      </c>
      <c r="X77" s="300">
        <v>12.45</v>
      </c>
      <c r="Y77" s="300">
        <v>12.45</v>
      </c>
      <c r="Z77" s="300">
        <v>12.45</v>
      </c>
      <c r="AA77" s="300">
        <v>12.45</v>
      </c>
      <c r="AB77" s="301">
        <v>3.96</v>
      </c>
      <c r="AC77" s="301">
        <v>3.96</v>
      </c>
      <c r="AD77" s="301">
        <v>3.96</v>
      </c>
      <c r="AE77" s="301">
        <v>3.96</v>
      </c>
      <c r="AF77" s="301">
        <v>3.96</v>
      </c>
      <c r="AG77" s="301">
        <v>3.96</v>
      </c>
      <c r="AH77" s="301">
        <v>3.96</v>
      </c>
      <c r="AI77" s="301">
        <v>3.96</v>
      </c>
      <c r="AJ77" s="301">
        <v>3.96</v>
      </c>
      <c r="AK77" s="301">
        <v>3.96</v>
      </c>
      <c r="AL77" s="301">
        <v>3.96</v>
      </c>
      <c r="AM77" s="301">
        <v>3.96</v>
      </c>
      <c r="AN77" s="301">
        <v>3.96</v>
      </c>
      <c r="AO77" s="255">
        <v>1280</v>
      </c>
      <c r="AP77" s="254">
        <f t="shared" si="0"/>
        <v>5068.8</v>
      </c>
      <c r="AQ77" s="255">
        <v>2360</v>
      </c>
      <c r="AR77" s="254">
        <f t="shared" si="1"/>
        <v>9345.6</v>
      </c>
      <c r="AS77" s="255">
        <v>2920</v>
      </c>
      <c r="AT77" s="254">
        <f t="shared" si="2"/>
        <v>11563.2</v>
      </c>
      <c r="AU77" s="255">
        <v>1960</v>
      </c>
      <c r="AV77" s="257">
        <f t="shared" si="3"/>
        <v>7761.6</v>
      </c>
      <c r="AW77" s="381">
        <v>1560</v>
      </c>
      <c r="AX77" s="257">
        <f t="shared" si="4"/>
        <v>6177.6</v>
      </c>
      <c r="AY77" s="388">
        <v>1400</v>
      </c>
      <c r="AZ77" s="257">
        <f t="shared" si="5"/>
        <v>5544</v>
      </c>
      <c r="BA77" s="255">
        <v>2680</v>
      </c>
      <c r="BB77" s="257">
        <f t="shared" si="6"/>
        <v>10612.8</v>
      </c>
      <c r="BC77" s="255">
        <v>1680</v>
      </c>
      <c r="BD77" s="257">
        <f t="shared" si="7"/>
        <v>6652.8</v>
      </c>
      <c r="BE77" s="255">
        <v>2240</v>
      </c>
      <c r="BF77" s="257">
        <f t="shared" si="29"/>
        <v>8870.4</v>
      </c>
      <c r="BG77" s="255">
        <v>1240</v>
      </c>
      <c r="BH77" s="257">
        <f t="shared" si="9"/>
        <v>4910.3999999999996</v>
      </c>
      <c r="BI77" s="255">
        <v>1960</v>
      </c>
      <c r="BJ77" s="257">
        <f t="shared" si="10"/>
        <v>7761.6</v>
      </c>
      <c r="BK77" s="255">
        <v>1240</v>
      </c>
      <c r="BL77" s="257">
        <f t="shared" si="11"/>
        <v>4910.3999999999996</v>
      </c>
      <c r="BM77" s="1" t="s">
        <v>553</v>
      </c>
      <c r="BO77" s="1" t="s">
        <v>457</v>
      </c>
      <c r="BP77" s="1" t="s">
        <v>554</v>
      </c>
    </row>
    <row r="78" spans="1:68" ht="15.75" customHeight="1">
      <c r="A78" s="250" t="s">
        <v>451</v>
      </c>
      <c r="B78" s="59" t="s">
        <v>341</v>
      </c>
      <c r="C78" s="354" t="s">
        <v>172</v>
      </c>
      <c r="D78" s="424"/>
      <c r="E78" s="357" t="s">
        <v>173</v>
      </c>
      <c r="F78" s="421"/>
      <c r="G78" s="317">
        <v>2022</v>
      </c>
      <c r="H78" s="59" t="s">
        <v>352</v>
      </c>
      <c r="I78" s="315" t="s">
        <v>175</v>
      </c>
      <c r="J78" s="317">
        <v>14</v>
      </c>
      <c r="K78" s="59" t="s">
        <v>351</v>
      </c>
      <c r="L78" s="298" t="s">
        <v>344</v>
      </c>
      <c r="M78" s="300" t="s">
        <v>541</v>
      </c>
      <c r="N78" s="300">
        <v>5.25</v>
      </c>
      <c r="O78" s="300">
        <v>5.83</v>
      </c>
      <c r="P78" s="300">
        <v>5.83</v>
      </c>
      <c r="Q78" s="300">
        <v>5.83</v>
      </c>
      <c r="R78" s="300">
        <v>5.83</v>
      </c>
      <c r="S78" s="300">
        <v>5.83</v>
      </c>
      <c r="T78" s="300">
        <v>5.83</v>
      </c>
      <c r="U78" s="300">
        <v>5.83</v>
      </c>
      <c r="V78" s="300">
        <v>5.83</v>
      </c>
      <c r="W78" s="300">
        <v>5.83</v>
      </c>
      <c r="X78" s="300">
        <v>5.83</v>
      </c>
      <c r="Y78" s="300">
        <v>5.83</v>
      </c>
      <c r="Z78" s="300">
        <v>5.83</v>
      </c>
      <c r="AA78" s="300">
        <v>5.83</v>
      </c>
      <c r="AB78" s="301">
        <v>0.35</v>
      </c>
      <c r="AC78" s="301">
        <v>0.35</v>
      </c>
      <c r="AD78" s="301">
        <v>0.35</v>
      </c>
      <c r="AE78" s="301">
        <v>0.35</v>
      </c>
      <c r="AF78" s="301">
        <v>0.35</v>
      </c>
      <c r="AG78" s="301">
        <v>0.35</v>
      </c>
      <c r="AH78" s="301">
        <v>0.35</v>
      </c>
      <c r="AI78" s="301">
        <v>0.35</v>
      </c>
      <c r="AJ78" s="301">
        <v>0.35</v>
      </c>
      <c r="AK78" s="301">
        <v>0.35</v>
      </c>
      <c r="AL78" s="301">
        <v>0.35</v>
      </c>
      <c r="AM78" s="301">
        <v>0.35</v>
      </c>
      <c r="AN78" s="301">
        <v>0.35</v>
      </c>
      <c r="AO78" s="255">
        <v>400</v>
      </c>
      <c r="AP78" s="254">
        <f t="shared" si="0"/>
        <v>140</v>
      </c>
      <c r="AQ78" s="255">
        <v>1680</v>
      </c>
      <c r="AR78" s="254">
        <f t="shared" si="1"/>
        <v>588</v>
      </c>
      <c r="AS78" s="255">
        <v>1200</v>
      </c>
      <c r="AT78" s="254">
        <f t="shared" si="2"/>
        <v>420</v>
      </c>
      <c r="AU78" s="255">
        <v>2160</v>
      </c>
      <c r="AV78" s="257">
        <f t="shared" si="3"/>
        <v>756</v>
      </c>
      <c r="AW78" s="381">
        <v>3640</v>
      </c>
      <c r="AX78" s="257">
        <f t="shared" si="4"/>
        <v>1274</v>
      </c>
      <c r="AY78" s="388">
        <v>600</v>
      </c>
      <c r="AZ78" s="257">
        <f t="shared" si="5"/>
        <v>210</v>
      </c>
      <c r="BA78" s="255">
        <v>440</v>
      </c>
      <c r="BB78" s="257">
        <f t="shared" si="6"/>
        <v>154</v>
      </c>
      <c r="BC78" s="255">
        <v>200</v>
      </c>
      <c r="BD78" s="257">
        <f t="shared" si="7"/>
        <v>70</v>
      </c>
      <c r="BE78" s="255">
        <v>1360</v>
      </c>
      <c r="BF78" s="257">
        <f t="shared" si="29"/>
        <v>475.99999999999994</v>
      </c>
      <c r="BG78" s="255">
        <v>120</v>
      </c>
      <c r="BH78" s="257">
        <f t="shared" si="9"/>
        <v>42</v>
      </c>
      <c r="BI78" s="255">
        <v>200</v>
      </c>
      <c r="BJ78" s="257">
        <f t="shared" si="10"/>
        <v>70</v>
      </c>
      <c r="BK78" s="255">
        <v>760</v>
      </c>
      <c r="BL78" s="257">
        <f t="shared" si="11"/>
        <v>266</v>
      </c>
      <c r="BM78" s="1" t="s">
        <v>555</v>
      </c>
      <c r="BO78" s="1" t="s">
        <v>457</v>
      </c>
      <c r="BP78" s="1" t="s">
        <v>556</v>
      </c>
    </row>
    <row r="79" spans="1:68" ht="15.75" customHeight="1">
      <c r="A79" s="250" t="s">
        <v>451</v>
      </c>
      <c r="B79" s="59" t="s">
        <v>341</v>
      </c>
      <c r="C79" s="354" t="s">
        <v>172</v>
      </c>
      <c r="D79" s="424"/>
      <c r="E79" s="357" t="s">
        <v>173</v>
      </c>
      <c r="F79" s="421"/>
      <c r="G79" s="317">
        <v>2024</v>
      </c>
      <c r="H79" s="59" t="s">
        <v>557</v>
      </c>
      <c r="I79" s="315" t="s">
        <v>357</v>
      </c>
      <c r="J79" s="317">
        <v>14</v>
      </c>
      <c r="K79" s="59" t="s">
        <v>335</v>
      </c>
      <c r="L79" s="298" t="s">
        <v>344</v>
      </c>
      <c r="M79" s="300" t="s">
        <v>558</v>
      </c>
      <c r="N79" s="300">
        <v>3.37</v>
      </c>
      <c r="O79" s="300">
        <v>3.65</v>
      </c>
      <c r="P79" s="300">
        <v>3.65</v>
      </c>
      <c r="Q79" s="300">
        <v>3.65</v>
      </c>
      <c r="R79" s="300">
        <v>3.65</v>
      </c>
      <c r="S79" s="300">
        <v>3.65</v>
      </c>
      <c r="T79" s="300">
        <v>3.65</v>
      </c>
      <c r="U79" s="300">
        <v>3.65</v>
      </c>
      <c r="V79" s="300">
        <v>3.65</v>
      </c>
      <c r="W79" s="300">
        <v>3.65</v>
      </c>
      <c r="X79" s="300">
        <v>3.65</v>
      </c>
      <c r="Y79" s="300">
        <v>3.65</v>
      </c>
      <c r="Z79" s="300">
        <v>3.65</v>
      </c>
      <c r="AA79" s="300">
        <v>3.65</v>
      </c>
      <c r="AB79" s="301">
        <v>0.28000000000000003</v>
      </c>
      <c r="AC79" s="301">
        <v>0.28000000000000003</v>
      </c>
      <c r="AD79" s="301">
        <v>0.28000000000000003</v>
      </c>
      <c r="AE79" s="301">
        <v>0.28000000000000003</v>
      </c>
      <c r="AF79" s="301">
        <v>0.28000000000000003</v>
      </c>
      <c r="AG79" s="301">
        <v>0.28000000000000003</v>
      </c>
      <c r="AH79" s="301">
        <v>0.28000000000000003</v>
      </c>
      <c r="AI79" s="301">
        <v>0.28000000000000003</v>
      </c>
      <c r="AJ79" s="301">
        <v>0.28000000000000003</v>
      </c>
      <c r="AK79" s="301">
        <v>0.28000000000000003</v>
      </c>
      <c r="AL79" s="301">
        <v>0.28000000000000003</v>
      </c>
      <c r="AM79" s="301">
        <v>0.28000000000000003</v>
      </c>
      <c r="AN79" s="301">
        <v>0.28000000000000003</v>
      </c>
      <c r="AO79" s="255">
        <v>2596</v>
      </c>
      <c r="AP79" s="254">
        <f t="shared" ref="AP79:AP142" si="39">AC79*AO79</f>
        <v>726.88000000000011</v>
      </c>
      <c r="AQ79" s="255">
        <v>1760</v>
      </c>
      <c r="AR79" s="254">
        <f t="shared" ref="AR79:AR142" si="40">AD79*AQ79</f>
        <v>492.80000000000007</v>
      </c>
      <c r="AS79" s="255">
        <v>760</v>
      </c>
      <c r="AT79" s="254">
        <f t="shared" ref="AT79:AT142" si="41">AE79*AS79</f>
        <v>212.8</v>
      </c>
      <c r="AU79" s="255">
        <v>920</v>
      </c>
      <c r="AV79" s="257">
        <f t="shared" ref="AV79:AV142" si="42">AF79*AU79</f>
        <v>257.60000000000002</v>
      </c>
      <c r="AW79" s="381">
        <v>1758</v>
      </c>
      <c r="AX79" s="257">
        <f t="shared" ref="AX79:AX142" si="43">AG79*AW79</f>
        <v>492.24000000000007</v>
      </c>
      <c r="AY79" s="388">
        <v>1920</v>
      </c>
      <c r="AZ79" s="257">
        <f t="shared" ref="AZ79:AZ142" si="44">AH79*AY79</f>
        <v>537.6</v>
      </c>
      <c r="BA79" s="255">
        <v>1679</v>
      </c>
      <c r="BB79" s="257">
        <f t="shared" ref="BB79:BB142" si="45">AI79*BA79</f>
        <v>470.12000000000006</v>
      </c>
      <c r="BC79" s="255">
        <v>1320</v>
      </c>
      <c r="BD79" s="257">
        <f t="shared" ref="BD79:BD142" si="46">AJ79*BC79</f>
        <v>369.6</v>
      </c>
      <c r="BE79" s="255">
        <v>640</v>
      </c>
      <c r="BF79" s="257">
        <f t="shared" si="29"/>
        <v>179.20000000000002</v>
      </c>
      <c r="BG79" s="255">
        <v>1000</v>
      </c>
      <c r="BH79" s="257">
        <f t="shared" ref="BH79:BH142" si="47">AL79*BG79</f>
        <v>280</v>
      </c>
      <c r="BI79" s="255">
        <v>2640</v>
      </c>
      <c r="BJ79" s="257">
        <f t="shared" ref="BJ79:BJ142" si="48">AM79*BI79</f>
        <v>739.2</v>
      </c>
      <c r="BK79" s="255">
        <v>400</v>
      </c>
      <c r="BL79" s="257">
        <f t="shared" ref="BL79:BL102" si="49">AN79*BK79</f>
        <v>112.00000000000001</v>
      </c>
      <c r="BM79" s="1" t="s">
        <v>559</v>
      </c>
      <c r="BO79" s="1" t="s">
        <v>457</v>
      </c>
      <c r="BP79" s="1" t="s">
        <v>560</v>
      </c>
    </row>
    <row r="80" spans="1:68" ht="15.6" customHeight="1">
      <c r="A80" s="250" t="s">
        <v>451</v>
      </c>
      <c r="B80" s="59" t="s">
        <v>341</v>
      </c>
      <c r="C80" s="354" t="s">
        <v>172</v>
      </c>
      <c r="D80" s="424"/>
      <c r="E80" s="357" t="s">
        <v>173</v>
      </c>
      <c r="F80" s="421"/>
      <c r="G80" s="317">
        <v>2024</v>
      </c>
      <c r="H80" s="59" t="s">
        <v>557</v>
      </c>
      <c r="I80" s="315" t="s">
        <v>359</v>
      </c>
      <c r="J80" s="317">
        <v>14</v>
      </c>
      <c r="K80" s="59" t="s">
        <v>335</v>
      </c>
      <c r="L80" s="298" t="s">
        <v>344</v>
      </c>
      <c r="M80" s="300" t="s">
        <v>558</v>
      </c>
      <c r="N80" s="300">
        <v>8.49</v>
      </c>
      <c r="O80" s="315">
        <v>10</v>
      </c>
      <c r="P80" s="315">
        <v>10</v>
      </c>
      <c r="Q80" s="315">
        <v>10</v>
      </c>
      <c r="R80" s="315">
        <v>10</v>
      </c>
      <c r="S80" s="315">
        <v>10</v>
      </c>
      <c r="T80" s="315">
        <v>10</v>
      </c>
      <c r="U80" s="315">
        <v>10</v>
      </c>
      <c r="V80" s="315">
        <v>10</v>
      </c>
      <c r="W80" s="315">
        <v>10</v>
      </c>
      <c r="X80" s="315">
        <v>10</v>
      </c>
      <c r="Y80" s="315">
        <v>10</v>
      </c>
      <c r="Z80" s="315">
        <v>10</v>
      </c>
      <c r="AA80" s="315">
        <v>10</v>
      </c>
      <c r="AB80" s="301">
        <v>1.51</v>
      </c>
      <c r="AC80" s="301">
        <v>1.51</v>
      </c>
      <c r="AD80" s="301">
        <v>1.51</v>
      </c>
      <c r="AE80" s="301">
        <v>1.51</v>
      </c>
      <c r="AF80" s="301">
        <v>1.51</v>
      </c>
      <c r="AG80" s="301">
        <v>1.51</v>
      </c>
      <c r="AH80" s="301">
        <v>1.51</v>
      </c>
      <c r="AI80" s="301">
        <v>1.51</v>
      </c>
      <c r="AJ80" s="301">
        <v>1.51</v>
      </c>
      <c r="AK80" s="301">
        <v>1.51</v>
      </c>
      <c r="AL80" s="301">
        <v>1.51</v>
      </c>
      <c r="AM80" s="301">
        <v>1.51</v>
      </c>
      <c r="AN80" s="301">
        <v>1.51</v>
      </c>
      <c r="AO80" s="255">
        <v>2600</v>
      </c>
      <c r="AP80" s="254">
        <f t="shared" si="39"/>
        <v>3926</v>
      </c>
      <c r="AQ80" s="255">
        <v>2800</v>
      </c>
      <c r="AR80" s="254">
        <f t="shared" si="40"/>
        <v>4228</v>
      </c>
      <c r="AS80" s="255">
        <v>960</v>
      </c>
      <c r="AT80" s="254">
        <f t="shared" si="41"/>
        <v>1449.6</v>
      </c>
      <c r="AU80" s="256">
        <v>1160</v>
      </c>
      <c r="AV80" s="257">
        <f t="shared" si="42"/>
        <v>1751.6</v>
      </c>
      <c r="AW80" s="381">
        <v>1160</v>
      </c>
      <c r="AX80" s="257">
        <f t="shared" si="43"/>
        <v>1751.6</v>
      </c>
      <c r="AY80" s="388">
        <v>1320</v>
      </c>
      <c r="AZ80" s="257">
        <f t="shared" si="44"/>
        <v>1993.2</v>
      </c>
      <c r="BA80" s="255">
        <v>1400</v>
      </c>
      <c r="BB80" s="257">
        <f t="shared" si="45"/>
        <v>2114</v>
      </c>
      <c r="BC80" s="255">
        <v>2560</v>
      </c>
      <c r="BD80" s="257">
        <f t="shared" si="46"/>
        <v>3865.6</v>
      </c>
      <c r="BE80" s="255">
        <v>720</v>
      </c>
      <c r="BF80" s="257">
        <f t="shared" si="29"/>
        <v>1087.2</v>
      </c>
      <c r="BG80" s="255">
        <v>480</v>
      </c>
      <c r="BH80" s="257">
        <f t="shared" si="47"/>
        <v>724.8</v>
      </c>
      <c r="BI80" s="255">
        <v>2000</v>
      </c>
      <c r="BJ80" s="257">
        <f t="shared" si="48"/>
        <v>3020</v>
      </c>
      <c r="BK80" s="255">
        <v>1640</v>
      </c>
      <c r="BL80" s="257">
        <f t="shared" si="49"/>
        <v>2476.4</v>
      </c>
      <c r="BM80" s="1" t="s">
        <v>561</v>
      </c>
      <c r="BO80" s="1" t="s">
        <v>457</v>
      </c>
      <c r="BP80" s="1" t="s">
        <v>562</v>
      </c>
    </row>
    <row r="81" spans="1:68" ht="15.6" customHeight="1">
      <c r="A81" s="250" t="s">
        <v>451</v>
      </c>
      <c r="B81" s="59" t="s">
        <v>341</v>
      </c>
      <c r="C81" s="354" t="s">
        <v>172</v>
      </c>
      <c r="D81" s="424"/>
      <c r="E81" s="357" t="s">
        <v>173</v>
      </c>
      <c r="F81" s="421"/>
      <c r="G81" s="317">
        <v>2024</v>
      </c>
      <c r="H81" s="59" t="s">
        <v>557</v>
      </c>
      <c r="I81" s="315" t="s">
        <v>357</v>
      </c>
      <c r="J81" s="317">
        <v>14</v>
      </c>
      <c r="K81" s="59" t="s">
        <v>384</v>
      </c>
      <c r="L81" s="298" t="s">
        <v>344</v>
      </c>
      <c r="M81" s="300" t="s">
        <v>558</v>
      </c>
      <c r="N81" s="300">
        <v>3.37</v>
      </c>
      <c r="O81" s="300">
        <v>3.65</v>
      </c>
      <c r="P81" s="300">
        <v>3.65</v>
      </c>
      <c r="Q81" s="300">
        <v>3.65</v>
      </c>
      <c r="R81" s="300">
        <v>3.65</v>
      </c>
      <c r="S81" s="300">
        <v>3.65</v>
      </c>
      <c r="T81" s="300">
        <v>3.65</v>
      </c>
      <c r="U81" s="300">
        <v>3.65</v>
      </c>
      <c r="V81" s="300">
        <v>3.65</v>
      </c>
      <c r="W81" s="300">
        <v>3.65</v>
      </c>
      <c r="X81" s="300">
        <v>3.65</v>
      </c>
      <c r="Y81" s="300">
        <v>3.65</v>
      </c>
      <c r="Z81" s="300">
        <v>3.65</v>
      </c>
      <c r="AA81" s="300">
        <v>3.65</v>
      </c>
      <c r="AB81" s="301">
        <v>0.28000000000000003</v>
      </c>
      <c r="AC81" s="301">
        <v>0.28000000000000003</v>
      </c>
      <c r="AD81" s="301">
        <v>0.28000000000000003</v>
      </c>
      <c r="AE81" s="301">
        <v>0.28000000000000003</v>
      </c>
      <c r="AF81" s="301">
        <v>0.28000000000000003</v>
      </c>
      <c r="AG81" s="301">
        <v>0.28000000000000003</v>
      </c>
      <c r="AH81" s="301">
        <v>0.28000000000000003</v>
      </c>
      <c r="AI81" s="301">
        <v>0.28000000000000003</v>
      </c>
      <c r="AJ81" s="301">
        <v>0.28000000000000003</v>
      </c>
      <c r="AK81" s="301">
        <v>0.28000000000000003</v>
      </c>
      <c r="AL81" s="301">
        <v>0.28000000000000003</v>
      </c>
      <c r="AM81" s="301">
        <v>0.28000000000000003</v>
      </c>
      <c r="AN81" s="301">
        <v>0.28000000000000003</v>
      </c>
      <c r="AO81" s="255">
        <v>12520</v>
      </c>
      <c r="AP81" s="254">
        <f t="shared" si="39"/>
        <v>3505.6000000000004</v>
      </c>
      <c r="AQ81" s="255">
        <v>8280</v>
      </c>
      <c r="AR81" s="254">
        <f t="shared" si="40"/>
        <v>2318.4</v>
      </c>
      <c r="AS81" s="255">
        <v>4600</v>
      </c>
      <c r="AT81" s="254">
        <f t="shared" si="41"/>
        <v>1288.0000000000002</v>
      </c>
      <c r="AU81" s="255">
        <v>1680</v>
      </c>
      <c r="AV81" s="257">
        <f t="shared" si="42"/>
        <v>470.40000000000003</v>
      </c>
      <c r="AW81" s="381">
        <v>6840</v>
      </c>
      <c r="AX81" s="257">
        <f t="shared" si="43"/>
        <v>1915.2000000000003</v>
      </c>
      <c r="AY81" s="388">
        <v>4720</v>
      </c>
      <c r="AZ81" s="257">
        <f t="shared" si="44"/>
        <v>1321.6000000000001</v>
      </c>
      <c r="BA81" s="255">
        <v>5360</v>
      </c>
      <c r="BB81" s="257">
        <f t="shared" si="45"/>
        <v>1500.8000000000002</v>
      </c>
      <c r="BC81" s="255">
        <v>14320</v>
      </c>
      <c r="BD81" s="257">
        <f t="shared" si="46"/>
        <v>4009.6000000000004</v>
      </c>
      <c r="BE81" s="255">
        <v>4360</v>
      </c>
      <c r="BF81" s="257">
        <f t="shared" si="29"/>
        <v>1220.8000000000002</v>
      </c>
      <c r="BG81" s="255">
        <v>18200</v>
      </c>
      <c r="BH81" s="257">
        <f t="shared" si="47"/>
        <v>5096.0000000000009</v>
      </c>
      <c r="BI81" s="255">
        <v>10400</v>
      </c>
      <c r="BJ81" s="257">
        <f t="shared" si="48"/>
        <v>2912.0000000000005</v>
      </c>
      <c r="BK81" s="255">
        <v>6560</v>
      </c>
      <c r="BL81" s="257">
        <f t="shared" si="49"/>
        <v>1836.8000000000002</v>
      </c>
      <c r="BM81" s="1" t="s">
        <v>563</v>
      </c>
      <c r="BO81" s="1" t="s">
        <v>457</v>
      </c>
      <c r="BP81" s="1" t="s">
        <v>564</v>
      </c>
    </row>
    <row r="82" spans="1:68" ht="15.6" customHeight="1">
      <c r="A82" s="250" t="s">
        <v>451</v>
      </c>
      <c r="B82" s="59" t="s">
        <v>341</v>
      </c>
      <c r="C82" s="354" t="s">
        <v>172</v>
      </c>
      <c r="D82" s="424"/>
      <c r="E82" s="357" t="s">
        <v>173</v>
      </c>
      <c r="F82" s="421"/>
      <c r="G82" s="317">
        <v>2024</v>
      </c>
      <c r="H82" s="59" t="s">
        <v>557</v>
      </c>
      <c r="I82" s="315" t="s">
        <v>357</v>
      </c>
      <c r="J82" s="317">
        <v>14</v>
      </c>
      <c r="K82" s="59" t="s">
        <v>565</v>
      </c>
      <c r="L82" s="298" t="s">
        <v>344</v>
      </c>
      <c r="M82" s="300" t="s">
        <v>558</v>
      </c>
      <c r="N82" s="300">
        <v>3.37</v>
      </c>
      <c r="O82" s="300">
        <v>3.65</v>
      </c>
      <c r="P82" s="300">
        <v>3.65</v>
      </c>
      <c r="Q82" s="300">
        <v>3.65</v>
      </c>
      <c r="R82" s="300">
        <v>3.65</v>
      </c>
      <c r="S82" s="300">
        <v>3.65</v>
      </c>
      <c r="T82" s="300">
        <v>3.65</v>
      </c>
      <c r="U82" s="300">
        <v>3.65</v>
      </c>
      <c r="V82" s="300">
        <v>3.65</v>
      </c>
      <c r="W82" s="300">
        <v>3.65</v>
      </c>
      <c r="X82" s="300">
        <v>3.65</v>
      </c>
      <c r="Y82" s="300">
        <v>3.65</v>
      </c>
      <c r="Z82" s="300">
        <v>3.65</v>
      </c>
      <c r="AA82" s="300">
        <v>3.65</v>
      </c>
      <c r="AB82" s="301">
        <v>0.28000000000000003</v>
      </c>
      <c r="AC82" s="301">
        <v>0.28000000000000003</v>
      </c>
      <c r="AD82" s="301">
        <v>0.28000000000000003</v>
      </c>
      <c r="AE82" s="301">
        <v>0.28000000000000003</v>
      </c>
      <c r="AF82" s="301">
        <v>0.28000000000000003</v>
      </c>
      <c r="AG82" s="301">
        <v>0.28000000000000003</v>
      </c>
      <c r="AH82" s="301">
        <v>0.28000000000000003</v>
      </c>
      <c r="AI82" s="301">
        <v>0.28000000000000003</v>
      </c>
      <c r="AJ82" s="301">
        <v>0.28000000000000003</v>
      </c>
      <c r="AK82" s="301">
        <v>0.28000000000000003</v>
      </c>
      <c r="AL82" s="301">
        <v>0.28000000000000003</v>
      </c>
      <c r="AM82" s="301">
        <v>0.28000000000000003</v>
      </c>
      <c r="AN82" s="301">
        <v>0.28000000000000003</v>
      </c>
      <c r="AO82" s="255">
        <v>3240</v>
      </c>
      <c r="AP82" s="254">
        <f t="shared" si="39"/>
        <v>907.2</v>
      </c>
      <c r="AQ82" s="255"/>
      <c r="AR82" s="254">
        <f t="shared" si="40"/>
        <v>0</v>
      </c>
      <c r="AS82" s="255"/>
      <c r="AT82" s="254">
        <f t="shared" si="41"/>
        <v>0</v>
      </c>
      <c r="AU82" s="255"/>
      <c r="AV82" s="257">
        <f t="shared" si="42"/>
        <v>0</v>
      </c>
      <c r="AW82" s="381"/>
      <c r="AX82" s="257">
        <f t="shared" si="43"/>
        <v>0</v>
      </c>
      <c r="AY82" s="388">
        <v>1520</v>
      </c>
      <c r="AZ82" s="257">
        <f t="shared" si="44"/>
        <v>425.6</v>
      </c>
      <c r="BA82" s="255"/>
      <c r="BB82" s="257">
        <f t="shared" si="45"/>
        <v>0</v>
      </c>
      <c r="BC82" s="255"/>
      <c r="BD82" s="257">
        <f t="shared" si="46"/>
        <v>0</v>
      </c>
      <c r="BE82" s="255"/>
      <c r="BF82" s="257">
        <f t="shared" si="29"/>
        <v>0</v>
      </c>
      <c r="BG82" s="255"/>
      <c r="BH82" s="257">
        <f t="shared" si="47"/>
        <v>0</v>
      </c>
      <c r="BI82" s="255"/>
      <c r="BJ82" s="257">
        <f t="shared" si="48"/>
        <v>0</v>
      </c>
      <c r="BK82" s="255"/>
      <c r="BL82" s="257">
        <f t="shared" si="49"/>
        <v>0</v>
      </c>
      <c r="BM82" s="1" t="s">
        <v>566</v>
      </c>
      <c r="BO82" s="1" t="s">
        <v>457</v>
      </c>
      <c r="BP82" s="1" t="s">
        <v>567</v>
      </c>
    </row>
    <row r="83" spans="1:68" ht="15.6" customHeight="1">
      <c r="A83" s="250" t="s">
        <v>451</v>
      </c>
      <c r="B83" s="59" t="s">
        <v>341</v>
      </c>
      <c r="C83" s="354" t="s">
        <v>172</v>
      </c>
      <c r="D83" s="424"/>
      <c r="E83" s="357" t="s">
        <v>173</v>
      </c>
      <c r="F83" s="421"/>
      <c r="G83" s="317">
        <v>2024</v>
      </c>
      <c r="H83" s="59" t="s">
        <v>568</v>
      </c>
      <c r="I83" s="315" t="s">
        <v>359</v>
      </c>
      <c r="J83" s="317">
        <v>14</v>
      </c>
      <c r="K83" s="59" t="s">
        <v>335</v>
      </c>
      <c r="L83" s="298" t="s">
        <v>344</v>
      </c>
      <c r="M83" s="300" t="s">
        <v>541</v>
      </c>
      <c r="N83" s="300">
        <v>8.49</v>
      </c>
      <c r="O83" s="315">
        <v>10</v>
      </c>
      <c r="P83" s="315">
        <v>10</v>
      </c>
      <c r="Q83" s="315">
        <v>10</v>
      </c>
      <c r="R83" s="315">
        <v>10</v>
      </c>
      <c r="S83" s="315">
        <v>10</v>
      </c>
      <c r="T83" s="315">
        <v>10</v>
      </c>
      <c r="U83" s="315">
        <v>10</v>
      </c>
      <c r="V83" s="315">
        <v>10</v>
      </c>
      <c r="W83" s="315">
        <v>10</v>
      </c>
      <c r="X83" s="315">
        <v>10</v>
      </c>
      <c r="Y83" s="315">
        <v>10</v>
      </c>
      <c r="Z83" s="315">
        <v>10</v>
      </c>
      <c r="AA83" s="315">
        <v>10</v>
      </c>
      <c r="AB83" s="301">
        <v>1.51</v>
      </c>
      <c r="AC83" s="301">
        <v>1.51</v>
      </c>
      <c r="AD83" s="301">
        <v>1.51</v>
      </c>
      <c r="AE83" s="301">
        <v>1.51</v>
      </c>
      <c r="AF83" s="301">
        <v>1.51</v>
      </c>
      <c r="AG83" s="301">
        <v>1.51</v>
      </c>
      <c r="AH83" s="301">
        <v>1.51</v>
      </c>
      <c r="AI83" s="301">
        <v>1.51</v>
      </c>
      <c r="AJ83" s="301">
        <v>1.51</v>
      </c>
      <c r="AK83" s="301">
        <v>1.51</v>
      </c>
      <c r="AL83" s="301">
        <v>1.51</v>
      </c>
      <c r="AM83" s="301">
        <v>1.51</v>
      </c>
      <c r="AN83" s="301">
        <v>1.51</v>
      </c>
      <c r="AO83" s="255">
        <v>1000</v>
      </c>
      <c r="AP83" s="254">
        <f t="shared" si="39"/>
        <v>1510</v>
      </c>
      <c r="AQ83" s="255">
        <v>400</v>
      </c>
      <c r="AR83" s="254">
        <f t="shared" si="40"/>
        <v>604</v>
      </c>
      <c r="AS83" s="255">
        <v>40</v>
      </c>
      <c r="AT83" s="254">
        <f t="shared" si="41"/>
        <v>60.4</v>
      </c>
      <c r="AU83" s="255">
        <v>480</v>
      </c>
      <c r="AV83" s="257">
        <f t="shared" si="42"/>
        <v>724.8</v>
      </c>
      <c r="AW83" s="381">
        <v>795</v>
      </c>
      <c r="AX83" s="257">
        <f t="shared" si="43"/>
        <v>1200.45</v>
      </c>
      <c r="AY83" s="388">
        <v>160</v>
      </c>
      <c r="AZ83" s="257">
        <f t="shared" si="44"/>
        <v>241.6</v>
      </c>
      <c r="BA83" s="255"/>
      <c r="BB83" s="257">
        <f t="shared" si="45"/>
        <v>0</v>
      </c>
      <c r="BC83" s="255">
        <v>40</v>
      </c>
      <c r="BD83" s="257">
        <f t="shared" si="46"/>
        <v>60.4</v>
      </c>
      <c r="BE83" s="255">
        <v>120</v>
      </c>
      <c r="BF83" s="257">
        <f t="shared" si="29"/>
        <v>181.2</v>
      </c>
      <c r="BG83" s="255">
        <v>80</v>
      </c>
      <c r="BH83" s="257">
        <f t="shared" si="47"/>
        <v>120.8</v>
      </c>
      <c r="BI83" s="255">
        <v>160</v>
      </c>
      <c r="BJ83" s="257">
        <f t="shared" si="48"/>
        <v>241.6</v>
      </c>
      <c r="BK83" s="255"/>
      <c r="BL83" s="257">
        <f t="shared" si="49"/>
        <v>0</v>
      </c>
      <c r="BM83" s="1" t="s">
        <v>569</v>
      </c>
      <c r="BO83" s="1" t="s">
        <v>457</v>
      </c>
      <c r="BP83" s="1" t="s">
        <v>570</v>
      </c>
    </row>
    <row r="84" spans="1:68" ht="15.6" customHeight="1">
      <c r="A84" s="250" t="s">
        <v>451</v>
      </c>
      <c r="B84" s="59" t="s">
        <v>341</v>
      </c>
      <c r="C84" s="354" t="s">
        <v>172</v>
      </c>
      <c r="D84" s="424"/>
      <c r="E84" s="357" t="s">
        <v>173</v>
      </c>
      <c r="F84" s="421"/>
      <c r="G84" s="317">
        <v>2024</v>
      </c>
      <c r="H84" s="59" t="s">
        <v>568</v>
      </c>
      <c r="I84" s="315" t="s">
        <v>357</v>
      </c>
      <c r="J84" s="317">
        <v>14</v>
      </c>
      <c r="K84" s="59" t="s">
        <v>335</v>
      </c>
      <c r="L84" s="298" t="s">
        <v>344</v>
      </c>
      <c r="M84" s="300" t="s">
        <v>541</v>
      </c>
      <c r="N84" s="300">
        <v>3.37</v>
      </c>
      <c r="O84" s="300">
        <v>3.65</v>
      </c>
      <c r="P84" s="300">
        <v>3.65</v>
      </c>
      <c r="Q84" s="300">
        <v>3.65</v>
      </c>
      <c r="R84" s="300">
        <v>3.65</v>
      </c>
      <c r="S84" s="300">
        <v>3.65</v>
      </c>
      <c r="T84" s="300">
        <v>3.65</v>
      </c>
      <c r="U84" s="300">
        <v>3.65</v>
      </c>
      <c r="V84" s="300">
        <v>3.65</v>
      </c>
      <c r="W84" s="300">
        <v>3.65</v>
      </c>
      <c r="X84" s="300">
        <v>3.65</v>
      </c>
      <c r="Y84" s="300">
        <v>3.65</v>
      </c>
      <c r="Z84" s="300">
        <v>3.65</v>
      </c>
      <c r="AA84" s="300">
        <v>3.65</v>
      </c>
      <c r="AB84" s="301">
        <v>0.28000000000000003</v>
      </c>
      <c r="AC84" s="301">
        <v>0.28000000000000003</v>
      </c>
      <c r="AD84" s="301">
        <v>0.28000000000000003</v>
      </c>
      <c r="AE84" s="301">
        <v>0.28000000000000003</v>
      </c>
      <c r="AF84" s="301">
        <v>0.28000000000000003</v>
      </c>
      <c r="AG84" s="301">
        <v>0.28000000000000003</v>
      </c>
      <c r="AH84" s="301">
        <v>0.28000000000000003</v>
      </c>
      <c r="AI84" s="301">
        <v>0.28000000000000003</v>
      </c>
      <c r="AJ84" s="301">
        <v>0.28000000000000003</v>
      </c>
      <c r="AK84" s="301">
        <v>0.28000000000000003</v>
      </c>
      <c r="AL84" s="301">
        <v>0.28000000000000003</v>
      </c>
      <c r="AM84" s="301">
        <v>0.28000000000000003</v>
      </c>
      <c r="AN84" s="301">
        <v>0.28000000000000003</v>
      </c>
      <c r="AO84" s="255">
        <v>10594</v>
      </c>
      <c r="AP84" s="254">
        <f t="shared" ref="AP84" si="50">AC84*AO84</f>
        <v>2966.32</v>
      </c>
      <c r="AQ84" s="255">
        <v>12596</v>
      </c>
      <c r="AR84" s="254">
        <f t="shared" ref="AR84" si="51">AD84*AQ84</f>
        <v>3526.88</v>
      </c>
      <c r="AS84" s="255">
        <v>4520</v>
      </c>
      <c r="AT84" s="254">
        <f t="shared" si="41"/>
        <v>1265.6000000000001</v>
      </c>
      <c r="AU84" s="255">
        <v>17120</v>
      </c>
      <c r="AV84" s="257">
        <f t="shared" si="42"/>
        <v>4793.6000000000004</v>
      </c>
      <c r="AW84" s="381">
        <v>21120</v>
      </c>
      <c r="AX84" s="257">
        <f t="shared" si="43"/>
        <v>5913.6</v>
      </c>
      <c r="AY84" s="388">
        <v>8340</v>
      </c>
      <c r="AZ84" s="257">
        <f t="shared" si="44"/>
        <v>2335.2000000000003</v>
      </c>
      <c r="BA84" s="255">
        <v>7640</v>
      </c>
      <c r="BB84" s="257">
        <f t="shared" si="45"/>
        <v>2139.2000000000003</v>
      </c>
      <c r="BC84" s="255">
        <v>3640</v>
      </c>
      <c r="BD84" s="257">
        <f t="shared" si="46"/>
        <v>1019.2</v>
      </c>
      <c r="BE84" s="255">
        <v>2840</v>
      </c>
      <c r="BF84" s="257">
        <f t="shared" si="29"/>
        <v>795.2</v>
      </c>
      <c r="BG84" s="255">
        <v>6480</v>
      </c>
      <c r="BH84" s="257">
        <f t="shared" si="47"/>
        <v>1814.4</v>
      </c>
      <c r="BI84" s="255">
        <v>11200</v>
      </c>
      <c r="BJ84" s="257">
        <f t="shared" si="48"/>
        <v>3136.0000000000005</v>
      </c>
      <c r="BK84" s="255">
        <v>2560</v>
      </c>
      <c r="BL84" s="257">
        <f t="shared" si="49"/>
        <v>716.80000000000007</v>
      </c>
      <c r="BM84" s="1" t="s">
        <v>571</v>
      </c>
      <c r="BO84" s="1" t="s">
        <v>457</v>
      </c>
      <c r="BP84" s="1" t="s">
        <v>572</v>
      </c>
    </row>
    <row r="85" spans="1:68" ht="15.6" customHeight="1">
      <c r="A85" s="250" t="s">
        <v>451</v>
      </c>
      <c r="B85" s="59" t="s">
        <v>341</v>
      </c>
      <c r="C85" s="354" t="s">
        <v>172</v>
      </c>
      <c r="D85" s="424"/>
      <c r="E85" s="357" t="s">
        <v>173</v>
      </c>
      <c r="F85" s="421"/>
      <c r="G85" s="317">
        <v>2024</v>
      </c>
      <c r="H85" s="59" t="s">
        <v>568</v>
      </c>
      <c r="I85" s="315" t="s">
        <v>359</v>
      </c>
      <c r="J85" s="317">
        <v>14</v>
      </c>
      <c r="K85" s="59" t="s">
        <v>515</v>
      </c>
      <c r="L85" s="298" t="s">
        <v>344</v>
      </c>
      <c r="M85" s="300" t="s">
        <v>541</v>
      </c>
      <c r="N85" s="300">
        <v>8.49</v>
      </c>
      <c r="O85" s="315">
        <v>10</v>
      </c>
      <c r="P85" s="315">
        <v>10</v>
      </c>
      <c r="Q85" s="315">
        <v>10</v>
      </c>
      <c r="R85" s="315">
        <v>10</v>
      </c>
      <c r="S85" s="315">
        <v>10</v>
      </c>
      <c r="T85" s="315">
        <v>10</v>
      </c>
      <c r="U85" s="315">
        <v>10</v>
      </c>
      <c r="V85" s="315">
        <v>10</v>
      </c>
      <c r="W85" s="315">
        <v>10</v>
      </c>
      <c r="X85" s="315">
        <v>10</v>
      </c>
      <c r="Y85" s="315">
        <v>10</v>
      </c>
      <c r="Z85" s="315">
        <v>10</v>
      </c>
      <c r="AA85" s="315">
        <v>10</v>
      </c>
      <c r="AB85" s="301">
        <v>1.51</v>
      </c>
      <c r="AC85" s="301">
        <v>1.51</v>
      </c>
      <c r="AD85" s="301">
        <v>1.51</v>
      </c>
      <c r="AE85" s="301">
        <v>1.51</v>
      </c>
      <c r="AF85" s="301">
        <v>1.51</v>
      </c>
      <c r="AG85" s="301">
        <v>1.51</v>
      </c>
      <c r="AH85" s="301">
        <v>1.51</v>
      </c>
      <c r="AI85" s="301">
        <v>1.51</v>
      </c>
      <c r="AJ85" s="301">
        <v>1.51</v>
      </c>
      <c r="AK85" s="301">
        <v>1.51</v>
      </c>
      <c r="AL85" s="301">
        <v>1.51</v>
      </c>
      <c r="AM85" s="301">
        <v>1.51</v>
      </c>
      <c r="AN85" s="301">
        <v>1.51</v>
      </c>
      <c r="AO85" s="255"/>
      <c r="AP85" s="254">
        <f t="shared" si="39"/>
        <v>0</v>
      </c>
      <c r="AQ85" s="255"/>
      <c r="AR85" s="254">
        <f t="shared" si="40"/>
        <v>0</v>
      </c>
      <c r="AS85" s="255"/>
      <c r="AT85" s="254">
        <f t="shared" si="41"/>
        <v>0</v>
      </c>
      <c r="AU85" s="255"/>
      <c r="AV85" s="257">
        <f t="shared" si="42"/>
        <v>0</v>
      </c>
      <c r="AW85" s="381"/>
      <c r="AX85" s="257">
        <f t="shared" si="43"/>
        <v>0</v>
      </c>
      <c r="AY85" s="388"/>
      <c r="AZ85" s="257">
        <f t="shared" si="44"/>
        <v>0</v>
      </c>
      <c r="BA85" s="255"/>
      <c r="BB85" s="257">
        <f t="shared" si="45"/>
        <v>0</v>
      </c>
      <c r="BC85" s="255"/>
      <c r="BD85" s="257">
        <f t="shared" si="46"/>
        <v>0</v>
      </c>
      <c r="BE85" s="255"/>
      <c r="BF85" s="257">
        <f t="shared" si="29"/>
        <v>0</v>
      </c>
      <c r="BG85" s="255"/>
      <c r="BH85" s="257">
        <f t="shared" si="47"/>
        <v>0</v>
      </c>
      <c r="BI85" s="255"/>
      <c r="BJ85" s="257">
        <f t="shared" si="48"/>
        <v>0</v>
      </c>
      <c r="BK85" s="255"/>
      <c r="BL85" s="257">
        <f t="shared" si="49"/>
        <v>0</v>
      </c>
      <c r="BM85" s="1" t="s">
        <v>573</v>
      </c>
      <c r="BO85" s="1" t="s">
        <v>457</v>
      </c>
      <c r="BP85" s="1" t="s">
        <v>574</v>
      </c>
    </row>
    <row r="86" spans="1:68" ht="15.6" customHeight="1">
      <c r="A86" s="250" t="s">
        <v>451</v>
      </c>
      <c r="B86" s="59" t="s">
        <v>341</v>
      </c>
      <c r="C86" s="354" t="s">
        <v>172</v>
      </c>
      <c r="D86" s="424"/>
      <c r="E86" s="357" t="s">
        <v>173</v>
      </c>
      <c r="F86" s="421"/>
      <c r="G86" s="317">
        <v>2024</v>
      </c>
      <c r="H86" s="59" t="s">
        <v>568</v>
      </c>
      <c r="I86" s="315" t="s">
        <v>357</v>
      </c>
      <c r="J86" s="317">
        <v>14</v>
      </c>
      <c r="K86" s="59" t="s">
        <v>515</v>
      </c>
      <c r="L86" s="298" t="s">
        <v>344</v>
      </c>
      <c r="M86" s="300" t="s">
        <v>541</v>
      </c>
      <c r="N86" s="300">
        <v>3.37</v>
      </c>
      <c r="O86" s="300">
        <v>3.65</v>
      </c>
      <c r="P86" s="300">
        <v>3.65</v>
      </c>
      <c r="Q86" s="300">
        <v>3.65</v>
      </c>
      <c r="R86" s="300">
        <v>3.65</v>
      </c>
      <c r="S86" s="300">
        <v>3.65</v>
      </c>
      <c r="T86" s="300">
        <v>3.65</v>
      </c>
      <c r="U86" s="300">
        <v>3.65</v>
      </c>
      <c r="V86" s="300">
        <v>3.65</v>
      </c>
      <c r="W86" s="300">
        <v>3.65</v>
      </c>
      <c r="X86" s="300">
        <v>3.65</v>
      </c>
      <c r="Y86" s="300">
        <v>3.65</v>
      </c>
      <c r="Z86" s="300">
        <v>3.65</v>
      </c>
      <c r="AA86" s="300">
        <v>3.65</v>
      </c>
      <c r="AB86" s="301">
        <v>0.28000000000000003</v>
      </c>
      <c r="AC86" s="301">
        <v>0.28000000000000003</v>
      </c>
      <c r="AD86" s="301">
        <v>0.28000000000000003</v>
      </c>
      <c r="AE86" s="301">
        <v>0.28000000000000003</v>
      </c>
      <c r="AF86" s="301">
        <v>0.28000000000000003</v>
      </c>
      <c r="AG86" s="301">
        <v>0.28000000000000003</v>
      </c>
      <c r="AH86" s="301">
        <v>0.28000000000000003</v>
      </c>
      <c r="AI86" s="301">
        <v>0.28000000000000003</v>
      </c>
      <c r="AJ86" s="301">
        <v>0.28000000000000003</v>
      </c>
      <c r="AK86" s="301">
        <v>0.28000000000000003</v>
      </c>
      <c r="AL86" s="301">
        <v>0.28000000000000003</v>
      </c>
      <c r="AM86" s="301">
        <v>0.28000000000000003</v>
      </c>
      <c r="AN86" s="301">
        <v>0.28000000000000003</v>
      </c>
      <c r="AO86" s="255">
        <v>760</v>
      </c>
      <c r="AP86" s="254">
        <f t="shared" si="39"/>
        <v>212.8</v>
      </c>
      <c r="AQ86" s="255">
        <v>120</v>
      </c>
      <c r="AR86" s="254">
        <f t="shared" si="40"/>
        <v>33.6</v>
      </c>
      <c r="AS86" s="255">
        <v>360</v>
      </c>
      <c r="AT86" s="254">
        <f t="shared" si="41"/>
        <v>100.80000000000001</v>
      </c>
      <c r="AU86" s="255">
        <v>40</v>
      </c>
      <c r="AV86" s="257">
        <f t="shared" si="42"/>
        <v>11.200000000000001</v>
      </c>
      <c r="AW86" s="381">
        <v>920</v>
      </c>
      <c r="AX86" s="257">
        <f t="shared" si="43"/>
        <v>257.60000000000002</v>
      </c>
      <c r="AY86" s="388">
        <v>400</v>
      </c>
      <c r="AZ86" s="257">
        <f t="shared" si="44"/>
        <v>112.00000000000001</v>
      </c>
      <c r="BA86" s="255"/>
      <c r="BB86" s="257">
        <f t="shared" si="45"/>
        <v>0</v>
      </c>
      <c r="BC86" s="255">
        <v>7000</v>
      </c>
      <c r="BD86" s="257">
        <f t="shared" si="46"/>
        <v>1960.0000000000002</v>
      </c>
      <c r="BE86" s="255"/>
      <c r="BF86" s="257">
        <f t="shared" si="29"/>
        <v>0</v>
      </c>
      <c r="BG86" s="255"/>
      <c r="BH86" s="257">
        <f t="shared" si="47"/>
        <v>0</v>
      </c>
      <c r="BI86" s="255"/>
      <c r="BJ86" s="257">
        <f t="shared" si="48"/>
        <v>0</v>
      </c>
      <c r="BK86" s="255"/>
      <c r="BL86" s="257">
        <f t="shared" si="49"/>
        <v>0</v>
      </c>
      <c r="BM86" s="1" t="s">
        <v>575</v>
      </c>
      <c r="BO86" s="1" t="s">
        <v>457</v>
      </c>
      <c r="BP86" s="1" t="s">
        <v>576</v>
      </c>
    </row>
    <row r="87" spans="1:68" ht="15.6" customHeight="1">
      <c r="A87" s="250" t="s">
        <v>451</v>
      </c>
      <c r="B87" s="59" t="s">
        <v>341</v>
      </c>
      <c r="C87" s="354" t="s">
        <v>172</v>
      </c>
      <c r="D87" s="424"/>
      <c r="E87" s="357" t="s">
        <v>173</v>
      </c>
      <c r="F87" s="421"/>
      <c r="G87" s="317">
        <v>2024</v>
      </c>
      <c r="H87" s="59" t="s">
        <v>568</v>
      </c>
      <c r="I87" s="315" t="s">
        <v>357</v>
      </c>
      <c r="J87" s="317">
        <v>14</v>
      </c>
      <c r="K87" s="59" t="s">
        <v>577</v>
      </c>
      <c r="L87" s="298" t="s">
        <v>344</v>
      </c>
      <c r="M87" s="300" t="s">
        <v>541</v>
      </c>
      <c r="N87" s="300">
        <v>3.37</v>
      </c>
      <c r="O87" s="300">
        <v>3.65</v>
      </c>
      <c r="P87" s="300">
        <v>3.65</v>
      </c>
      <c r="Q87" s="300">
        <v>3.65</v>
      </c>
      <c r="R87" s="300">
        <v>3.65</v>
      </c>
      <c r="S87" s="300">
        <v>3.65</v>
      </c>
      <c r="T87" s="300">
        <v>3.65</v>
      </c>
      <c r="U87" s="300">
        <v>3.65</v>
      </c>
      <c r="V87" s="300">
        <v>3.65</v>
      </c>
      <c r="W87" s="300">
        <v>3.65</v>
      </c>
      <c r="X87" s="300">
        <v>3.65</v>
      </c>
      <c r="Y87" s="300">
        <v>3.65</v>
      </c>
      <c r="Z87" s="300">
        <v>3.65</v>
      </c>
      <c r="AA87" s="300">
        <v>3.65</v>
      </c>
      <c r="AB87" s="301">
        <v>0.28000000000000003</v>
      </c>
      <c r="AC87" s="301">
        <v>0.28000000000000003</v>
      </c>
      <c r="AD87" s="301">
        <v>0.28000000000000003</v>
      </c>
      <c r="AE87" s="301">
        <v>0.28000000000000003</v>
      </c>
      <c r="AF87" s="301">
        <v>0.28000000000000003</v>
      </c>
      <c r="AG87" s="301">
        <v>0.28000000000000003</v>
      </c>
      <c r="AH87" s="301">
        <v>0.28000000000000003</v>
      </c>
      <c r="AI87" s="301">
        <v>0.28000000000000003</v>
      </c>
      <c r="AJ87" s="301">
        <v>0.28000000000000003</v>
      </c>
      <c r="AK87" s="301">
        <v>0.28000000000000003</v>
      </c>
      <c r="AL87" s="301">
        <v>0.28000000000000003</v>
      </c>
      <c r="AM87" s="301">
        <v>0.28000000000000003</v>
      </c>
      <c r="AN87" s="301">
        <v>0.28000000000000003</v>
      </c>
      <c r="AO87" s="255">
        <v>80</v>
      </c>
      <c r="AP87" s="254">
        <f t="shared" si="39"/>
        <v>22.400000000000002</v>
      </c>
      <c r="AQ87" s="255"/>
      <c r="AR87" s="254">
        <f t="shared" si="40"/>
        <v>0</v>
      </c>
      <c r="AS87" s="255"/>
      <c r="AT87" s="254">
        <f t="shared" si="41"/>
        <v>0</v>
      </c>
      <c r="AU87" s="256">
        <v>120</v>
      </c>
      <c r="AV87" s="257">
        <f t="shared" si="42"/>
        <v>33.6</v>
      </c>
      <c r="AW87" s="381">
        <v>400</v>
      </c>
      <c r="AX87" s="257">
        <f t="shared" si="43"/>
        <v>112.00000000000001</v>
      </c>
      <c r="AY87" s="388">
        <v>160</v>
      </c>
      <c r="AZ87" s="257">
        <f t="shared" si="44"/>
        <v>44.800000000000004</v>
      </c>
      <c r="BA87" s="255"/>
      <c r="BB87" s="257">
        <f t="shared" si="45"/>
        <v>0</v>
      </c>
      <c r="BC87" s="255"/>
      <c r="BD87" s="257">
        <f t="shared" si="46"/>
        <v>0</v>
      </c>
      <c r="BE87" s="255">
        <v>40</v>
      </c>
      <c r="BF87" s="257">
        <f t="shared" si="29"/>
        <v>11.200000000000001</v>
      </c>
      <c r="BG87" s="255"/>
      <c r="BH87" s="257">
        <f t="shared" si="47"/>
        <v>0</v>
      </c>
      <c r="BI87" s="255"/>
      <c r="BJ87" s="257">
        <f t="shared" si="48"/>
        <v>0</v>
      </c>
      <c r="BK87" s="255"/>
      <c r="BL87" s="257">
        <f t="shared" si="49"/>
        <v>0</v>
      </c>
      <c r="BM87" s="1" t="s">
        <v>578</v>
      </c>
      <c r="BO87" s="1" t="s">
        <v>457</v>
      </c>
      <c r="BP87" s="1" t="s">
        <v>579</v>
      </c>
    </row>
    <row r="88" spans="1:68" ht="15.75" customHeight="1">
      <c r="A88" s="250" t="s">
        <v>451</v>
      </c>
      <c r="B88" s="59" t="s">
        <v>341</v>
      </c>
      <c r="C88" s="354" t="s">
        <v>172</v>
      </c>
      <c r="D88" s="424"/>
      <c r="E88" s="357" t="s">
        <v>173</v>
      </c>
      <c r="F88" s="421"/>
      <c r="G88" s="317">
        <v>2024</v>
      </c>
      <c r="H88" s="59" t="s">
        <v>568</v>
      </c>
      <c r="I88" s="315" t="s">
        <v>357</v>
      </c>
      <c r="J88" s="317">
        <v>14</v>
      </c>
      <c r="K88" s="59" t="s">
        <v>565</v>
      </c>
      <c r="L88" s="298" t="s">
        <v>344</v>
      </c>
      <c r="M88" s="300" t="s">
        <v>541</v>
      </c>
      <c r="N88" s="300">
        <v>3.37</v>
      </c>
      <c r="O88" s="300">
        <v>3.65</v>
      </c>
      <c r="P88" s="300">
        <v>3.65</v>
      </c>
      <c r="Q88" s="300">
        <v>3.65</v>
      </c>
      <c r="R88" s="300">
        <v>3.65</v>
      </c>
      <c r="S88" s="300">
        <v>3.65</v>
      </c>
      <c r="T88" s="300">
        <v>3.65</v>
      </c>
      <c r="U88" s="300">
        <v>3.65</v>
      </c>
      <c r="V88" s="300">
        <v>3.65</v>
      </c>
      <c r="W88" s="300">
        <v>3.65</v>
      </c>
      <c r="X88" s="300">
        <v>3.65</v>
      </c>
      <c r="Y88" s="300">
        <v>3.65</v>
      </c>
      <c r="Z88" s="300">
        <v>3.65</v>
      </c>
      <c r="AA88" s="300">
        <v>3.65</v>
      </c>
      <c r="AB88" s="301">
        <v>0.28000000000000003</v>
      </c>
      <c r="AC88" s="301">
        <v>0.28000000000000003</v>
      </c>
      <c r="AD88" s="301">
        <v>0.28000000000000003</v>
      </c>
      <c r="AE88" s="301">
        <v>0.28000000000000003</v>
      </c>
      <c r="AF88" s="301">
        <v>0.28000000000000003</v>
      </c>
      <c r="AG88" s="301">
        <v>0.28000000000000003</v>
      </c>
      <c r="AH88" s="301">
        <v>0.28000000000000003</v>
      </c>
      <c r="AI88" s="301">
        <v>0.28000000000000003</v>
      </c>
      <c r="AJ88" s="301">
        <v>0.28000000000000003</v>
      </c>
      <c r="AK88" s="301">
        <v>0.28000000000000003</v>
      </c>
      <c r="AL88" s="301">
        <v>0.28000000000000003</v>
      </c>
      <c r="AM88" s="301">
        <v>0.28000000000000003</v>
      </c>
      <c r="AN88" s="301">
        <v>0.28000000000000003</v>
      </c>
      <c r="AO88" s="255"/>
      <c r="AP88" s="254">
        <f t="shared" si="39"/>
        <v>0</v>
      </c>
      <c r="AQ88" s="255"/>
      <c r="AR88" s="254">
        <f t="shared" si="40"/>
        <v>0</v>
      </c>
      <c r="AS88" s="255"/>
      <c r="AT88" s="254">
        <f t="shared" si="41"/>
        <v>0</v>
      </c>
      <c r="AU88" s="255"/>
      <c r="AV88" s="257">
        <f t="shared" si="42"/>
        <v>0</v>
      </c>
      <c r="AW88" s="381"/>
      <c r="AX88" s="257">
        <f t="shared" si="43"/>
        <v>0</v>
      </c>
      <c r="AY88" s="388"/>
      <c r="AZ88" s="257">
        <f t="shared" si="44"/>
        <v>0</v>
      </c>
      <c r="BA88" s="255"/>
      <c r="BB88" s="257">
        <f t="shared" si="45"/>
        <v>0</v>
      </c>
      <c r="BC88" s="255"/>
      <c r="BD88" s="257">
        <f t="shared" si="46"/>
        <v>0</v>
      </c>
      <c r="BE88" s="255"/>
      <c r="BF88" s="257">
        <f t="shared" si="29"/>
        <v>0</v>
      </c>
      <c r="BG88" s="255"/>
      <c r="BH88" s="257">
        <f t="shared" si="47"/>
        <v>0</v>
      </c>
      <c r="BI88" s="255"/>
      <c r="BJ88" s="257">
        <f t="shared" si="48"/>
        <v>0</v>
      </c>
      <c r="BK88" s="255"/>
      <c r="BL88" s="257">
        <f t="shared" si="49"/>
        <v>0</v>
      </c>
      <c r="BM88" s="1" t="s">
        <v>580</v>
      </c>
      <c r="BO88" s="1" t="s">
        <v>457</v>
      </c>
      <c r="BP88" s="1" t="s">
        <v>581</v>
      </c>
    </row>
    <row r="89" spans="1:68" ht="15.75" customHeight="1">
      <c r="A89" s="250" t="s">
        <v>451</v>
      </c>
      <c r="B89" s="59" t="s">
        <v>341</v>
      </c>
      <c r="C89" s="354" t="s">
        <v>172</v>
      </c>
      <c r="D89" s="424"/>
      <c r="E89" s="357" t="s">
        <v>173</v>
      </c>
      <c r="F89" s="421"/>
      <c r="G89" s="317">
        <v>2024</v>
      </c>
      <c r="H89" s="59" t="s">
        <v>568</v>
      </c>
      <c r="I89" s="315" t="s">
        <v>359</v>
      </c>
      <c r="J89" s="317">
        <v>14</v>
      </c>
      <c r="K89" s="59" t="s">
        <v>577</v>
      </c>
      <c r="L89" s="298" t="s">
        <v>344</v>
      </c>
      <c r="M89" s="300" t="s">
        <v>541</v>
      </c>
      <c r="N89" s="300">
        <v>8.67</v>
      </c>
      <c r="O89" s="300">
        <v>11</v>
      </c>
      <c r="P89" s="300">
        <v>11</v>
      </c>
      <c r="Q89" s="300">
        <v>11</v>
      </c>
      <c r="R89" s="300">
        <v>11</v>
      </c>
      <c r="S89" s="300">
        <v>11</v>
      </c>
      <c r="T89" s="300">
        <v>11</v>
      </c>
      <c r="U89" s="300">
        <v>11</v>
      </c>
      <c r="V89" s="300">
        <v>11</v>
      </c>
      <c r="W89" s="300">
        <v>11</v>
      </c>
      <c r="X89" s="300">
        <v>11</v>
      </c>
      <c r="Y89" s="300">
        <v>11</v>
      </c>
      <c r="Z89" s="300">
        <v>11</v>
      </c>
      <c r="AA89" s="300">
        <v>11</v>
      </c>
      <c r="AB89" s="59">
        <v>2.33</v>
      </c>
      <c r="AC89" s="59">
        <v>2.33</v>
      </c>
      <c r="AD89" s="59">
        <v>2.33</v>
      </c>
      <c r="AE89" s="59">
        <v>2.33</v>
      </c>
      <c r="AF89" s="59">
        <v>2.33</v>
      </c>
      <c r="AG89" s="59">
        <v>2.33</v>
      </c>
      <c r="AH89" s="59">
        <v>2.33</v>
      </c>
      <c r="AI89" s="59">
        <v>2.33</v>
      </c>
      <c r="AJ89" s="59">
        <v>2.33</v>
      </c>
      <c r="AK89" s="59">
        <v>2.33</v>
      </c>
      <c r="AL89" s="59">
        <v>2.33</v>
      </c>
      <c r="AM89" s="59">
        <v>2.33</v>
      </c>
      <c r="AN89" s="59">
        <v>2.33</v>
      </c>
      <c r="AO89" s="255">
        <v>40</v>
      </c>
      <c r="AP89" s="254">
        <f t="shared" si="39"/>
        <v>93.2</v>
      </c>
      <c r="AQ89" s="255"/>
      <c r="AR89" s="254">
        <f t="shared" si="40"/>
        <v>0</v>
      </c>
      <c r="AS89" s="255"/>
      <c r="AT89" s="254">
        <f t="shared" si="41"/>
        <v>0</v>
      </c>
      <c r="AU89" s="256"/>
      <c r="AV89" s="257">
        <f t="shared" si="42"/>
        <v>0</v>
      </c>
      <c r="AW89" s="382"/>
      <c r="AX89" s="257">
        <f t="shared" si="43"/>
        <v>0</v>
      </c>
      <c r="AY89" s="268"/>
      <c r="AZ89" s="257">
        <f t="shared" si="44"/>
        <v>0</v>
      </c>
      <c r="BA89" s="268"/>
      <c r="BB89" s="257">
        <f t="shared" si="45"/>
        <v>0</v>
      </c>
      <c r="BC89" s="268"/>
      <c r="BD89" s="257">
        <f t="shared" si="46"/>
        <v>0</v>
      </c>
      <c r="BE89" s="268"/>
      <c r="BF89" s="257">
        <f t="shared" si="29"/>
        <v>0</v>
      </c>
      <c r="BG89" s="59"/>
      <c r="BH89" s="257">
        <f t="shared" si="47"/>
        <v>0</v>
      </c>
      <c r="BI89" s="268"/>
      <c r="BJ89" s="257">
        <f t="shared" si="48"/>
        <v>0</v>
      </c>
      <c r="BK89" s="268"/>
      <c r="BL89" s="257">
        <f t="shared" si="49"/>
        <v>0</v>
      </c>
      <c r="BM89" s="1" t="s">
        <v>582</v>
      </c>
      <c r="BO89" s="1" t="s">
        <v>457</v>
      </c>
      <c r="BP89" s="1" t="s">
        <v>583</v>
      </c>
    </row>
    <row r="90" spans="1:68" ht="15.75" customHeight="1">
      <c r="A90" s="250" t="s">
        <v>451</v>
      </c>
      <c r="B90" s="59" t="s">
        <v>341</v>
      </c>
      <c r="C90" s="354" t="s">
        <v>172</v>
      </c>
      <c r="D90" s="424"/>
      <c r="E90" s="357" t="s">
        <v>173</v>
      </c>
      <c r="F90" s="421"/>
      <c r="G90" s="317">
        <v>2024</v>
      </c>
      <c r="H90" s="59" t="s">
        <v>568</v>
      </c>
      <c r="I90" s="315" t="s">
        <v>359</v>
      </c>
      <c r="J90" s="317">
        <v>14</v>
      </c>
      <c r="K90" s="59" t="s">
        <v>565</v>
      </c>
      <c r="L90" s="298" t="s">
        <v>344</v>
      </c>
      <c r="M90" s="300" t="s">
        <v>541</v>
      </c>
      <c r="N90" s="300">
        <v>8.67</v>
      </c>
      <c r="O90" s="300">
        <v>11</v>
      </c>
      <c r="P90" s="300">
        <v>11</v>
      </c>
      <c r="Q90" s="300">
        <v>11</v>
      </c>
      <c r="R90" s="300">
        <v>11</v>
      </c>
      <c r="S90" s="300">
        <v>11</v>
      </c>
      <c r="T90" s="300">
        <v>11</v>
      </c>
      <c r="U90" s="300">
        <v>11</v>
      </c>
      <c r="V90" s="300">
        <v>11</v>
      </c>
      <c r="W90" s="300">
        <v>11</v>
      </c>
      <c r="X90" s="300">
        <v>11</v>
      </c>
      <c r="Y90" s="300">
        <v>11</v>
      </c>
      <c r="Z90" s="300">
        <v>11</v>
      </c>
      <c r="AA90" s="300">
        <v>11</v>
      </c>
      <c r="AB90" s="59">
        <v>2.33</v>
      </c>
      <c r="AC90" s="59">
        <v>2.33</v>
      </c>
      <c r="AD90" s="59">
        <v>2.33</v>
      </c>
      <c r="AE90" s="59">
        <v>2.33</v>
      </c>
      <c r="AF90" s="59">
        <v>2.33</v>
      </c>
      <c r="AG90" s="59">
        <v>2.33</v>
      </c>
      <c r="AH90" s="59">
        <v>2.33</v>
      </c>
      <c r="AI90" s="59">
        <v>2.33</v>
      </c>
      <c r="AJ90" s="59">
        <v>2.33</v>
      </c>
      <c r="AK90" s="59">
        <v>2.33</v>
      </c>
      <c r="AL90" s="59">
        <v>2.33</v>
      </c>
      <c r="AM90" s="59">
        <v>2.33</v>
      </c>
      <c r="AN90" s="59">
        <v>2.33</v>
      </c>
      <c r="AO90" s="255"/>
      <c r="AP90" s="254">
        <f t="shared" si="39"/>
        <v>0</v>
      </c>
      <c r="AQ90" s="255"/>
      <c r="AR90" s="254">
        <f t="shared" si="40"/>
        <v>0</v>
      </c>
      <c r="AS90" s="255"/>
      <c r="AT90" s="254">
        <f t="shared" si="41"/>
        <v>0</v>
      </c>
      <c r="AU90" s="255"/>
      <c r="AV90" s="257">
        <f t="shared" si="42"/>
        <v>0</v>
      </c>
      <c r="AW90" s="381"/>
      <c r="AX90" s="257">
        <f t="shared" si="43"/>
        <v>0</v>
      </c>
      <c r="AY90" s="388"/>
      <c r="AZ90" s="257">
        <f t="shared" si="44"/>
        <v>0</v>
      </c>
      <c r="BA90" s="255"/>
      <c r="BB90" s="257">
        <f t="shared" si="45"/>
        <v>0</v>
      </c>
      <c r="BC90" s="255"/>
      <c r="BD90" s="257">
        <f t="shared" si="46"/>
        <v>0</v>
      </c>
      <c r="BE90" s="255"/>
      <c r="BF90" s="257">
        <f t="shared" si="29"/>
        <v>0</v>
      </c>
      <c r="BG90" s="255"/>
      <c r="BH90" s="257">
        <f t="shared" si="47"/>
        <v>0</v>
      </c>
      <c r="BI90" s="255"/>
      <c r="BJ90" s="257">
        <f t="shared" si="48"/>
        <v>0</v>
      </c>
      <c r="BK90" s="255"/>
      <c r="BL90" s="257">
        <f t="shared" si="49"/>
        <v>0</v>
      </c>
      <c r="BM90" s="1" t="s">
        <v>584</v>
      </c>
      <c r="BO90" s="1" t="s">
        <v>457</v>
      </c>
      <c r="BP90" s="1" t="s">
        <v>585</v>
      </c>
    </row>
    <row r="91" spans="1:68" ht="15.75" customHeight="1">
      <c r="A91" s="250" t="s">
        <v>451</v>
      </c>
      <c r="B91" s="59" t="s">
        <v>341</v>
      </c>
      <c r="C91" s="354" t="s">
        <v>172</v>
      </c>
      <c r="D91" s="424"/>
      <c r="E91" s="357" t="s">
        <v>173</v>
      </c>
      <c r="F91" s="421"/>
      <c r="G91" s="317">
        <v>2024</v>
      </c>
      <c r="H91" s="59" t="s">
        <v>568</v>
      </c>
      <c r="I91" s="315" t="s">
        <v>359</v>
      </c>
      <c r="J91" s="317">
        <v>14</v>
      </c>
      <c r="K91" s="59" t="s">
        <v>586</v>
      </c>
      <c r="L91" s="298" t="s">
        <v>344</v>
      </c>
      <c r="M91" s="300" t="s">
        <v>541</v>
      </c>
      <c r="N91" s="300">
        <v>8.67</v>
      </c>
      <c r="O91" s="300">
        <v>11</v>
      </c>
      <c r="P91" s="300">
        <v>11</v>
      </c>
      <c r="Q91" s="300">
        <v>11</v>
      </c>
      <c r="R91" s="300">
        <v>11</v>
      </c>
      <c r="S91" s="300">
        <v>11</v>
      </c>
      <c r="T91" s="300">
        <v>11</v>
      </c>
      <c r="U91" s="300">
        <v>11</v>
      </c>
      <c r="V91" s="300">
        <v>11</v>
      </c>
      <c r="W91" s="300">
        <v>11</v>
      </c>
      <c r="X91" s="300">
        <v>11</v>
      </c>
      <c r="Y91" s="300">
        <v>11</v>
      </c>
      <c r="Z91" s="300">
        <v>11</v>
      </c>
      <c r="AA91" s="300">
        <v>11</v>
      </c>
      <c r="AB91" s="59">
        <v>2.33</v>
      </c>
      <c r="AC91" s="59">
        <v>2.33</v>
      </c>
      <c r="AD91" s="59">
        <v>2.33</v>
      </c>
      <c r="AE91" s="59">
        <v>2.33</v>
      </c>
      <c r="AF91" s="59">
        <v>2.33</v>
      </c>
      <c r="AG91" s="59">
        <v>2.33</v>
      </c>
      <c r="AH91" s="59">
        <v>2.33</v>
      </c>
      <c r="AI91" s="59">
        <v>2.33</v>
      </c>
      <c r="AJ91" s="59">
        <v>2.33</v>
      </c>
      <c r="AK91" s="59">
        <v>2.33</v>
      </c>
      <c r="AL91" s="59">
        <v>2.33</v>
      </c>
      <c r="AM91" s="59">
        <v>2.33</v>
      </c>
      <c r="AN91" s="59">
        <v>2.33</v>
      </c>
      <c r="AO91" s="255"/>
      <c r="AP91" s="254">
        <f t="shared" si="39"/>
        <v>0</v>
      </c>
      <c r="AQ91" s="255"/>
      <c r="AR91" s="254">
        <f t="shared" si="40"/>
        <v>0</v>
      </c>
      <c r="AS91" s="255"/>
      <c r="AT91" s="254">
        <f t="shared" si="41"/>
        <v>0</v>
      </c>
      <c r="AU91" s="255"/>
      <c r="AV91" s="257">
        <f t="shared" si="42"/>
        <v>0</v>
      </c>
      <c r="AW91" s="381"/>
      <c r="AX91" s="257">
        <f t="shared" si="43"/>
        <v>0</v>
      </c>
      <c r="AY91" s="388"/>
      <c r="AZ91" s="257">
        <f t="shared" si="44"/>
        <v>0</v>
      </c>
      <c r="BA91" s="255"/>
      <c r="BB91" s="257">
        <f t="shared" si="45"/>
        <v>0</v>
      </c>
      <c r="BC91" s="255"/>
      <c r="BD91" s="257">
        <f t="shared" si="46"/>
        <v>0</v>
      </c>
      <c r="BE91" s="255"/>
      <c r="BF91" s="257">
        <f t="shared" si="29"/>
        <v>0</v>
      </c>
      <c r="BG91" s="255"/>
      <c r="BH91" s="257">
        <f t="shared" si="47"/>
        <v>0</v>
      </c>
      <c r="BI91" s="255"/>
      <c r="BJ91" s="257">
        <f t="shared" si="48"/>
        <v>0</v>
      </c>
      <c r="BK91" s="255"/>
      <c r="BL91" s="257">
        <f t="shared" si="49"/>
        <v>0</v>
      </c>
      <c r="BM91" s="1" t="s">
        <v>587</v>
      </c>
      <c r="BO91" s="1" t="s">
        <v>457</v>
      </c>
      <c r="BP91" s="1" t="s">
        <v>588</v>
      </c>
    </row>
    <row r="92" spans="1:68" ht="15.75" customHeight="1">
      <c r="A92" s="250" t="s">
        <v>451</v>
      </c>
      <c r="B92" s="59" t="s">
        <v>341</v>
      </c>
      <c r="C92" s="354" t="s">
        <v>172</v>
      </c>
      <c r="D92" s="424"/>
      <c r="E92" s="357" t="s">
        <v>173</v>
      </c>
      <c r="F92" s="421"/>
      <c r="G92" s="317">
        <v>2020</v>
      </c>
      <c r="H92" s="59" t="s">
        <v>342</v>
      </c>
      <c r="I92" s="315" t="s">
        <v>175</v>
      </c>
      <c r="J92" s="317">
        <v>14</v>
      </c>
      <c r="K92" s="59" t="s">
        <v>540</v>
      </c>
      <c r="L92" s="298" t="s">
        <v>464</v>
      </c>
      <c r="M92" s="300" t="s">
        <v>465</v>
      </c>
      <c r="N92" s="300">
        <v>2.9</v>
      </c>
      <c r="O92" s="300">
        <v>3.5</v>
      </c>
      <c r="P92" s="300">
        <v>3.5</v>
      </c>
      <c r="Q92" s="300">
        <v>3.5</v>
      </c>
      <c r="R92" s="300">
        <v>3.5</v>
      </c>
      <c r="S92" s="300">
        <v>3.5</v>
      </c>
      <c r="T92" s="300">
        <v>3.5</v>
      </c>
      <c r="U92" s="300">
        <v>3.5</v>
      </c>
      <c r="V92" s="300">
        <v>3.5</v>
      </c>
      <c r="W92" s="300">
        <v>3.5</v>
      </c>
      <c r="X92" s="300">
        <v>3.5</v>
      </c>
      <c r="Y92" s="300">
        <v>3.5</v>
      </c>
      <c r="Z92" s="300">
        <v>3.5</v>
      </c>
      <c r="AA92" s="300">
        <v>3.5</v>
      </c>
      <c r="AB92" s="301">
        <v>0.6</v>
      </c>
      <c r="AC92" s="301">
        <v>0.6</v>
      </c>
      <c r="AD92" s="301">
        <v>0.6</v>
      </c>
      <c r="AE92" s="301">
        <v>0.6</v>
      </c>
      <c r="AF92" s="301">
        <v>0.6</v>
      </c>
      <c r="AG92" s="301">
        <v>0.6</v>
      </c>
      <c r="AH92" s="301">
        <v>0.6</v>
      </c>
      <c r="AI92" s="301">
        <v>0.6</v>
      </c>
      <c r="AJ92" s="301">
        <v>0.6</v>
      </c>
      <c r="AK92" s="301">
        <v>0.6</v>
      </c>
      <c r="AL92" s="301">
        <v>0.6</v>
      </c>
      <c r="AM92" s="301">
        <v>0.6</v>
      </c>
      <c r="AN92" s="301">
        <v>0.6</v>
      </c>
      <c r="AO92" s="255"/>
      <c r="AP92" s="254">
        <f t="shared" si="39"/>
        <v>0</v>
      </c>
      <c r="AQ92" s="255"/>
      <c r="AR92" s="254">
        <f t="shared" si="40"/>
        <v>0</v>
      </c>
      <c r="AS92" s="255"/>
      <c r="AT92" s="254">
        <f t="shared" si="41"/>
        <v>0</v>
      </c>
      <c r="AU92" s="255"/>
      <c r="AV92" s="257">
        <f t="shared" si="42"/>
        <v>0</v>
      </c>
      <c r="AW92" s="381"/>
      <c r="AX92" s="257">
        <f t="shared" si="43"/>
        <v>0</v>
      </c>
      <c r="AY92" s="388">
        <v>240</v>
      </c>
      <c r="AZ92" s="257">
        <f t="shared" si="44"/>
        <v>144</v>
      </c>
      <c r="BA92" s="255">
        <v>2558</v>
      </c>
      <c r="BB92" s="257">
        <f t="shared" si="45"/>
        <v>1534.8</v>
      </c>
      <c r="BC92" s="255">
        <v>9760</v>
      </c>
      <c r="BD92" s="257">
        <f t="shared" si="46"/>
        <v>5856</v>
      </c>
      <c r="BE92" s="255">
        <v>11916</v>
      </c>
      <c r="BF92" s="257">
        <f t="shared" si="29"/>
        <v>7149.5999999999995</v>
      </c>
      <c r="BG92" s="255">
        <v>45498</v>
      </c>
      <c r="BH92" s="257">
        <f t="shared" si="47"/>
        <v>27298.799999999999</v>
      </c>
      <c r="BI92" s="255">
        <v>38589</v>
      </c>
      <c r="BJ92" s="257">
        <f t="shared" si="48"/>
        <v>23153.399999999998</v>
      </c>
      <c r="BK92" s="255">
        <v>52605</v>
      </c>
      <c r="BL92" s="257">
        <f t="shared" si="49"/>
        <v>31563</v>
      </c>
      <c r="BM92" s="1" t="s">
        <v>542</v>
      </c>
      <c r="BO92" s="1" t="s">
        <v>457</v>
      </c>
      <c r="BP92" s="1" t="s">
        <v>543</v>
      </c>
    </row>
    <row r="93" spans="1:68" ht="15.75" customHeight="1">
      <c r="A93" s="250" t="s">
        <v>451</v>
      </c>
      <c r="B93" s="59" t="s">
        <v>341</v>
      </c>
      <c r="C93" s="354" t="s">
        <v>172</v>
      </c>
      <c r="D93" s="424"/>
      <c r="E93" s="357" t="s">
        <v>173</v>
      </c>
      <c r="F93" s="421"/>
      <c r="G93" s="317">
        <v>2024</v>
      </c>
      <c r="H93" s="59" t="s">
        <v>568</v>
      </c>
      <c r="I93" s="315" t="s">
        <v>359</v>
      </c>
      <c r="J93" s="317">
        <v>14</v>
      </c>
      <c r="K93" s="59" t="s">
        <v>335</v>
      </c>
      <c r="L93" s="298" t="s">
        <v>464</v>
      </c>
      <c r="M93" s="300" t="s">
        <v>465</v>
      </c>
      <c r="N93" s="300">
        <v>8.49</v>
      </c>
      <c r="O93" s="315">
        <v>10</v>
      </c>
      <c r="P93" s="315">
        <v>10</v>
      </c>
      <c r="Q93" s="315">
        <v>10</v>
      </c>
      <c r="R93" s="315">
        <v>10</v>
      </c>
      <c r="S93" s="315">
        <v>10</v>
      </c>
      <c r="T93" s="315">
        <v>10</v>
      </c>
      <c r="U93" s="315">
        <v>10</v>
      </c>
      <c r="V93" s="315">
        <v>10</v>
      </c>
      <c r="W93" s="315">
        <v>10</v>
      </c>
      <c r="X93" s="315">
        <v>10</v>
      </c>
      <c r="Y93" s="315">
        <v>10</v>
      </c>
      <c r="Z93" s="315">
        <v>10</v>
      </c>
      <c r="AA93" s="315">
        <v>10</v>
      </c>
      <c r="AB93" s="301">
        <v>1.51</v>
      </c>
      <c r="AC93" s="301">
        <v>1.51</v>
      </c>
      <c r="AD93" s="301">
        <v>1.51</v>
      </c>
      <c r="AE93" s="301">
        <v>1.51</v>
      </c>
      <c r="AF93" s="301">
        <v>1.51</v>
      </c>
      <c r="AG93" s="301">
        <v>1.51</v>
      </c>
      <c r="AH93" s="301">
        <v>1.51</v>
      </c>
      <c r="AI93" s="301">
        <v>1.51</v>
      </c>
      <c r="AJ93" s="301">
        <v>1.51</v>
      </c>
      <c r="AK93" s="301">
        <v>1.51</v>
      </c>
      <c r="AL93" s="301">
        <v>1.51</v>
      </c>
      <c r="AM93" s="301">
        <v>1.51</v>
      </c>
      <c r="AN93" s="301">
        <v>1.51</v>
      </c>
      <c r="AO93" s="255"/>
      <c r="AP93" s="254">
        <f t="shared" si="39"/>
        <v>0</v>
      </c>
      <c r="AQ93" s="255"/>
      <c r="AR93" s="254">
        <f t="shared" si="40"/>
        <v>0</v>
      </c>
      <c r="AS93" s="255"/>
      <c r="AT93" s="254">
        <f t="shared" si="41"/>
        <v>0</v>
      </c>
      <c r="AU93" s="255"/>
      <c r="AV93" s="257">
        <f t="shared" si="42"/>
        <v>0</v>
      </c>
      <c r="AW93" s="381"/>
      <c r="AX93" s="257">
        <f t="shared" si="43"/>
        <v>0</v>
      </c>
      <c r="AY93" s="388"/>
      <c r="AZ93" s="257">
        <f t="shared" si="44"/>
        <v>0</v>
      </c>
      <c r="BA93" s="255"/>
      <c r="BB93" s="257">
        <f t="shared" si="45"/>
        <v>0</v>
      </c>
      <c r="BC93" s="255"/>
      <c r="BD93" s="257">
        <f t="shared" si="46"/>
        <v>0</v>
      </c>
      <c r="BE93" s="255">
        <v>280</v>
      </c>
      <c r="BF93" s="257">
        <f t="shared" si="29"/>
        <v>422.8</v>
      </c>
      <c r="BG93" s="255">
        <v>40</v>
      </c>
      <c r="BH93" s="257">
        <f t="shared" si="47"/>
        <v>60.4</v>
      </c>
      <c r="BI93" s="255">
        <v>160</v>
      </c>
      <c r="BJ93" s="257">
        <f t="shared" si="48"/>
        <v>241.6</v>
      </c>
      <c r="BK93" s="255">
        <v>280</v>
      </c>
      <c r="BL93" s="257">
        <f t="shared" si="49"/>
        <v>422.8</v>
      </c>
      <c r="BM93" s="1" t="s">
        <v>569</v>
      </c>
      <c r="BO93" s="1" t="s">
        <v>457</v>
      </c>
      <c r="BP93" s="1" t="s">
        <v>570</v>
      </c>
    </row>
    <row r="94" spans="1:68" ht="15.75" customHeight="1">
      <c r="A94" s="250" t="s">
        <v>451</v>
      </c>
      <c r="B94" s="59" t="s">
        <v>341</v>
      </c>
      <c r="C94" s="354" t="s">
        <v>172</v>
      </c>
      <c r="D94" s="424"/>
      <c r="E94" s="357" t="s">
        <v>173</v>
      </c>
      <c r="F94" s="421"/>
      <c r="G94" s="317">
        <v>2024</v>
      </c>
      <c r="H94" s="59" t="s">
        <v>568</v>
      </c>
      <c r="I94" s="315" t="s">
        <v>357</v>
      </c>
      <c r="J94" s="317">
        <v>14</v>
      </c>
      <c r="K94" s="59" t="s">
        <v>335</v>
      </c>
      <c r="L94" s="298" t="s">
        <v>464</v>
      </c>
      <c r="M94" s="300" t="s">
        <v>465</v>
      </c>
      <c r="N94" s="300">
        <v>3.37</v>
      </c>
      <c r="O94" s="300">
        <v>3.65</v>
      </c>
      <c r="P94" s="300">
        <v>3.65</v>
      </c>
      <c r="Q94" s="300">
        <v>3.65</v>
      </c>
      <c r="R94" s="300">
        <v>3.65</v>
      </c>
      <c r="S94" s="300">
        <v>3.65</v>
      </c>
      <c r="T94" s="300">
        <v>3.65</v>
      </c>
      <c r="U94" s="300">
        <v>3.65</v>
      </c>
      <c r="V94" s="300">
        <v>3.65</v>
      </c>
      <c r="W94" s="300">
        <v>3.65</v>
      </c>
      <c r="X94" s="300">
        <v>3.65</v>
      </c>
      <c r="Y94" s="300">
        <v>3.65</v>
      </c>
      <c r="Z94" s="300">
        <v>3.65</v>
      </c>
      <c r="AA94" s="300">
        <v>3.65</v>
      </c>
      <c r="AB94" s="301">
        <v>0.28000000000000003</v>
      </c>
      <c r="AC94" s="301">
        <v>0.28000000000000003</v>
      </c>
      <c r="AD94" s="301">
        <v>0.28000000000000003</v>
      </c>
      <c r="AE94" s="301">
        <v>0.28000000000000003</v>
      </c>
      <c r="AF94" s="301">
        <v>0.28000000000000003</v>
      </c>
      <c r="AG94" s="301">
        <v>0.28000000000000003</v>
      </c>
      <c r="AH94" s="301">
        <v>0.28000000000000003</v>
      </c>
      <c r="AI94" s="301">
        <v>0.28000000000000003</v>
      </c>
      <c r="AJ94" s="301">
        <v>0.28000000000000003</v>
      </c>
      <c r="AK94" s="301">
        <v>0.28000000000000003</v>
      </c>
      <c r="AL94" s="301">
        <v>0.28000000000000003</v>
      </c>
      <c r="AM94" s="301">
        <v>0.28000000000000003</v>
      </c>
      <c r="AN94" s="301">
        <v>0.28000000000000003</v>
      </c>
      <c r="AO94" s="255"/>
      <c r="AP94" s="254">
        <f t="shared" si="39"/>
        <v>0</v>
      </c>
      <c r="AQ94" s="255"/>
      <c r="AR94" s="254">
        <f t="shared" si="40"/>
        <v>0</v>
      </c>
      <c r="AS94" s="255"/>
      <c r="AT94" s="254">
        <f t="shared" si="41"/>
        <v>0</v>
      </c>
      <c r="AU94" s="255"/>
      <c r="AV94" s="257">
        <f t="shared" si="42"/>
        <v>0</v>
      </c>
      <c r="AW94" s="381"/>
      <c r="AX94" s="257">
        <f t="shared" si="43"/>
        <v>0</v>
      </c>
      <c r="AY94" s="388">
        <v>200</v>
      </c>
      <c r="AZ94" s="257">
        <f t="shared" si="44"/>
        <v>56.000000000000007</v>
      </c>
      <c r="BA94" s="255">
        <v>6438</v>
      </c>
      <c r="BB94" s="257">
        <f t="shared" si="45"/>
        <v>1802.64</v>
      </c>
      <c r="BC94" s="255">
        <v>2920</v>
      </c>
      <c r="BD94" s="257">
        <f t="shared" si="46"/>
        <v>817.6</v>
      </c>
      <c r="BE94" s="255">
        <v>5034</v>
      </c>
      <c r="BF94" s="257">
        <f t="shared" si="29"/>
        <v>1409.5200000000002</v>
      </c>
      <c r="BG94" s="255">
        <v>33638</v>
      </c>
      <c r="BH94" s="257">
        <f t="shared" si="47"/>
        <v>9418.6400000000012</v>
      </c>
      <c r="BI94" s="255">
        <v>27560</v>
      </c>
      <c r="BJ94" s="257">
        <f t="shared" si="48"/>
        <v>7716.8000000000011</v>
      </c>
      <c r="BK94" s="255">
        <v>17914</v>
      </c>
      <c r="BL94" s="257">
        <f t="shared" si="49"/>
        <v>5015.92</v>
      </c>
      <c r="BM94" s="1" t="s">
        <v>571</v>
      </c>
      <c r="BO94" s="1" t="s">
        <v>457</v>
      </c>
      <c r="BP94" s="1" t="s">
        <v>572</v>
      </c>
    </row>
    <row r="95" spans="1:68" ht="15.75" customHeight="1">
      <c r="A95" s="250" t="s">
        <v>451</v>
      </c>
      <c r="B95" s="59" t="s">
        <v>341</v>
      </c>
      <c r="C95" s="354" t="s">
        <v>172</v>
      </c>
      <c r="D95" s="424"/>
      <c r="E95" s="357" t="s">
        <v>173</v>
      </c>
      <c r="F95" s="421"/>
      <c r="G95" s="317">
        <v>2024</v>
      </c>
      <c r="H95" s="59" t="s">
        <v>568</v>
      </c>
      <c r="I95" s="315" t="s">
        <v>359</v>
      </c>
      <c r="J95" s="317">
        <v>14</v>
      </c>
      <c r="K95" s="59" t="s">
        <v>515</v>
      </c>
      <c r="L95" s="298" t="s">
        <v>464</v>
      </c>
      <c r="M95" s="300" t="s">
        <v>465</v>
      </c>
      <c r="N95" s="300">
        <v>8.49</v>
      </c>
      <c r="O95" s="315">
        <v>10</v>
      </c>
      <c r="P95" s="315">
        <v>10</v>
      </c>
      <c r="Q95" s="315">
        <v>10</v>
      </c>
      <c r="R95" s="315">
        <v>10</v>
      </c>
      <c r="S95" s="315">
        <v>10</v>
      </c>
      <c r="T95" s="315">
        <v>10</v>
      </c>
      <c r="U95" s="315">
        <v>10</v>
      </c>
      <c r="V95" s="315">
        <v>10</v>
      </c>
      <c r="W95" s="315">
        <v>10</v>
      </c>
      <c r="X95" s="315">
        <v>10</v>
      </c>
      <c r="Y95" s="315">
        <v>10</v>
      </c>
      <c r="Z95" s="315">
        <v>10</v>
      </c>
      <c r="AA95" s="315">
        <v>10</v>
      </c>
      <c r="AB95" s="301">
        <v>1.51</v>
      </c>
      <c r="AC95" s="301">
        <v>1.51</v>
      </c>
      <c r="AD95" s="301">
        <v>1.51</v>
      </c>
      <c r="AE95" s="301">
        <v>1.51</v>
      </c>
      <c r="AF95" s="301">
        <v>1.51</v>
      </c>
      <c r="AG95" s="301">
        <v>1.51</v>
      </c>
      <c r="AH95" s="301">
        <v>1.51</v>
      </c>
      <c r="AI95" s="301">
        <v>1.51</v>
      </c>
      <c r="AJ95" s="301">
        <v>1.51</v>
      </c>
      <c r="AK95" s="301">
        <v>1.51</v>
      </c>
      <c r="AL95" s="301">
        <v>1.51</v>
      </c>
      <c r="AM95" s="301">
        <v>1.51</v>
      </c>
      <c r="AN95" s="301">
        <v>1.51</v>
      </c>
      <c r="AO95" s="255"/>
      <c r="AP95" s="254">
        <f t="shared" si="39"/>
        <v>0</v>
      </c>
      <c r="AQ95" s="255"/>
      <c r="AR95" s="254">
        <f t="shared" si="40"/>
        <v>0</v>
      </c>
      <c r="AS95" s="255"/>
      <c r="AT95" s="254">
        <f t="shared" si="41"/>
        <v>0</v>
      </c>
      <c r="AU95" s="255"/>
      <c r="AV95" s="257">
        <f t="shared" si="42"/>
        <v>0</v>
      </c>
      <c r="AW95" s="381"/>
      <c r="AX95" s="257">
        <f t="shared" si="43"/>
        <v>0</v>
      </c>
      <c r="AY95" s="388"/>
      <c r="AZ95" s="257">
        <f t="shared" si="44"/>
        <v>0</v>
      </c>
      <c r="BA95" s="255"/>
      <c r="BB95" s="257">
        <f t="shared" si="45"/>
        <v>0</v>
      </c>
      <c r="BC95" s="255"/>
      <c r="BD95" s="257">
        <f t="shared" si="46"/>
        <v>0</v>
      </c>
      <c r="BE95" s="255"/>
      <c r="BF95" s="257">
        <f t="shared" si="29"/>
        <v>0</v>
      </c>
      <c r="BG95" s="255"/>
      <c r="BH95" s="257">
        <f t="shared" si="47"/>
        <v>0</v>
      </c>
      <c r="BI95" s="255"/>
      <c r="BJ95" s="257">
        <f t="shared" si="48"/>
        <v>0</v>
      </c>
      <c r="BK95" s="255"/>
      <c r="BL95" s="257">
        <f t="shared" si="49"/>
        <v>0</v>
      </c>
      <c r="BM95" s="1" t="s">
        <v>573</v>
      </c>
      <c r="BO95" s="1" t="s">
        <v>457</v>
      </c>
      <c r="BP95" s="1" t="s">
        <v>574</v>
      </c>
    </row>
    <row r="96" spans="1:68" ht="15.75" customHeight="1">
      <c r="A96" s="250" t="s">
        <v>451</v>
      </c>
      <c r="B96" s="59" t="s">
        <v>341</v>
      </c>
      <c r="C96" s="354" t="s">
        <v>172</v>
      </c>
      <c r="D96" s="424"/>
      <c r="E96" s="357" t="s">
        <v>173</v>
      </c>
      <c r="F96" s="421"/>
      <c r="G96" s="317">
        <v>2024</v>
      </c>
      <c r="H96" s="59" t="s">
        <v>568</v>
      </c>
      <c r="I96" s="315" t="s">
        <v>357</v>
      </c>
      <c r="J96" s="317">
        <v>14</v>
      </c>
      <c r="K96" s="59" t="s">
        <v>515</v>
      </c>
      <c r="L96" s="298" t="s">
        <v>464</v>
      </c>
      <c r="M96" s="300" t="s">
        <v>465</v>
      </c>
      <c r="N96" s="300">
        <v>3.37</v>
      </c>
      <c r="O96" s="300">
        <v>3.65</v>
      </c>
      <c r="P96" s="300">
        <v>3.65</v>
      </c>
      <c r="Q96" s="300">
        <v>3.65</v>
      </c>
      <c r="R96" s="300">
        <v>3.65</v>
      </c>
      <c r="S96" s="300">
        <v>3.65</v>
      </c>
      <c r="T96" s="300">
        <v>3.65</v>
      </c>
      <c r="U96" s="300">
        <v>3.65</v>
      </c>
      <c r="V96" s="300">
        <v>3.65</v>
      </c>
      <c r="W96" s="300">
        <v>3.65</v>
      </c>
      <c r="X96" s="300">
        <v>3.65</v>
      </c>
      <c r="Y96" s="300">
        <v>3.65</v>
      </c>
      <c r="Z96" s="300">
        <v>3.65</v>
      </c>
      <c r="AA96" s="300">
        <v>3.65</v>
      </c>
      <c r="AB96" s="301">
        <v>0.28000000000000003</v>
      </c>
      <c r="AC96" s="301">
        <v>0.28000000000000003</v>
      </c>
      <c r="AD96" s="301">
        <v>0.28000000000000003</v>
      </c>
      <c r="AE96" s="301">
        <v>0.28000000000000003</v>
      </c>
      <c r="AF96" s="301">
        <v>0.28000000000000003</v>
      </c>
      <c r="AG96" s="301">
        <v>0.28000000000000003</v>
      </c>
      <c r="AH96" s="301">
        <v>0.28000000000000003</v>
      </c>
      <c r="AI96" s="301">
        <v>0.28000000000000003</v>
      </c>
      <c r="AJ96" s="301">
        <v>0.28000000000000003</v>
      </c>
      <c r="AK96" s="301">
        <v>0.28000000000000003</v>
      </c>
      <c r="AL96" s="301">
        <v>0.28000000000000003</v>
      </c>
      <c r="AM96" s="301">
        <v>0.28000000000000003</v>
      </c>
      <c r="AN96" s="301">
        <v>0.28000000000000003</v>
      </c>
      <c r="AO96" s="255"/>
      <c r="AP96" s="254">
        <f t="shared" si="39"/>
        <v>0</v>
      </c>
      <c r="AQ96" s="255"/>
      <c r="AR96" s="254">
        <f t="shared" si="40"/>
        <v>0</v>
      </c>
      <c r="AS96" s="255"/>
      <c r="AT96" s="254">
        <f t="shared" si="41"/>
        <v>0</v>
      </c>
      <c r="AU96" s="255"/>
      <c r="AV96" s="257">
        <f t="shared" si="42"/>
        <v>0</v>
      </c>
      <c r="AW96" s="381"/>
      <c r="AX96" s="257">
        <f t="shared" si="43"/>
        <v>0</v>
      </c>
      <c r="AY96" s="388"/>
      <c r="AZ96" s="257">
        <f t="shared" si="44"/>
        <v>0</v>
      </c>
      <c r="BA96" s="255">
        <v>160</v>
      </c>
      <c r="BB96" s="257">
        <f t="shared" si="45"/>
        <v>44.800000000000004</v>
      </c>
      <c r="BC96" s="255">
        <v>120</v>
      </c>
      <c r="BD96" s="257">
        <f t="shared" si="46"/>
        <v>33.6</v>
      </c>
      <c r="BE96" s="255">
        <v>520</v>
      </c>
      <c r="BF96" s="257">
        <f t="shared" si="29"/>
        <v>145.60000000000002</v>
      </c>
      <c r="BG96" s="255">
        <v>400</v>
      </c>
      <c r="BH96" s="257">
        <f t="shared" si="47"/>
        <v>112.00000000000001</v>
      </c>
      <c r="BI96" s="255">
        <v>11667</v>
      </c>
      <c r="BJ96" s="257">
        <f t="shared" si="48"/>
        <v>3266.76</v>
      </c>
      <c r="BK96" s="255">
        <v>558</v>
      </c>
      <c r="BL96" s="257">
        <f t="shared" si="49"/>
        <v>156.24</v>
      </c>
      <c r="BM96" s="1" t="s">
        <v>575</v>
      </c>
      <c r="BO96" s="1" t="s">
        <v>457</v>
      </c>
      <c r="BP96" s="1" t="s">
        <v>576</v>
      </c>
    </row>
    <row r="97" spans="1:68" ht="15.75" customHeight="1">
      <c r="A97" s="250" t="s">
        <v>451</v>
      </c>
      <c r="B97" s="59" t="s">
        <v>341</v>
      </c>
      <c r="C97" s="354" t="s">
        <v>172</v>
      </c>
      <c r="D97" s="424"/>
      <c r="E97" s="357" t="s">
        <v>173</v>
      </c>
      <c r="F97" s="421"/>
      <c r="G97" s="317">
        <v>2024</v>
      </c>
      <c r="H97" s="59" t="s">
        <v>568</v>
      </c>
      <c r="I97" s="315" t="s">
        <v>357</v>
      </c>
      <c r="J97" s="317">
        <v>14</v>
      </c>
      <c r="K97" s="59" t="s">
        <v>577</v>
      </c>
      <c r="L97" s="298" t="s">
        <v>464</v>
      </c>
      <c r="M97" s="300" t="s">
        <v>465</v>
      </c>
      <c r="N97" s="300">
        <v>3.37</v>
      </c>
      <c r="O97" s="300">
        <v>3.65</v>
      </c>
      <c r="P97" s="300">
        <v>3.65</v>
      </c>
      <c r="Q97" s="300">
        <v>3.65</v>
      </c>
      <c r="R97" s="300">
        <v>3.65</v>
      </c>
      <c r="S97" s="300">
        <v>3.65</v>
      </c>
      <c r="T97" s="300">
        <v>3.65</v>
      </c>
      <c r="U97" s="300">
        <v>3.65</v>
      </c>
      <c r="V97" s="300">
        <v>3.65</v>
      </c>
      <c r="W97" s="300">
        <v>3.65</v>
      </c>
      <c r="X97" s="300">
        <v>3.65</v>
      </c>
      <c r="Y97" s="300">
        <v>3.65</v>
      </c>
      <c r="Z97" s="300">
        <v>3.65</v>
      </c>
      <c r="AA97" s="300">
        <v>3.65</v>
      </c>
      <c r="AB97" s="301">
        <v>0.28000000000000003</v>
      </c>
      <c r="AC97" s="301">
        <v>0.28000000000000003</v>
      </c>
      <c r="AD97" s="301">
        <v>0.28000000000000003</v>
      </c>
      <c r="AE97" s="301">
        <v>0.28000000000000003</v>
      </c>
      <c r="AF97" s="301">
        <v>0.28000000000000003</v>
      </c>
      <c r="AG97" s="301">
        <v>0.28000000000000003</v>
      </c>
      <c r="AH97" s="301">
        <v>0.28000000000000003</v>
      </c>
      <c r="AI97" s="301">
        <v>0.28000000000000003</v>
      </c>
      <c r="AJ97" s="301">
        <v>0.28000000000000003</v>
      </c>
      <c r="AK97" s="301">
        <v>0.28000000000000003</v>
      </c>
      <c r="AL97" s="301">
        <v>0.28000000000000003</v>
      </c>
      <c r="AM97" s="301">
        <v>0.28000000000000003</v>
      </c>
      <c r="AN97" s="301">
        <v>0.28000000000000003</v>
      </c>
      <c r="AO97" s="255"/>
      <c r="AP97" s="254">
        <f t="shared" si="39"/>
        <v>0</v>
      </c>
      <c r="AQ97" s="255"/>
      <c r="AR97" s="254">
        <f t="shared" si="40"/>
        <v>0</v>
      </c>
      <c r="AS97" s="255"/>
      <c r="AT97" s="254">
        <f t="shared" si="41"/>
        <v>0</v>
      </c>
      <c r="AU97" s="255"/>
      <c r="AV97" s="257">
        <f t="shared" si="42"/>
        <v>0</v>
      </c>
      <c r="AW97" s="381"/>
      <c r="AX97" s="257">
        <f t="shared" si="43"/>
        <v>0</v>
      </c>
      <c r="AY97" s="388"/>
      <c r="AZ97" s="257">
        <f t="shared" si="44"/>
        <v>0</v>
      </c>
      <c r="BA97" s="255"/>
      <c r="BB97" s="257">
        <f t="shared" si="45"/>
        <v>0</v>
      </c>
      <c r="BC97" s="255"/>
      <c r="BD97" s="257">
        <f t="shared" si="46"/>
        <v>0</v>
      </c>
      <c r="BE97" s="255">
        <v>798</v>
      </c>
      <c r="BF97" s="257">
        <f t="shared" si="29"/>
        <v>223.44000000000003</v>
      </c>
      <c r="BG97" s="255">
        <v>1280</v>
      </c>
      <c r="BH97" s="257">
        <f t="shared" si="47"/>
        <v>358.40000000000003</v>
      </c>
      <c r="BI97" s="255">
        <v>1079</v>
      </c>
      <c r="BJ97" s="257">
        <f t="shared" si="48"/>
        <v>302.12</v>
      </c>
      <c r="BK97" s="255">
        <v>40</v>
      </c>
      <c r="BL97" s="257">
        <f t="shared" si="49"/>
        <v>11.200000000000001</v>
      </c>
      <c r="BM97" s="1" t="s">
        <v>578</v>
      </c>
      <c r="BO97" s="1" t="s">
        <v>457</v>
      </c>
      <c r="BP97" s="1" t="s">
        <v>579</v>
      </c>
    </row>
    <row r="98" spans="1:68" ht="15.75" customHeight="1">
      <c r="A98" s="250" t="s">
        <v>451</v>
      </c>
      <c r="B98" s="59" t="s">
        <v>341</v>
      </c>
      <c r="C98" s="354" t="s">
        <v>172</v>
      </c>
      <c r="D98" s="424"/>
      <c r="E98" s="357" t="s">
        <v>173</v>
      </c>
      <c r="F98" s="421"/>
      <c r="G98" s="317">
        <v>2024</v>
      </c>
      <c r="H98" s="59" t="s">
        <v>568</v>
      </c>
      <c r="I98" s="315" t="s">
        <v>357</v>
      </c>
      <c r="J98" s="317">
        <v>14</v>
      </c>
      <c r="K98" s="59" t="s">
        <v>565</v>
      </c>
      <c r="L98" s="298" t="s">
        <v>464</v>
      </c>
      <c r="M98" s="300" t="s">
        <v>465</v>
      </c>
      <c r="N98" s="300">
        <v>3.37</v>
      </c>
      <c r="O98" s="300">
        <v>3.65</v>
      </c>
      <c r="P98" s="300">
        <v>3.65</v>
      </c>
      <c r="Q98" s="300">
        <v>3.65</v>
      </c>
      <c r="R98" s="300">
        <v>3.65</v>
      </c>
      <c r="S98" s="300">
        <v>3.65</v>
      </c>
      <c r="T98" s="300">
        <v>3.65</v>
      </c>
      <c r="U98" s="300">
        <v>3.65</v>
      </c>
      <c r="V98" s="300">
        <v>3.65</v>
      </c>
      <c r="W98" s="300">
        <v>3.65</v>
      </c>
      <c r="X98" s="300">
        <v>3.65</v>
      </c>
      <c r="Y98" s="300">
        <v>3.65</v>
      </c>
      <c r="Z98" s="300">
        <v>3.65</v>
      </c>
      <c r="AA98" s="300">
        <v>3.65</v>
      </c>
      <c r="AB98" s="301">
        <v>0.28000000000000003</v>
      </c>
      <c r="AC98" s="301">
        <v>0.28000000000000003</v>
      </c>
      <c r="AD98" s="301">
        <v>0.28000000000000003</v>
      </c>
      <c r="AE98" s="301">
        <v>0.28000000000000003</v>
      </c>
      <c r="AF98" s="301">
        <v>0.28000000000000003</v>
      </c>
      <c r="AG98" s="301">
        <v>0.28000000000000003</v>
      </c>
      <c r="AH98" s="301">
        <v>0.28000000000000003</v>
      </c>
      <c r="AI98" s="301">
        <v>0.28000000000000003</v>
      </c>
      <c r="AJ98" s="301">
        <v>0.28000000000000003</v>
      </c>
      <c r="AK98" s="301">
        <v>0.28000000000000003</v>
      </c>
      <c r="AL98" s="301">
        <v>0.28000000000000003</v>
      </c>
      <c r="AM98" s="301">
        <v>0.28000000000000003</v>
      </c>
      <c r="AN98" s="301">
        <v>0.28000000000000003</v>
      </c>
      <c r="AO98" s="255"/>
      <c r="AP98" s="254">
        <f t="shared" si="39"/>
        <v>0</v>
      </c>
      <c r="AQ98" s="255"/>
      <c r="AR98" s="254">
        <f t="shared" si="40"/>
        <v>0</v>
      </c>
      <c r="AS98" s="255"/>
      <c r="AT98" s="254">
        <f t="shared" si="41"/>
        <v>0</v>
      </c>
      <c r="AU98" s="255"/>
      <c r="AV98" s="257">
        <f t="shared" si="42"/>
        <v>0</v>
      </c>
      <c r="AW98" s="381"/>
      <c r="AX98" s="257">
        <f t="shared" si="43"/>
        <v>0</v>
      </c>
      <c r="AY98" s="388"/>
      <c r="AZ98" s="257">
        <f t="shared" si="44"/>
        <v>0</v>
      </c>
      <c r="BA98" s="255"/>
      <c r="BB98" s="257">
        <f t="shared" si="45"/>
        <v>0</v>
      </c>
      <c r="BC98" s="255"/>
      <c r="BD98" s="257">
        <f t="shared" si="46"/>
        <v>0</v>
      </c>
      <c r="BE98" s="255"/>
      <c r="BF98" s="257">
        <f t="shared" si="29"/>
        <v>0</v>
      </c>
      <c r="BG98" s="255"/>
      <c r="BH98" s="257">
        <f t="shared" si="47"/>
        <v>0</v>
      </c>
      <c r="BI98" s="255"/>
      <c r="BJ98" s="257">
        <f t="shared" si="48"/>
        <v>0</v>
      </c>
      <c r="BK98" s="255"/>
      <c r="BL98" s="257">
        <f t="shared" si="49"/>
        <v>0</v>
      </c>
      <c r="BM98" s="1" t="s">
        <v>580</v>
      </c>
      <c r="BO98" s="1" t="s">
        <v>457</v>
      </c>
      <c r="BP98" s="1" t="s">
        <v>581</v>
      </c>
    </row>
    <row r="99" spans="1:68" ht="15.75" customHeight="1">
      <c r="A99" s="250" t="s">
        <v>451</v>
      </c>
      <c r="B99" s="59" t="s">
        <v>341</v>
      </c>
      <c r="C99" s="354" t="s">
        <v>172</v>
      </c>
      <c r="D99" s="424"/>
      <c r="E99" s="357" t="s">
        <v>173</v>
      </c>
      <c r="F99" s="421"/>
      <c r="G99" s="317">
        <v>2024</v>
      </c>
      <c r="H99" s="59" t="s">
        <v>568</v>
      </c>
      <c r="I99" s="315" t="s">
        <v>359</v>
      </c>
      <c r="J99" s="317">
        <v>14</v>
      </c>
      <c r="K99" s="59" t="s">
        <v>577</v>
      </c>
      <c r="L99" s="298" t="s">
        <v>464</v>
      </c>
      <c r="M99" s="300" t="s">
        <v>465</v>
      </c>
      <c r="N99" s="300">
        <v>8.67</v>
      </c>
      <c r="O99" s="300">
        <v>11</v>
      </c>
      <c r="P99" s="300">
        <v>11</v>
      </c>
      <c r="Q99" s="300">
        <v>11</v>
      </c>
      <c r="R99" s="300">
        <v>11</v>
      </c>
      <c r="S99" s="300">
        <v>11</v>
      </c>
      <c r="T99" s="300">
        <v>11</v>
      </c>
      <c r="U99" s="300">
        <v>11</v>
      </c>
      <c r="V99" s="300">
        <v>11</v>
      </c>
      <c r="W99" s="300">
        <v>11</v>
      </c>
      <c r="X99" s="300">
        <v>11</v>
      </c>
      <c r="Y99" s="300">
        <v>11</v>
      </c>
      <c r="Z99" s="300">
        <v>11</v>
      </c>
      <c r="AA99" s="300">
        <v>11</v>
      </c>
      <c r="AB99" s="59">
        <v>2.33</v>
      </c>
      <c r="AC99" s="59">
        <v>2.33</v>
      </c>
      <c r="AD99" s="59">
        <v>2.33</v>
      </c>
      <c r="AE99" s="59">
        <v>2.33</v>
      </c>
      <c r="AF99" s="59">
        <v>2.33</v>
      </c>
      <c r="AG99" s="59">
        <v>2.33</v>
      </c>
      <c r="AH99" s="59">
        <v>2.33</v>
      </c>
      <c r="AI99" s="59">
        <v>2.33</v>
      </c>
      <c r="AJ99" s="59">
        <v>2.33</v>
      </c>
      <c r="AK99" s="59">
        <v>2.33</v>
      </c>
      <c r="AL99" s="59">
        <v>2.33</v>
      </c>
      <c r="AM99" s="59">
        <v>2.33</v>
      </c>
      <c r="AN99" s="59">
        <v>2.33</v>
      </c>
      <c r="AO99" s="255"/>
      <c r="AP99" s="254">
        <f t="shared" si="39"/>
        <v>0</v>
      </c>
      <c r="AQ99" s="255"/>
      <c r="AR99" s="254">
        <f t="shared" si="40"/>
        <v>0</v>
      </c>
      <c r="AS99" s="255"/>
      <c r="AT99" s="254">
        <f t="shared" si="41"/>
        <v>0</v>
      </c>
      <c r="AU99" s="255"/>
      <c r="AV99" s="257">
        <f t="shared" si="42"/>
        <v>0</v>
      </c>
      <c r="AW99" s="381"/>
      <c r="AX99" s="257">
        <f t="shared" si="43"/>
        <v>0</v>
      </c>
      <c r="AY99" s="388"/>
      <c r="AZ99" s="257">
        <f t="shared" si="44"/>
        <v>0</v>
      </c>
      <c r="BA99" s="255"/>
      <c r="BB99" s="257">
        <f t="shared" si="45"/>
        <v>0</v>
      </c>
      <c r="BC99" s="255"/>
      <c r="BD99" s="257">
        <f t="shared" si="46"/>
        <v>0</v>
      </c>
      <c r="BE99" s="255"/>
      <c r="BF99" s="257">
        <f t="shared" si="29"/>
        <v>0</v>
      </c>
      <c r="BG99" s="255"/>
      <c r="BH99" s="257">
        <f t="shared" si="47"/>
        <v>0</v>
      </c>
      <c r="BI99" s="255"/>
      <c r="BJ99" s="257">
        <f t="shared" si="48"/>
        <v>0</v>
      </c>
      <c r="BK99" s="255"/>
      <c r="BL99" s="257">
        <f t="shared" si="49"/>
        <v>0</v>
      </c>
      <c r="BM99" s="1" t="s">
        <v>582</v>
      </c>
      <c r="BO99" s="1" t="s">
        <v>457</v>
      </c>
      <c r="BP99" s="1" t="s">
        <v>583</v>
      </c>
    </row>
    <row r="100" spans="1:68" ht="15.75" customHeight="1">
      <c r="A100" s="250" t="s">
        <v>451</v>
      </c>
      <c r="B100" s="59" t="s">
        <v>341</v>
      </c>
      <c r="C100" s="354" t="s">
        <v>172</v>
      </c>
      <c r="D100" s="424"/>
      <c r="E100" s="357" t="s">
        <v>173</v>
      </c>
      <c r="F100" s="421"/>
      <c r="G100" s="317">
        <v>2024</v>
      </c>
      <c r="H100" s="59" t="s">
        <v>568</v>
      </c>
      <c r="I100" s="315" t="s">
        <v>359</v>
      </c>
      <c r="J100" s="317">
        <v>14</v>
      </c>
      <c r="K100" s="59" t="s">
        <v>565</v>
      </c>
      <c r="L100" s="298" t="s">
        <v>464</v>
      </c>
      <c r="M100" s="300" t="s">
        <v>465</v>
      </c>
      <c r="N100" s="300">
        <v>8.67</v>
      </c>
      <c r="O100" s="300">
        <v>11</v>
      </c>
      <c r="P100" s="300">
        <v>11</v>
      </c>
      <c r="Q100" s="300">
        <v>11</v>
      </c>
      <c r="R100" s="300">
        <v>11</v>
      </c>
      <c r="S100" s="300">
        <v>11</v>
      </c>
      <c r="T100" s="300">
        <v>11</v>
      </c>
      <c r="U100" s="300">
        <v>11</v>
      </c>
      <c r="V100" s="300">
        <v>11</v>
      </c>
      <c r="W100" s="300">
        <v>11</v>
      </c>
      <c r="X100" s="300">
        <v>11</v>
      </c>
      <c r="Y100" s="300">
        <v>11</v>
      </c>
      <c r="Z100" s="300">
        <v>11</v>
      </c>
      <c r="AA100" s="300">
        <v>11</v>
      </c>
      <c r="AB100" s="59">
        <v>2.33</v>
      </c>
      <c r="AC100" s="59">
        <v>2.33</v>
      </c>
      <c r="AD100" s="59">
        <v>2.33</v>
      </c>
      <c r="AE100" s="59">
        <v>2.33</v>
      </c>
      <c r="AF100" s="59">
        <v>2.33</v>
      </c>
      <c r="AG100" s="59">
        <v>2.33</v>
      </c>
      <c r="AH100" s="59">
        <v>2.33</v>
      </c>
      <c r="AI100" s="59">
        <v>2.33</v>
      </c>
      <c r="AJ100" s="59">
        <v>2.33</v>
      </c>
      <c r="AK100" s="59">
        <v>2.33</v>
      </c>
      <c r="AL100" s="59">
        <v>2.33</v>
      </c>
      <c r="AM100" s="59">
        <v>2.33</v>
      </c>
      <c r="AN100" s="59">
        <v>2.33</v>
      </c>
      <c r="AO100" s="255"/>
      <c r="AP100" s="254">
        <f t="shared" si="39"/>
        <v>0</v>
      </c>
      <c r="AQ100" s="255"/>
      <c r="AR100" s="254">
        <f t="shared" si="40"/>
        <v>0</v>
      </c>
      <c r="AS100" s="255"/>
      <c r="AT100" s="254">
        <f t="shared" si="41"/>
        <v>0</v>
      </c>
      <c r="AU100" s="255"/>
      <c r="AV100" s="257">
        <f t="shared" si="42"/>
        <v>0</v>
      </c>
      <c r="AW100" s="381"/>
      <c r="AX100" s="257">
        <f t="shared" si="43"/>
        <v>0</v>
      </c>
      <c r="AY100" s="388"/>
      <c r="AZ100" s="257">
        <f t="shared" si="44"/>
        <v>0</v>
      </c>
      <c r="BA100" s="255"/>
      <c r="BB100" s="257">
        <f t="shared" si="45"/>
        <v>0</v>
      </c>
      <c r="BC100" s="255"/>
      <c r="BD100" s="257">
        <f t="shared" si="46"/>
        <v>0</v>
      </c>
      <c r="BE100" s="255"/>
      <c r="BF100" s="257">
        <f t="shared" si="29"/>
        <v>0</v>
      </c>
      <c r="BG100" s="255"/>
      <c r="BH100" s="257">
        <f t="shared" si="47"/>
        <v>0</v>
      </c>
      <c r="BI100" s="255"/>
      <c r="BJ100" s="257">
        <f t="shared" si="48"/>
        <v>0</v>
      </c>
      <c r="BK100" s="255"/>
      <c r="BL100" s="257">
        <f t="shared" si="49"/>
        <v>0</v>
      </c>
      <c r="BM100" s="1" t="s">
        <v>584</v>
      </c>
      <c r="BO100" s="1" t="s">
        <v>457</v>
      </c>
      <c r="BP100" s="1" t="s">
        <v>585</v>
      </c>
    </row>
    <row r="101" spans="1:68" ht="15.75" customHeight="1">
      <c r="A101" s="250" t="s">
        <v>451</v>
      </c>
      <c r="B101" s="59" t="s">
        <v>341</v>
      </c>
      <c r="C101" s="354" t="s">
        <v>172</v>
      </c>
      <c r="D101" s="424"/>
      <c r="E101" s="357" t="s">
        <v>173</v>
      </c>
      <c r="F101" s="421"/>
      <c r="G101" s="317">
        <v>2024</v>
      </c>
      <c r="H101" s="59" t="s">
        <v>568</v>
      </c>
      <c r="I101" s="315" t="s">
        <v>359</v>
      </c>
      <c r="J101" s="317">
        <v>14</v>
      </c>
      <c r="K101" s="59" t="s">
        <v>586</v>
      </c>
      <c r="L101" s="298" t="s">
        <v>464</v>
      </c>
      <c r="M101" s="300" t="s">
        <v>465</v>
      </c>
      <c r="N101" s="300">
        <v>8.67</v>
      </c>
      <c r="O101" s="300">
        <v>11</v>
      </c>
      <c r="P101" s="300">
        <v>11</v>
      </c>
      <c r="Q101" s="300">
        <v>11</v>
      </c>
      <c r="R101" s="300">
        <v>11</v>
      </c>
      <c r="S101" s="300">
        <v>11</v>
      </c>
      <c r="T101" s="300">
        <v>11</v>
      </c>
      <c r="U101" s="300">
        <v>11</v>
      </c>
      <c r="V101" s="300">
        <v>11</v>
      </c>
      <c r="W101" s="300">
        <v>11</v>
      </c>
      <c r="X101" s="300">
        <v>11</v>
      </c>
      <c r="Y101" s="300">
        <v>11</v>
      </c>
      <c r="Z101" s="300">
        <v>11</v>
      </c>
      <c r="AA101" s="300">
        <v>11</v>
      </c>
      <c r="AB101" s="59">
        <v>2.33</v>
      </c>
      <c r="AC101" s="59">
        <v>2.33</v>
      </c>
      <c r="AD101" s="59">
        <v>2.33</v>
      </c>
      <c r="AE101" s="59">
        <v>2.33</v>
      </c>
      <c r="AF101" s="59">
        <v>2.33</v>
      </c>
      <c r="AG101" s="59">
        <v>2.33</v>
      </c>
      <c r="AH101" s="59">
        <v>2.33</v>
      </c>
      <c r="AI101" s="59">
        <v>2.33</v>
      </c>
      <c r="AJ101" s="59">
        <v>2.33</v>
      </c>
      <c r="AK101" s="59">
        <v>2.33</v>
      </c>
      <c r="AL101" s="59">
        <v>2.33</v>
      </c>
      <c r="AM101" s="59">
        <v>2.33</v>
      </c>
      <c r="AN101" s="59">
        <v>2.33</v>
      </c>
      <c r="AO101" s="255"/>
      <c r="AP101" s="254">
        <f t="shared" si="39"/>
        <v>0</v>
      </c>
      <c r="AQ101" s="255"/>
      <c r="AR101" s="254">
        <f t="shared" si="40"/>
        <v>0</v>
      </c>
      <c r="AS101" s="255"/>
      <c r="AT101" s="254">
        <f t="shared" si="41"/>
        <v>0</v>
      </c>
      <c r="AU101" s="255"/>
      <c r="AV101" s="257">
        <f t="shared" si="42"/>
        <v>0</v>
      </c>
      <c r="AW101" s="381"/>
      <c r="AX101" s="257">
        <f t="shared" si="43"/>
        <v>0</v>
      </c>
      <c r="AY101" s="388"/>
      <c r="AZ101" s="257">
        <f t="shared" si="44"/>
        <v>0</v>
      </c>
      <c r="BA101" s="255"/>
      <c r="BB101" s="257">
        <f t="shared" si="45"/>
        <v>0</v>
      </c>
      <c r="BC101" s="255"/>
      <c r="BD101" s="257">
        <f t="shared" si="46"/>
        <v>0</v>
      </c>
      <c r="BE101" s="255"/>
      <c r="BF101" s="257">
        <f t="shared" si="29"/>
        <v>0</v>
      </c>
      <c r="BG101" s="255"/>
      <c r="BH101" s="257">
        <f t="shared" si="47"/>
        <v>0</v>
      </c>
      <c r="BI101" s="255"/>
      <c r="BJ101" s="257">
        <f t="shared" si="48"/>
        <v>0</v>
      </c>
      <c r="BK101" s="255"/>
      <c r="BL101" s="257">
        <f t="shared" si="49"/>
        <v>0</v>
      </c>
      <c r="BM101" s="1" t="s">
        <v>587</v>
      </c>
      <c r="BO101" s="1" t="s">
        <v>457</v>
      </c>
      <c r="BP101" s="1" t="s">
        <v>588</v>
      </c>
    </row>
    <row r="102" spans="1:68" ht="15" customHeight="1">
      <c r="A102" s="250"/>
      <c r="C102" s="354"/>
      <c r="D102" s="424"/>
      <c r="E102" s="357"/>
      <c r="F102" s="417"/>
      <c r="G102" s="317"/>
      <c r="H102" s="59"/>
      <c r="I102" s="315"/>
      <c r="J102" s="317"/>
      <c r="K102" s="59"/>
      <c r="L102" s="298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255"/>
      <c r="AP102" s="254">
        <f t="shared" si="39"/>
        <v>0</v>
      </c>
      <c r="AQ102" s="255"/>
      <c r="AR102" s="254">
        <f t="shared" si="40"/>
        <v>0</v>
      </c>
      <c r="AS102" s="255"/>
      <c r="AT102" s="254">
        <f t="shared" si="41"/>
        <v>0</v>
      </c>
      <c r="AU102" s="256"/>
      <c r="AV102" s="257">
        <f t="shared" si="42"/>
        <v>0</v>
      </c>
      <c r="AW102" s="382"/>
      <c r="AX102" s="257">
        <f t="shared" si="43"/>
        <v>0</v>
      </c>
      <c r="AY102" s="268"/>
      <c r="AZ102" s="257">
        <f t="shared" si="44"/>
        <v>0</v>
      </c>
      <c r="BA102" s="268"/>
      <c r="BB102" s="257">
        <f t="shared" si="45"/>
        <v>0</v>
      </c>
      <c r="BC102" s="268"/>
      <c r="BD102" s="257">
        <f t="shared" si="46"/>
        <v>0</v>
      </c>
      <c r="BE102" s="268"/>
      <c r="BF102" s="257">
        <f t="shared" si="29"/>
        <v>0</v>
      </c>
      <c r="BG102" s="59"/>
      <c r="BH102" s="257">
        <f t="shared" si="47"/>
        <v>0</v>
      </c>
      <c r="BI102" s="268"/>
      <c r="BJ102" s="257">
        <f t="shared" si="48"/>
        <v>0</v>
      </c>
      <c r="BK102" s="268"/>
      <c r="BL102" s="257">
        <f t="shared" si="49"/>
        <v>0</v>
      </c>
    </row>
    <row r="103" spans="1:68" ht="17.25" customHeight="1">
      <c r="A103" s="250" t="s">
        <v>451</v>
      </c>
      <c r="B103" s="59" t="s">
        <v>363</v>
      </c>
      <c r="C103" s="354" t="s">
        <v>172</v>
      </c>
      <c r="D103" s="424"/>
      <c r="E103" s="357" t="s">
        <v>214</v>
      </c>
      <c r="F103" s="421" t="s">
        <v>215</v>
      </c>
      <c r="G103" s="317">
        <v>2019</v>
      </c>
      <c r="H103" s="59" t="s">
        <v>364</v>
      </c>
      <c r="I103" s="315" t="s">
        <v>190</v>
      </c>
      <c r="J103" s="318" t="s">
        <v>217</v>
      </c>
      <c r="K103" s="59" t="s">
        <v>217</v>
      </c>
      <c r="L103" s="298" t="s">
        <v>177</v>
      </c>
      <c r="M103" s="303" t="s">
        <v>589</v>
      </c>
      <c r="N103" s="303">
        <v>5.18</v>
      </c>
      <c r="O103" s="303">
        <v>5.93</v>
      </c>
      <c r="P103" s="303">
        <v>5.93</v>
      </c>
      <c r="Q103" s="303">
        <v>5.93</v>
      </c>
      <c r="R103" s="303">
        <v>5.93</v>
      </c>
      <c r="S103" s="303">
        <v>5.93</v>
      </c>
      <c r="T103" s="303">
        <v>5.93</v>
      </c>
      <c r="U103" s="303">
        <v>5.93</v>
      </c>
      <c r="V103" s="303">
        <v>5.93</v>
      </c>
      <c r="W103" s="303">
        <v>5.93</v>
      </c>
      <c r="X103" s="303">
        <v>5.93</v>
      </c>
      <c r="Y103" s="303">
        <v>5.93</v>
      </c>
      <c r="Z103" s="303">
        <v>5.93</v>
      </c>
      <c r="AA103" s="303">
        <v>5.93</v>
      </c>
      <c r="AB103" s="304">
        <v>0.37</v>
      </c>
      <c r="AC103" s="304">
        <v>0.37</v>
      </c>
      <c r="AD103" s="304">
        <v>0.37</v>
      </c>
      <c r="AE103" s="304">
        <v>0.37</v>
      </c>
      <c r="AF103" s="304">
        <v>0.37</v>
      </c>
      <c r="AG103" s="304">
        <v>0.37</v>
      </c>
      <c r="AH103" s="304">
        <v>0.37</v>
      </c>
      <c r="AI103" s="304">
        <v>0.37</v>
      </c>
      <c r="AJ103" s="304">
        <v>0.37</v>
      </c>
      <c r="AK103" s="304">
        <v>0.37</v>
      </c>
      <c r="AL103" s="304">
        <v>0.37</v>
      </c>
      <c r="AM103" s="304">
        <v>0.37</v>
      </c>
      <c r="AN103" s="304">
        <v>0.37</v>
      </c>
      <c r="AO103" s="255"/>
      <c r="AP103" s="254">
        <f t="shared" si="39"/>
        <v>0</v>
      </c>
      <c r="AQ103" s="255">
        <v>60</v>
      </c>
      <c r="AR103" s="254">
        <f t="shared" si="40"/>
        <v>22.2</v>
      </c>
      <c r="AS103" s="255"/>
      <c r="AT103" s="254">
        <f t="shared" si="41"/>
        <v>0</v>
      </c>
      <c r="AU103" s="255"/>
      <c r="AV103" s="257">
        <f t="shared" si="42"/>
        <v>0</v>
      </c>
      <c r="AW103" s="381"/>
      <c r="AX103" s="257">
        <f t="shared" si="43"/>
        <v>0</v>
      </c>
      <c r="AY103" s="388"/>
      <c r="AZ103" s="257">
        <f t="shared" si="44"/>
        <v>0</v>
      </c>
      <c r="BA103" s="255"/>
      <c r="BB103" s="257">
        <f t="shared" si="45"/>
        <v>0</v>
      </c>
      <c r="BC103" s="255"/>
      <c r="BD103" s="257">
        <f t="shared" si="46"/>
        <v>0</v>
      </c>
      <c r="BE103" s="255"/>
      <c r="BF103" s="257">
        <f t="shared" si="29"/>
        <v>0</v>
      </c>
      <c r="BG103" s="255"/>
      <c r="BH103" s="257">
        <f t="shared" si="47"/>
        <v>0</v>
      </c>
      <c r="BI103" s="255"/>
      <c r="BJ103" s="257">
        <f t="shared" si="48"/>
        <v>0</v>
      </c>
      <c r="BK103" s="255"/>
      <c r="BL103" s="257">
        <f t="shared" si="11"/>
        <v>0</v>
      </c>
      <c r="BM103" s="1" t="s">
        <v>590</v>
      </c>
      <c r="BO103" s="1" t="s">
        <v>457</v>
      </c>
      <c r="BP103" s="379" t="s">
        <v>591</v>
      </c>
    </row>
    <row r="104" spans="1:68" ht="17.25" customHeight="1">
      <c r="A104" s="250" t="s">
        <v>451</v>
      </c>
      <c r="B104" s="59" t="s">
        <v>363</v>
      </c>
      <c r="C104" s="354" t="s">
        <v>172</v>
      </c>
      <c r="D104" s="424"/>
      <c r="E104" s="357" t="s">
        <v>214</v>
      </c>
      <c r="F104" s="421"/>
      <c r="G104" s="317">
        <v>2021</v>
      </c>
      <c r="H104" s="59" t="s">
        <v>365</v>
      </c>
      <c r="I104" s="315" t="s">
        <v>190</v>
      </c>
      <c r="J104" s="318" t="s">
        <v>217</v>
      </c>
      <c r="K104" s="59" t="s">
        <v>217</v>
      </c>
      <c r="L104" s="59" t="s">
        <v>177</v>
      </c>
      <c r="M104" s="303" t="s">
        <v>592</v>
      </c>
      <c r="N104" s="303">
        <v>4.5</v>
      </c>
      <c r="O104" s="303">
        <v>4.88</v>
      </c>
      <c r="P104" s="303">
        <v>5.18</v>
      </c>
      <c r="Q104" s="303">
        <v>5.18</v>
      </c>
      <c r="R104" s="303">
        <v>5.18</v>
      </c>
      <c r="S104" s="303">
        <v>5.18</v>
      </c>
      <c r="T104" s="303">
        <v>5.18</v>
      </c>
      <c r="U104" s="303">
        <v>5.18</v>
      </c>
      <c r="V104" s="303">
        <v>5.18</v>
      </c>
      <c r="W104" s="303">
        <v>5.18</v>
      </c>
      <c r="X104" s="303">
        <v>4.88</v>
      </c>
      <c r="Y104" s="303">
        <v>4.88</v>
      </c>
      <c r="Z104" s="303">
        <v>4.88</v>
      </c>
      <c r="AA104" s="303">
        <v>4.88</v>
      </c>
      <c r="AB104" s="304">
        <v>0.23</v>
      </c>
      <c r="AC104" s="304">
        <v>0.38</v>
      </c>
      <c r="AD104" s="304">
        <v>0.38</v>
      </c>
      <c r="AE104" s="304">
        <v>0.38</v>
      </c>
      <c r="AF104" s="304">
        <v>0.38</v>
      </c>
      <c r="AG104" s="304">
        <v>0.38</v>
      </c>
      <c r="AH104" s="304">
        <v>0.38</v>
      </c>
      <c r="AI104" s="304">
        <v>0.38</v>
      </c>
      <c r="AJ104" s="304">
        <v>0.38</v>
      </c>
      <c r="AK104" s="304">
        <v>0.23</v>
      </c>
      <c r="AL104" s="304">
        <v>0.23</v>
      </c>
      <c r="AM104" s="304">
        <v>0.23</v>
      </c>
      <c r="AN104" s="304">
        <v>0.23</v>
      </c>
      <c r="AO104" s="255">
        <v>3564</v>
      </c>
      <c r="AP104" s="254">
        <f t="shared" si="39"/>
        <v>1354.32</v>
      </c>
      <c r="AQ104" s="255">
        <v>3816</v>
      </c>
      <c r="AR104" s="254">
        <f t="shared" si="40"/>
        <v>1450.08</v>
      </c>
      <c r="AS104" s="255">
        <v>2748</v>
      </c>
      <c r="AT104" s="254">
        <f t="shared" si="41"/>
        <v>1044.24</v>
      </c>
      <c r="AU104" s="255">
        <v>4920</v>
      </c>
      <c r="AV104" s="257">
        <f t="shared" si="42"/>
        <v>1869.6</v>
      </c>
      <c r="AW104" s="381">
        <v>4596</v>
      </c>
      <c r="AX104" s="257">
        <f t="shared" si="43"/>
        <v>1746.48</v>
      </c>
      <c r="AY104" s="388">
        <v>4068</v>
      </c>
      <c r="AZ104" s="257">
        <f t="shared" si="44"/>
        <v>1545.84</v>
      </c>
      <c r="BA104" s="255">
        <v>4224</v>
      </c>
      <c r="BB104" s="257">
        <f t="shared" si="45"/>
        <v>1605.1200000000001</v>
      </c>
      <c r="BC104" s="255">
        <v>4248</v>
      </c>
      <c r="BD104" s="257">
        <f t="shared" si="46"/>
        <v>1614.24</v>
      </c>
      <c r="BE104" s="255">
        <v>3204</v>
      </c>
      <c r="BF104" s="257">
        <f t="shared" si="29"/>
        <v>736.92000000000007</v>
      </c>
      <c r="BG104" s="255">
        <v>2436</v>
      </c>
      <c r="BH104" s="257">
        <f t="shared" si="47"/>
        <v>560.28</v>
      </c>
      <c r="BI104" s="255">
        <v>1032</v>
      </c>
      <c r="BJ104" s="257">
        <f t="shared" si="48"/>
        <v>237.36</v>
      </c>
      <c r="BK104" s="255">
        <v>1764</v>
      </c>
      <c r="BL104" s="257">
        <f t="shared" si="11"/>
        <v>405.72</v>
      </c>
      <c r="BM104" s="1" t="s">
        <v>593</v>
      </c>
      <c r="BO104" s="1" t="s">
        <v>457</v>
      </c>
      <c r="BP104" s="1" t="s">
        <v>594</v>
      </c>
    </row>
    <row r="105" spans="1:68" ht="17.25" customHeight="1">
      <c r="A105" s="250" t="s">
        <v>451</v>
      </c>
      <c r="B105" s="59" t="s">
        <v>363</v>
      </c>
      <c r="C105" s="354" t="s">
        <v>172</v>
      </c>
      <c r="D105" s="424"/>
      <c r="E105" s="357" t="s">
        <v>214</v>
      </c>
      <c r="F105" s="421"/>
      <c r="G105" s="317">
        <v>2021</v>
      </c>
      <c r="H105" s="59" t="s">
        <v>365</v>
      </c>
      <c r="I105" s="315" t="s">
        <v>190</v>
      </c>
      <c r="J105" s="318" t="s">
        <v>217</v>
      </c>
      <c r="K105" s="59" t="s">
        <v>217</v>
      </c>
      <c r="L105" s="59" t="s">
        <v>177</v>
      </c>
      <c r="M105" s="303" t="s">
        <v>455</v>
      </c>
      <c r="N105" s="303">
        <v>4.5</v>
      </c>
      <c r="O105" s="303">
        <v>4.88</v>
      </c>
      <c r="P105" s="303">
        <v>5.18</v>
      </c>
      <c r="Q105" s="303">
        <v>5.18</v>
      </c>
      <c r="R105" s="303">
        <v>5.18</v>
      </c>
      <c r="S105" s="303">
        <v>5.18</v>
      </c>
      <c r="T105" s="303">
        <v>5.18</v>
      </c>
      <c r="U105" s="303">
        <v>5.18</v>
      </c>
      <c r="V105" s="303">
        <v>5.18</v>
      </c>
      <c r="W105" s="303">
        <v>5.18</v>
      </c>
      <c r="X105" s="303">
        <v>4.88</v>
      </c>
      <c r="Y105" s="303">
        <v>4.88</v>
      </c>
      <c r="Z105" s="303">
        <v>4.88</v>
      </c>
      <c r="AA105" s="303">
        <v>4.88</v>
      </c>
      <c r="AB105" s="304">
        <v>0.23</v>
      </c>
      <c r="AC105" s="304">
        <v>0.38</v>
      </c>
      <c r="AD105" s="304">
        <v>0.38</v>
      </c>
      <c r="AE105" s="304">
        <v>0.38</v>
      </c>
      <c r="AF105" s="304">
        <v>0.38</v>
      </c>
      <c r="AG105" s="304">
        <v>0.38</v>
      </c>
      <c r="AH105" s="304">
        <v>0.38</v>
      </c>
      <c r="AI105" s="304">
        <v>0.38</v>
      </c>
      <c r="AJ105" s="304">
        <v>0.38</v>
      </c>
      <c r="AK105" s="304">
        <v>0.23</v>
      </c>
      <c r="AL105" s="304">
        <v>0.23</v>
      </c>
      <c r="AM105" s="304">
        <v>0.23</v>
      </c>
      <c r="AN105" s="304">
        <v>0.23</v>
      </c>
      <c r="AO105" s="255">
        <v>14124</v>
      </c>
      <c r="AP105" s="254">
        <f t="shared" si="39"/>
        <v>5367.12</v>
      </c>
      <c r="AQ105" s="255">
        <v>16548</v>
      </c>
      <c r="AR105" s="254">
        <f t="shared" si="40"/>
        <v>6288.24</v>
      </c>
      <c r="AS105" s="255">
        <v>9872</v>
      </c>
      <c r="AT105" s="254">
        <f t="shared" si="41"/>
        <v>3751.36</v>
      </c>
      <c r="AU105" s="255">
        <v>14596</v>
      </c>
      <c r="AV105" s="257">
        <f t="shared" si="42"/>
        <v>5546.4800000000005</v>
      </c>
      <c r="AW105" s="381">
        <v>14732</v>
      </c>
      <c r="AX105" s="257">
        <f t="shared" si="43"/>
        <v>5598.16</v>
      </c>
      <c r="AY105" s="388">
        <v>11132</v>
      </c>
      <c r="AZ105" s="257">
        <f t="shared" si="44"/>
        <v>4230.16</v>
      </c>
      <c r="BA105" s="255">
        <v>9544</v>
      </c>
      <c r="BB105" s="257">
        <f t="shared" si="45"/>
        <v>3626.7200000000003</v>
      </c>
      <c r="BC105" s="255">
        <v>13908</v>
      </c>
      <c r="BD105" s="257">
        <f t="shared" si="46"/>
        <v>5285.04</v>
      </c>
      <c r="BE105" s="255">
        <v>7308</v>
      </c>
      <c r="BF105" s="257">
        <f t="shared" si="29"/>
        <v>1680.8400000000001</v>
      </c>
      <c r="BG105" s="255">
        <v>5340</v>
      </c>
      <c r="BH105" s="257">
        <f t="shared" si="47"/>
        <v>1228.2</v>
      </c>
      <c r="BI105" s="255">
        <v>3096</v>
      </c>
      <c r="BJ105" s="257">
        <f t="shared" si="48"/>
        <v>712.08</v>
      </c>
      <c r="BK105" s="255">
        <v>1020</v>
      </c>
      <c r="BL105" s="257">
        <f t="shared" si="11"/>
        <v>234.60000000000002</v>
      </c>
      <c r="BM105" s="1" t="s">
        <v>593</v>
      </c>
      <c r="BO105" s="1" t="s">
        <v>457</v>
      </c>
      <c r="BP105" s="1" t="s">
        <v>594</v>
      </c>
    </row>
    <row r="106" spans="1:68" ht="17.25" customHeight="1">
      <c r="A106" s="250" t="s">
        <v>451</v>
      </c>
      <c r="B106" s="59" t="s">
        <v>363</v>
      </c>
      <c r="C106" s="354" t="s">
        <v>172</v>
      </c>
      <c r="D106" s="424"/>
      <c r="E106" s="357" t="s">
        <v>214</v>
      </c>
      <c r="F106" s="421"/>
      <c r="G106" s="317">
        <v>2021</v>
      </c>
      <c r="H106" s="59" t="s">
        <v>365</v>
      </c>
      <c r="I106" s="315" t="s">
        <v>190</v>
      </c>
      <c r="J106" s="318" t="s">
        <v>217</v>
      </c>
      <c r="K106" s="59" t="s">
        <v>217</v>
      </c>
      <c r="L106" s="59" t="s">
        <v>177</v>
      </c>
      <c r="M106" s="303" t="s">
        <v>595</v>
      </c>
      <c r="N106" s="303">
        <v>4.5</v>
      </c>
      <c r="O106" s="303">
        <v>4.96</v>
      </c>
      <c r="P106" s="303">
        <v>5.26</v>
      </c>
      <c r="Q106" s="303">
        <v>5.26</v>
      </c>
      <c r="R106" s="303">
        <v>5.26</v>
      </c>
      <c r="S106" s="303">
        <v>5.26</v>
      </c>
      <c r="T106" s="303">
        <v>5.26</v>
      </c>
      <c r="U106" s="303">
        <v>5.26</v>
      </c>
      <c r="V106" s="303">
        <v>5.26</v>
      </c>
      <c r="W106" s="303">
        <v>5.26</v>
      </c>
      <c r="X106" s="303">
        <v>4.96</v>
      </c>
      <c r="Y106" s="303">
        <v>4.96</v>
      </c>
      <c r="Z106" s="303">
        <v>4.96</v>
      </c>
      <c r="AA106" s="303">
        <v>4.96</v>
      </c>
      <c r="AB106" s="304">
        <v>0.23</v>
      </c>
      <c r="AC106" s="304">
        <v>0.38</v>
      </c>
      <c r="AD106" s="304">
        <v>0.38</v>
      </c>
      <c r="AE106" s="304">
        <v>0.38</v>
      </c>
      <c r="AF106" s="304">
        <v>0.38</v>
      </c>
      <c r="AG106" s="304">
        <v>0.38</v>
      </c>
      <c r="AH106" s="304">
        <v>0.38</v>
      </c>
      <c r="AI106" s="304">
        <v>0.38</v>
      </c>
      <c r="AJ106" s="304">
        <v>0.38</v>
      </c>
      <c r="AK106" s="304">
        <v>0.23</v>
      </c>
      <c r="AL106" s="304">
        <v>0.23</v>
      </c>
      <c r="AM106" s="304">
        <v>0.23</v>
      </c>
      <c r="AN106" s="304">
        <v>0.23</v>
      </c>
      <c r="AO106" s="255">
        <v>8448</v>
      </c>
      <c r="AP106" s="254">
        <f t="shared" si="39"/>
        <v>3210.2400000000002</v>
      </c>
      <c r="AQ106" s="255">
        <v>7764</v>
      </c>
      <c r="AR106" s="254">
        <f t="shared" si="40"/>
        <v>2950.32</v>
      </c>
      <c r="AS106" s="255">
        <v>4080</v>
      </c>
      <c r="AT106" s="254">
        <f t="shared" si="41"/>
        <v>1550.4</v>
      </c>
      <c r="AU106" s="255">
        <v>6828</v>
      </c>
      <c r="AV106" s="257">
        <f t="shared" si="42"/>
        <v>2594.64</v>
      </c>
      <c r="AW106" s="381">
        <v>8472</v>
      </c>
      <c r="AX106" s="257">
        <f t="shared" si="43"/>
        <v>3219.36</v>
      </c>
      <c r="AY106" s="388">
        <v>7032</v>
      </c>
      <c r="AZ106" s="257">
        <f t="shared" si="44"/>
        <v>2672.16</v>
      </c>
      <c r="BA106" s="255">
        <v>8244</v>
      </c>
      <c r="BB106" s="257">
        <f t="shared" si="45"/>
        <v>3132.7200000000003</v>
      </c>
      <c r="BC106" s="255">
        <v>9720</v>
      </c>
      <c r="BD106" s="257">
        <f t="shared" si="46"/>
        <v>3693.6</v>
      </c>
      <c r="BE106" s="255">
        <v>4692</v>
      </c>
      <c r="BF106" s="257">
        <f t="shared" si="29"/>
        <v>1079.1600000000001</v>
      </c>
      <c r="BG106" s="255">
        <v>2148</v>
      </c>
      <c r="BH106" s="257">
        <f t="shared" si="47"/>
        <v>494.04</v>
      </c>
      <c r="BI106" s="255">
        <v>4116</v>
      </c>
      <c r="BJ106" s="257">
        <f t="shared" si="48"/>
        <v>946.68000000000006</v>
      </c>
      <c r="BK106" s="255">
        <v>2208</v>
      </c>
      <c r="BL106" s="257">
        <f t="shared" si="11"/>
        <v>507.84000000000003</v>
      </c>
      <c r="BM106" s="1" t="s">
        <v>593</v>
      </c>
      <c r="BO106" s="1" t="s">
        <v>457</v>
      </c>
      <c r="BP106" s="1" t="s">
        <v>596</v>
      </c>
    </row>
    <row r="107" spans="1:68" ht="17.25" customHeight="1">
      <c r="A107" s="250" t="s">
        <v>451</v>
      </c>
      <c r="B107" s="59" t="s">
        <v>363</v>
      </c>
      <c r="C107" s="354" t="s">
        <v>172</v>
      </c>
      <c r="D107" s="424"/>
      <c r="E107" s="357" t="s">
        <v>214</v>
      </c>
      <c r="F107" s="421"/>
      <c r="G107" s="317">
        <v>2021</v>
      </c>
      <c r="H107" s="59" t="s">
        <v>365</v>
      </c>
      <c r="I107" s="315" t="s">
        <v>190</v>
      </c>
      <c r="J107" s="318" t="s">
        <v>217</v>
      </c>
      <c r="K107" s="59" t="s">
        <v>217</v>
      </c>
      <c r="L107" s="59" t="s">
        <v>177</v>
      </c>
      <c r="M107" s="303" t="s">
        <v>597</v>
      </c>
      <c r="N107" s="303">
        <v>4.5</v>
      </c>
      <c r="O107" s="303">
        <v>4.88</v>
      </c>
      <c r="P107" s="303">
        <v>5.18</v>
      </c>
      <c r="Q107" s="303">
        <v>5.18</v>
      </c>
      <c r="R107" s="303">
        <v>5.18</v>
      </c>
      <c r="S107" s="303">
        <v>5.18</v>
      </c>
      <c r="T107" s="303">
        <v>5.18</v>
      </c>
      <c r="U107" s="303">
        <v>5.18</v>
      </c>
      <c r="V107" s="303">
        <v>5.18</v>
      </c>
      <c r="W107" s="303">
        <v>5.18</v>
      </c>
      <c r="X107" s="303">
        <v>4.88</v>
      </c>
      <c r="Y107" s="303">
        <v>4.88</v>
      </c>
      <c r="Z107" s="303">
        <v>4.88</v>
      </c>
      <c r="AA107" s="303">
        <v>4.88</v>
      </c>
      <c r="AB107" s="304">
        <v>0.23</v>
      </c>
      <c r="AC107" s="304">
        <v>0.38</v>
      </c>
      <c r="AD107" s="304">
        <v>0.38</v>
      </c>
      <c r="AE107" s="304">
        <v>0.38</v>
      </c>
      <c r="AF107" s="304">
        <v>0.38</v>
      </c>
      <c r="AG107" s="304">
        <v>0.38</v>
      </c>
      <c r="AH107" s="304">
        <v>0.38</v>
      </c>
      <c r="AI107" s="304">
        <v>0.38</v>
      </c>
      <c r="AJ107" s="304">
        <v>0.38</v>
      </c>
      <c r="AK107" s="304">
        <v>0.23</v>
      </c>
      <c r="AL107" s="304">
        <v>0.23</v>
      </c>
      <c r="AM107" s="304">
        <v>0.23</v>
      </c>
      <c r="AN107" s="304">
        <v>0.23</v>
      </c>
      <c r="AO107" s="255">
        <v>9239</v>
      </c>
      <c r="AP107" s="254">
        <f t="shared" si="39"/>
        <v>3510.82</v>
      </c>
      <c r="AQ107" s="255">
        <v>5244</v>
      </c>
      <c r="AR107" s="254">
        <f t="shared" si="40"/>
        <v>1992.72</v>
      </c>
      <c r="AS107" s="255">
        <v>2952</v>
      </c>
      <c r="AT107" s="254">
        <f t="shared" si="41"/>
        <v>1121.76</v>
      </c>
      <c r="AU107" s="255">
        <v>3640</v>
      </c>
      <c r="AV107" s="257">
        <f t="shared" si="42"/>
        <v>1383.2</v>
      </c>
      <c r="AW107" s="381">
        <v>4492</v>
      </c>
      <c r="AX107" s="257">
        <f t="shared" si="43"/>
        <v>1706.96</v>
      </c>
      <c r="AY107" s="388">
        <v>4920</v>
      </c>
      <c r="AZ107" s="257">
        <f t="shared" si="44"/>
        <v>1869.6</v>
      </c>
      <c r="BA107" s="255">
        <v>4584</v>
      </c>
      <c r="BB107" s="257">
        <f t="shared" si="45"/>
        <v>1741.92</v>
      </c>
      <c r="BC107" s="255">
        <v>3596</v>
      </c>
      <c r="BD107" s="257">
        <f t="shared" si="46"/>
        <v>1366.48</v>
      </c>
      <c r="BE107" s="255">
        <v>4416</v>
      </c>
      <c r="BF107" s="257">
        <f t="shared" si="29"/>
        <v>1015.6800000000001</v>
      </c>
      <c r="BG107" s="255">
        <v>2960</v>
      </c>
      <c r="BH107" s="257">
        <f t="shared" si="47"/>
        <v>680.80000000000007</v>
      </c>
      <c r="BI107" s="255">
        <v>2400</v>
      </c>
      <c r="BJ107" s="257">
        <f t="shared" si="48"/>
        <v>552</v>
      </c>
      <c r="BK107" s="255">
        <v>3208</v>
      </c>
      <c r="BL107" s="257">
        <f t="shared" si="11"/>
        <v>737.84</v>
      </c>
      <c r="BM107" s="1" t="s">
        <v>593</v>
      </c>
      <c r="BO107" s="1" t="s">
        <v>457</v>
      </c>
      <c r="BP107" s="1" t="s">
        <v>596</v>
      </c>
    </row>
    <row r="108" spans="1:68" ht="17.25" customHeight="1">
      <c r="A108" s="250" t="s">
        <v>451</v>
      </c>
      <c r="B108" s="59" t="s">
        <v>363</v>
      </c>
      <c r="C108" s="354" t="s">
        <v>172</v>
      </c>
      <c r="D108" s="424"/>
      <c r="E108" s="357" t="s">
        <v>214</v>
      </c>
      <c r="F108" s="421"/>
      <c r="G108" s="317">
        <v>2021</v>
      </c>
      <c r="H108" s="59" t="s">
        <v>365</v>
      </c>
      <c r="I108" s="315" t="s">
        <v>190</v>
      </c>
      <c r="J108" s="318" t="s">
        <v>217</v>
      </c>
      <c r="K108" s="59" t="s">
        <v>217</v>
      </c>
      <c r="L108" s="59" t="s">
        <v>177</v>
      </c>
      <c r="M108" s="303" t="s">
        <v>598</v>
      </c>
      <c r="N108" s="303">
        <v>4.5</v>
      </c>
      <c r="O108" s="303">
        <v>4.88</v>
      </c>
      <c r="P108" s="303">
        <v>5.18</v>
      </c>
      <c r="Q108" s="303">
        <v>5.18</v>
      </c>
      <c r="R108" s="303">
        <v>5.18</v>
      </c>
      <c r="S108" s="303">
        <v>5.18</v>
      </c>
      <c r="T108" s="303">
        <v>5.18</v>
      </c>
      <c r="U108" s="303">
        <v>5.18</v>
      </c>
      <c r="V108" s="303">
        <v>5.18</v>
      </c>
      <c r="W108" s="303">
        <v>5.18</v>
      </c>
      <c r="X108" s="303">
        <v>4.88</v>
      </c>
      <c r="Y108" s="303">
        <v>4.88</v>
      </c>
      <c r="Z108" s="303">
        <v>4.88</v>
      </c>
      <c r="AA108" s="303">
        <v>4.88</v>
      </c>
      <c r="AB108" s="304">
        <v>0.23</v>
      </c>
      <c r="AC108" s="304">
        <v>0.38</v>
      </c>
      <c r="AD108" s="304">
        <v>0.38</v>
      </c>
      <c r="AE108" s="304">
        <v>0.38</v>
      </c>
      <c r="AF108" s="304">
        <v>0.38</v>
      </c>
      <c r="AG108" s="304">
        <v>0.38</v>
      </c>
      <c r="AH108" s="304">
        <v>0.38</v>
      </c>
      <c r="AI108" s="304">
        <v>0.38</v>
      </c>
      <c r="AJ108" s="304">
        <v>0.38</v>
      </c>
      <c r="AK108" s="304">
        <v>0.23</v>
      </c>
      <c r="AL108" s="304">
        <v>0.23</v>
      </c>
      <c r="AM108" s="304">
        <v>0.23</v>
      </c>
      <c r="AN108" s="304">
        <v>0.23</v>
      </c>
      <c r="AO108" s="255">
        <v>11604</v>
      </c>
      <c r="AP108" s="254">
        <f t="shared" si="39"/>
        <v>4409.5200000000004</v>
      </c>
      <c r="AQ108" s="255">
        <v>6144</v>
      </c>
      <c r="AR108" s="254">
        <f t="shared" si="40"/>
        <v>2334.7200000000003</v>
      </c>
      <c r="AS108" s="255">
        <v>4164</v>
      </c>
      <c r="AT108" s="254">
        <f t="shared" si="41"/>
        <v>1582.32</v>
      </c>
      <c r="AU108" s="255">
        <v>3264</v>
      </c>
      <c r="AV108" s="257">
        <f t="shared" si="42"/>
        <v>1240.32</v>
      </c>
      <c r="AW108" s="381">
        <v>6444</v>
      </c>
      <c r="AX108" s="257">
        <f t="shared" si="43"/>
        <v>2448.7200000000003</v>
      </c>
      <c r="AY108" s="388">
        <v>11388</v>
      </c>
      <c r="AZ108" s="257">
        <f t="shared" si="44"/>
        <v>4327.4399999999996</v>
      </c>
      <c r="BA108" s="255">
        <v>10452</v>
      </c>
      <c r="BB108" s="257">
        <f t="shared" si="45"/>
        <v>3971.76</v>
      </c>
      <c r="BC108" s="255">
        <v>8676</v>
      </c>
      <c r="BD108" s="257">
        <f t="shared" si="46"/>
        <v>3296.88</v>
      </c>
      <c r="BE108" s="255">
        <v>10788</v>
      </c>
      <c r="BF108" s="257">
        <f t="shared" si="29"/>
        <v>2481.2400000000002</v>
      </c>
      <c r="BG108" s="255">
        <v>9516</v>
      </c>
      <c r="BH108" s="257">
        <f t="shared" si="47"/>
        <v>2188.6800000000003</v>
      </c>
      <c r="BI108" s="255">
        <v>3372</v>
      </c>
      <c r="BJ108" s="257">
        <f t="shared" si="48"/>
        <v>775.56000000000006</v>
      </c>
      <c r="BK108" s="255">
        <v>3756</v>
      </c>
      <c r="BL108" s="257">
        <f t="shared" si="11"/>
        <v>863.88</v>
      </c>
      <c r="BM108" s="1" t="s">
        <v>593</v>
      </c>
      <c r="BO108" s="1" t="s">
        <v>457</v>
      </c>
      <c r="BP108" s="1" t="s">
        <v>596</v>
      </c>
    </row>
    <row r="109" spans="1:68" ht="17.25" customHeight="1">
      <c r="A109" s="250" t="s">
        <v>451</v>
      </c>
      <c r="B109" s="59" t="s">
        <v>363</v>
      </c>
      <c r="C109" s="354" t="s">
        <v>172</v>
      </c>
      <c r="D109" s="424"/>
      <c r="E109" s="357" t="s">
        <v>214</v>
      </c>
      <c r="F109" s="421"/>
      <c r="G109" s="317">
        <v>2021</v>
      </c>
      <c r="H109" s="59" t="s">
        <v>365</v>
      </c>
      <c r="I109" s="315" t="s">
        <v>190</v>
      </c>
      <c r="J109" s="318" t="s">
        <v>217</v>
      </c>
      <c r="K109" s="59" t="s">
        <v>217</v>
      </c>
      <c r="L109" s="59" t="s">
        <v>177</v>
      </c>
      <c r="M109" s="303" t="s">
        <v>599</v>
      </c>
      <c r="N109" s="303">
        <v>4.5</v>
      </c>
      <c r="O109" s="303">
        <v>4.88</v>
      </c>
      <c r="P109" s="303">
        <v>5.18</v>
      </c>
      <c r="Q109" s="303">
        <v>5.18</v>
      </c>
      <c r="R109" s="303">
        <v>5.18</v>
      </c>
      <c r="S109" s="303">
        <v>5.18</v>
      </c>
      <c r="T109" s="303">
        <v>5.18</v>
      </c>
      <c r="U109" s="303">
        <v>5.18</v>
      </c>
      <c r="V109" s="303">
        <v>5.18</v>
      </c>
      <c r="W109" s="303">
        <v>5.18</v>
      </c>
      <c r="X109" s="303">
        <v>4.88</v>
      </c>
      <c r="Y109" s="303">
        <v>4.88</v>
      </c>
      <c r="Z109" s="303">
        <v>4.88</v>
      </c>
      <c r="AA109" s="303">
        <v>4.88</v>
      </c>
      <c r="AB109" s="304">
        <v>0.23</v>
      </c>
      <c r="AC109" s="304">
        <v>0.38</v>
      </c>
      <c r="AD109" s="304">
        <v>0.38</v>
      </c>
      <c r="AE109" s="304">
        <v>0.38</v>
      </c>
      <c r="AF109" s="304">
        <v>0.38</v>
      </c>
      <c r="AG109" s="304">
        <v>0.38</v>
      </c>
      <c r="AH109" s="304">
        <v>0.38</v>
      </c>
      <c r="AI109" s="304">
        <v>0.38</v>
      </c>
      <c r="AJ109" s="304">
        <v>0.38</v>
      </c>
      <c r="AK109" s="304">
        <v>0.23</v>
      </c>
      <c r="AL109" s="304">
        <v>0.23</v>
      </c>
      <c r="AM109" s="304">
        <v>0.23</v>
      </c>
      <c r="AN109" s="304">
        <v>0.23</v>
      </c>
      <c r="AO109" s="255">
        <v>12</v>
      </c>
      <c r="AP109" s="254">
        <f t="shared" si="39"/>
        <v>4.5600000000000005</v>
      </c>
      <c r="AQ109" s="255"/>
      <c r="AR109" s="254">
        <f t="shared" si="40"/>
        <v>0</v>
      </c>
      <c r="AS109" s="255">
        <v>12</v>
      </c>
      <c r="AT109" s="254">
        <f t="shared" si="41"/>
        <v>4.5600000000000005</v>
      </c>
      <c r="AU109" s="255"/>
      <c r="AV109" s="257">
        <f t="shared" si="42"/>
        <v>0</v>
      </c>
      <c r="AW109" s="381"/>
      <c r="AX109" s="257">
        <f t="shared" si="43"/>
        <v>0</v>
      </c>
      <c r="AY109" s="388"/>
      <c r="AZ109" s="257">
        <f t="shared" si="44"/>
        <v>0</v>
      </c>
      <c r="BA109" s="255"/>
      <c r="BB109" s="257">
        <f t="shared" si="45"/>
        <v>0</v>
      </c>
      <c r="BC109" s="255"/>
      <c r="BD109" s="257">
        <f t="shared" si="46"/>
        <v>0</v>
      </c>
      <c r="BE109" s="255">
        <v>48</v>
      </c>
      <c r="BF109" s="257">
        <f t="shared" si="29"/>
        <v>11.040000000000001</v>
      </c>
      <c r="BG109" s="255">
        <v>24</v>
      </c>
      <c r="BH109" s="257">
        <f t="shared" si="47"/>
        <v>5.5200000000000005</v>
      </c>
      <c r="BI109" s="255"/>
      <c r="BJ109" s="257">
        <f t="shared" si="48"/>
        <v>0</v>
      </c>
      <c r="BK109" s="255">
        <v>12</v>
      </c>
      <c r="BL109" s="257">
        <f t="shared" si="11"/>
        <v>2.7600000000000002</v>
      </c>
      <c r="BM109" s="1" t="s">
        <v>593</v>
      </c>
      <c r="BO109" s="1" t="s">
        <v>457</v>
      </c>
      <c r="BP109" s="1" t="s">
        <v>596</v>
      </c>
    </row>
    <row r="110" spans="1:68" ht="17.25" customHeight="1">
      <c r="A110" s="250" t="s">
        <v>451</v>
      </c>
      <c r="B110" s="59" t="s">
        <v>363</v>
      </c>
      <c r="C110" s="354" t="s">
        <v>172</v>
      </c>
      <c r="D110" s="424"/>
      <c r="E110" s="357" t="s">
        <v>214</v>
      </c>
      <c r="F110" s="421"/>
      <c r="G110" s="317">
        <v>2021</v>
      </c>
      <c r="H110" s="59" t="s">
        <v>365</v>
      </c>
      <c r="I110" s="315" t="s">
        <v>190</v>
      </c>
      <c r="J110" s="318" t="s">
        <v>217</v>
      </c>
      <c r="K110" s="59" t="s">
        <v>217</v>
      </c>
      <c r="L110" s="59" t="s">
        <v>177</v>
      </c>
      <c r="M110" s="303" t="s">
        <v>600</v>
      </c>
      <c r="N110" s="303">
        <v>4.5</v>
      </c>
      <c r="O110" s="303">
        <v>4.7</v>
      </c>
      <c r="P110" s="303">
        <v>5</v>
      </c>
      <c r="Q110" s="303">
        <v>5</v>
      </c>
      <c r="R110" s="303">
        <v>5</v>
      </c>
      <c r="S110" s="303">
        <v>5</v>
      </c>
      <c r="T110" s="303">
        <v>5</v>
      </c>
      <c r="U110" s="303">
        <v>5</v>
      </c>
      <c r="V110" s="303">
        <v>5</v>
      </c>
      <c r="W110" s="303">
        <v>5</v>
      </c>
      <c r="X110" s="303">
        <v>4.7</v>
      </c>
      <c r="Y110" s="303">
        <v>4.7</v>
      </c>
      <c r="Z110" s="303">
        <v>4.7</v>
      </c>
      <c r="AA110" s="303">
        <v>4.7</v>
      </c>
      <c r="AB110" s="304">
        <v>0.23</v>
      </c>
      <c r="AC110" s="304">
        <v>0.38</v>
      </c>
      <c r="AD110" s="304">
        <v>0.38</v>
      </c>
      <c r="AE110" s="304">
        <v>0.38</v>
      </c>
      <c r="AF110" s="304">
        <v>0.38</v>
      </c>
      <c r="AG110" s="304">
        <v>0.38</v>
      </c>
      <c r="AH110" s="304">
        <v>0.38</v>
      </c>
      <c r="AI110" s="304">
        <v>0.38</v>
      </c>
      <c r="AJ110" s="304">
        <v>0.38</v>
      </c>
      <c r="AK110" s="304">
        <v>0.23</v>
      </c>
      <c r="AL110" s="304">
        <v>0.23</v>
      </c>
      <c r="AM110" s="304">
        <v>0.23</v>
      </c>
      <c r="AN110" s="304">
        <v>0.23</v>
      </c>
      <c r="AO110" s="255">
        <v>8400</v>
      </c>
      <c r="AP110" s="254">
        <f t="shared" si="39"/>
        <v>3192</v>
      </c>
      <c r="AQ110" s="255">
        <v>15900</v>
      </c>
      <c r="AR110" s="254">
        <f t="shared" si="40"/>
        <v>6042</v>
      </c>
      <c r="AS110" s="255">
        <v>16296</v>
      </c>
      <c r="AT110" s="254">
        <f t="shared" si="41"/>
        <v>6192.4800000000005</v>
      </c>
      <c r="AU110" s="255">
        <v>8400</v>
      </c>
      <c r="AV110" s="257">
        <f t="shared" si="42"/>
        <v>3192</v>
      </c>
      <c r="AW110" s="381">
        <v>7908</v>
      </c>
      <c r="AX110" s="257">
        <f t="shared" si="43"/>
        <v>3005.04</v>
      </c>
      <c r="AY110" s="388">
        <v>23760</v>
      </c>
      <c r="AZ110" s="257">
        <f t="shared" si="44"/>
        <v>9028.7999999999993</v>
      </c>
      <c r="BA110" s="255"/>
      <c r="BB110" s="257">
        <f t="shared" si="45"/>
        <v>0</v>
      </c>
      <c r="BC110" s="255">
        <v>6900</v>
      </c>
      <c r="BD110" s="257">
        <f t="shared" si="46"/>
        <v>2622</v>
      </c>
      <c r="BE110" s="255">
        <v>4200</v>
      </c>
      <c r="BF110" s="257">
        <f t="shared" si="29"/>
        <v>966</v>
      </c>
      <c r="BG110" s="255"/>
      <c r="BH110" s="257">
        <f t="shared" si="47"/>
        <v>0</v>
      </c>
      <c r="BI110" s="255"/>
      <c r="BJ110" s="257">
        <f t="shared" si="48"/>
        <v>0</v>
      </c>
      <c r="BK110" s="255"/>
      <c r="BL110" s="257">
        <f t="shared" si="11"/>
        <v>0</v>
      </c>
      <c r="BM110" s="1" t="s">
        <v>593</v>
      </c>
      <c r="BO110" s="1" t="s">
        <v>457</v>
      </c>
      <c r="BP110" s="1" t="s">
        <v>596</v>
      </c>
    </row>
    <row r="111" spans="1:68" ht="17.25" customHeight="1">
      <c r="A111" s="250" t="s">
        <v>451</v>
      </c>
      <c r="B111" s="59" t="s">
        <v>363</v>
      </c>
      <c r="C111" s="354" t="s">
        <v>172</v>
      </c>
      <c r="D111" s="424"/>
      <c r="E111" s="357" t="s">
        <v>214</v>
      </c>
      <c r="F111" s="421"/>
      <c r="G111" s="317">
        <v>2021</v>
      </c>
      <c r="H111" s="59" t="s">
        <v>365</v>
      </c>
      <c r="I111" s="315" t="s">
        <v>190</v>
      </c>
      <c r="J111" s="318" t="s">
        <v>217</v>
      </c>
      <c r="K111" s="59" t="s">
        <v>217</v>
      </c>
      <c r="L111" s="59" t="s">
        <v>177</v>
      </c>
      <c r="M111" s="303" t="s">
        <v>601</v>
      </c>
      <c r="N111" s="303">
        <v>4.5</v>
      </c>
      <c r="O111" s="303">
        <v>5.91</v>
      </c>
      <c r="P111" s="303">
        <v>5.91</v>
      </c>
      <c r="Q111" s="303">
        <v>5.91</v>
      </c>
      <c r="R111" s="303">
        <v>5.91</v>
      </c>
      <c r="S111" s="303">
        <v>5.91</v>
      </c>
      <c r="T111" s="303">
        <v>5.91</v>
      </c>
      <c r="U111" s="303">
        <v>5.91</v>
      </c>
      <c r="V111" s="303">
        <v>5.91</v>
      </c>
      <c r="W111" s="303">
        <v>5.91</v>
      </c>
      <c r="X111" s="303">
        <v>5.91</v>
      </c>
      <c r="Y111" s="303">
        <v>5.91</v>
      </c>
      <c r="Z111" s="303">
        <v>5.91</v>
      </c>
      <c r="AA111" s="303">
        <v>5.91</v>
      </c>
      <c r="AB111" s="304">
        <v>0.38</v>
      </c>
      <c r="AC111" s="304">
        <v>0.38</v>
      </c>
      <c r="AD111" s="304">
        <v>0.38</v>
      </c>
      <c r="AE111" s="304">
        <v>0.38</v>
      </c>
      <c r="AF111" s="304">
        <v>0.38</v>
      </c>
      <c r="AG111" s="304">
        <v>0.38</v>
      </c>
      <c r="AH111" s="304">
        <v>0.38</v>
      </c>
      <c r="AI111" s="304">
        <v>0.38</v>
      </c>
      <c r="AJ111" s="304">
        <v>0.38</v>
      </c>
      <c r="AK111" s="304">
        <v>0.38</v>
      </c>
      <c r="AL111" s="304">
        <v>0.38</v>
      </c>
      <c r="AM111" s="304">
        <v>0.38</v>
      </c>
      <c r="AN111" s="304">
        <v>0.38</v>
      </c>
      <c r="AO111" s="255"/>
      <c r="AP111" s="254">
        <f t="shared" si="39"/>
        <v>0</v>
      </c>
      <c r="AQ111" s="255">
        <v>107763</v>
      </c>
      <c r="AR111" s="254">
        <f t="shared" si="40"/>
        <v>40949.94</v>
      </c>
      <c r="AS111" s="255"/>
      <c r="AT111" s="254">
        <f t="shared" si="41"/>
        <v>0</v>
      </c>
      <c r="AU111" s="255"/>
      <c r="AV111" s="257">
        <f t="shared" si="42"/>
        <v>0</v>
      </c>
      <c r="AW111" s="381"/>
      <c r="AX111" s="257">
        <f t="shared" si="43"/>
        <v>0</v>
      </c>
      <c r="AY111" s="388"/>
      <c r="AZ111" s="257">
        <f t="shared" si="44"/>
        <v>0</v>
      </c>
      <c r="BA111" s="255"/>
      <c r="BB111" s="257">
        <f t="shared" si="45"/>
        <v>0</v>
      </c>
      <c r="BC111" s="255"/>
      <c r="BD111" s="257">
        <f t="shared" si="46"/>
        <v>0</v>
      </c>
      <c r="BE111" s="255"/>
      <c r="BF111" s="257">
        <f t="shared" si="29"/>
        <v>0</v>
      </c>
      <c r="BG111" s="255"/>
      <c r="BH111" s="257">
        <f t="shared" si="47"/>
        <v>0</v>
      </c>
      <c r="BI111" s="255">
        <v>13920</v>
      </c>
      <c r="BJ111" s="257">
        <f t="shared" si="48"/>
        <v>5289.6</v>
      </c>
      <c r="BK111" s="255"/>
      <c r="BL111" s="257">
        <f t="shared" si="11"/>
        <v>0</v>
      </c>
      <c r="BM111" s="1" t="s">
        <v>593</v>
      </c>
      <c r="BO111" s="1" t="s">
        <v>457</v>
      </c>
      <c r="BP111" s="1" t="s">
        <v>596</v>
      </c>
    </row>
    <row r="112" spans="1:68" ht="17.25" customHeight="1">
      <c r="A112" s="250" t="s">
        <v>451</v>
      </c>
      <c r="B112" s="59" t="s">
        <v>363</v>
      </c>
      <c r="C112" s="354" t="s">
        <v>172</v>
      </c>
      <c r="D112" s="424"/>
      <c r="E112" s="357" t="s">
        <v>214</v>
      </c>
      <c r="F112" s="421"/>
      <c r="G112" s="317">
        <v>2021</v>
      </c>
      <c r="H112" s="59" t="s">
        <v>365</v>
      </c>
      <c r="I112" s="315" t="s">
        <v>190</v>
      </c>
      <c r="J112" s="318" t="s">
        <v>217</v>
      </c>
      <c r="K112" s="59" t="s">
        <v>217</v>
      </c>
      <c r="L112" s="59" t="s">
        <v>177</v>
      </c>
      <c r="M112" s="303" t="s">
        <v>602</v>
      </c>
      <c r="N112" s="303">
        <v>4.5</v>
      </c>
      <c r="O112" s="303">
        <v>4.92</v>
      </c>
      <c r="P112" s="303">
        <v>5.22</v>
      </c>
      <c r="Q112" s="303">
        <v>5.22</v>
      </c>
      <c r="R112" s="303">
        <v>5.22</v>
      </c>
      <c r="S112" s="303">
        <v>5.22</v>
      </c>
      <c r="T112" s="303">
        <v>5.22</v>
      </c>
      <c r="U112" s="303">
        <v>5.22</v>
      </c>
      <c r="V112" s="303">
        <v>5.22</v>
      </c>
      <c r="W112" s="303">
        <v>5.22</v>
      </c>
      <c r="X112" s="303">
        <v>4.92</v>
      </c>
      <c r="Y112" s="303">
        <v>4.92</v>
      </c>
      <c r="Z112" s="303">
        <v>4.92</v>
      </c>
      <c r="AA112" s="303">
        <v>4.92</v>
      </c>
      <c r="AB112" s="304">
        <v>0.23</v>
      </c>
      <c r="AC112" s="304">
        <v>0.38</v>
      </c>
      <c r="AD112" s="304">
        <v>0.38</v>
      </c>
      <c r="AE112" s="304">
        <v>0.38</v>
      </c>
      <c r="AF112" s="304">
        <v>0.38</v>
      </c>
      <c r="AG112" s="304">
        <v>0.38</v>
      </c>
      <c r="AH112" s="304">
        <v>0.38</v>
      </c>
      <c r="AI112" s="304">
        <v>0.38</v>
      </c>
      <c r="AJ112" s="304">
        <v>0.38</v>
      </c>
      <c r="AK112" s="304">
        <v>0.23</v>
      </c>
      <c r="AL112" s="304">
        <v>0.23</v>
      </c>
      <c r="AM112" s="304">
        <v>0.23</v>
      </c>
      <c r="AN112" s="304">
        <v>0.23</v>
      </c>
      <c r="AO112" s="255">
        <v>136728</v>
      </c>
      <c r="AP112" s="254">
        <f t="shared" si="39"/>
        <v>51956.639999999999</v>
      </c>
      <c r="AQ112" s="255"/>
      <c r="AR112" s="254">
        <f t="shared" si="40"/>
        <v>0</v>
      </c>
      <c r="AS112" s="255">
        <v>84852</v>
      </c>
      <c r="AT112" s="254">
        <f t="shared" si="41"/>
        <v>32243.760000000002</v>
      </c>
      <c r="AU112" s="255">
        <v>110136</v>
      </c>
      <c r="AV112" s="257">
        <f t="shared" si="42"/>
        <v>41851.68</v>
      </c>
      <c r="AW112" s="381">
        <v>58968</v>
      </c>
      <c r="AX112" s="257">
        <f t="shared" si="43"/>
        <v>22407.84</v>
      </c>
      <c r="AY112" s="388">
        <v>90072</v>
      </c>
      <c r="AZ112" s="257">
        <f t="shared" si="44"/>
        <v>34227.360000000001</v>
      </c>
      <c r="BA112" s="255">
        <v>7776</v>
      </c>
      <c r="BB112" s="257">
        <f t="shared" si="45"/>
        <v>2954.88</v>
      </c>
      <c r="BC112" s="255">
        <v>81029</v>
      </c>
      <c r="BD112" s="257">
        <f t="shared" si="46"/>
        <v>30791.02</v>
      </c>
      <c r="BE112" s="255">
        <v>79056</v>
      </c>
      <c r="BF112" s="257">
        <f t="shared" ref="BF112:BF175" si="52">AK112*BE112</f>
        <v>18182.88</v>
      </c>
      <c r="BG112" s="255">
        <v>86445</v>
      </c>
      <c r="BH112" s="257">
        <f t="shared" si="47"/>
        <v>19882.350000000002</v>
      </c>
      <c r="BI112" s="255">
        <v>64140</v>
      </c>
      <c r="BJ112" s="257">
        <f t="shared" si="48"/>
        <v>14752.2</v>
      </c>
      <c r="BK112" s="255">
        <v>1296</v>
      </c>
      <c r="BL112" s="257">
        <f t="shared" si="11"/>
        <v>298.08000000000004</v>
      </c>
      <c r="BM112" s="1" t="s">
        <v>593</v>
      </c>
      <c r="BO112" s="1" t="s">
        <v>457</v>
      </c>
      <c r="BP112" s="1" t="s">
        <v>596</v>
      </c>
    </row>
    <row r="113" spans="1:68" ht="17.25" customHeight="1">
      <c r="A113" s="250" t="s">
        <v>451</v>
      </c>
      <c r="B113" s="59" t="s">
        <v>363</v>
      </c>
      <c r="C113" s="354" t="s">
        <v>172</v>
      </c>
      <c r="D113" s="424"/>
      <c r="E113" s="357" t="s">
        <v>214</v>
      </c>
      <c r="F113" s="421"/>
      <c r="G113" s="317">
        <v>2021</v>
      </c>
      <c r="H113" s="59" t="s">
        <v>365</v>
      </c>
      <c r="I113" s="315" t="s">
        <v>220</v>
      </c>
      <c r="J113" s="318" t="s">
        <v>217</v>
      </c>
      <c r="K113" s="59" t="s">
        <v>217</v>
      </c>
      <c r="L113" s="59" t="s">
        <v>177</v>
      </c>
      <c r="M113" s="303" t="s">
        <v>592</v>
      </c>
      <c r="N113" s="303">
        <v>1.95</v>
      </c>
      <c r="O113" s="303">
        <v>2.11</v>
      </c>
      <c r="P113" s="303">
        <v>2.17</v>
      </c>
      <c r="Q113" s="303">
        <v>2.17</v>
      </c>
      <c r="R113" s="303">
        <v>2.17</v>
      </c>
      <c r="S113" s="303">
        <v>2.17</v>
      </c>
      <c r="T113" s="303">
        <v>2.17</v>
      </c>
      <c r="U113" s="303">
        <v>2.17</v>
      </c>
      <c r="V113" s="303">
        <v>2.17</v>
      </c>
      <c r="W113" s="303">
        <v>2.17</v>
      </c>
      <c r="X113" s="303">
        <v>2.11</v>
      </c>
      <c r="Y113" s="303">
        <v>2.11</v>
      </c>
      <c r="Z113" s="303">
        <v>2.11</v>
      </c>
      <c r="AA113" s="303">
        <v>2.11</v>
      </c>
      <c r="AB113" s="304">
        <v>0.14000000000000001</v>
      </c>
      <c r="AC113" s="304">
        <v>0.14000000000000001</v>
      </c>
      <c r="AD113" s="304">
        <v>0.14000000000000001</v>
      </c>
      <c r="AE113" s="304">
        <v>0.14000000000000001</v>
      </c>
      <c r="AF113" s="304">
        <v>0.14000000000000001</v>
      </c>
      <c r="AG113" s="304">
        <v>0.14000000000000001</v>
      </c>
      <c r="AH113" s="304">
        <v>0.14000000000000001</v>
      </c>
      <c r="AI113" s="304">
        <v>0.14000000000000001</v>
      </c>
      <c r="AJ113" s="304">
        <v>0.14000000000000001</v>
      </c>
      <c r="AK113" s="304">
        <v>0.18</v>
      </c>
      <c r="AL113" s="304">
        <v>0.18</v>
      </c>
      <c r="AM113" s="304">
        <v>0.18</v>
      </c>
      <c r="AN113" s="304">
        <v>0.18</v>
      </c>
      <c r="AO113" s="255">
        <v>3000</v>
      </c>
      <c r="AP113" s="254">
        <f t="shared" si="39"/>
        <v>420.00000000000006</v>
      </c>
      <c r="AQ113" s="255">
        <v>3140</v>
      </c>
      <c r="AR113" s="254">
        <f t="shared" si="40"/>
        <v>439.6</v>
      </c>
      <c r="AS113" s="255">
        <v>2520</v>
      </c>
      <c r="AT113" s="254">
        <f t="shared" si="41"/>
        <v>352.8</v>
      </c>
      <c r="AU113" s="255">
        <v>4080</v>
      </c>
      <c r="AV113" s="257">
        <f t="shared" si="42"/>
        <v>571.20000000000005</v>
      </c>
      <c r="AW113" s="381">
        <v>3360</v>
      </c>
      <c r="AX113" s="257">
        <f t="shared" si="43"/>
        <v>470.40000000000003</v>
      </c>
      <c r="AY113" s="388">
        <v>4440</v>
      </c>
      <c r="AZ113" s="257">
        <f t="shared" si="44"/>
        <v>621.6</v>
      </c>
      <c r="BA113" s="255">
        <v>3320</v>
      </c>
      <c r="BB113" s="257">
        <f t="shared" si="45"/>
        <v>464.80000000000007</v>
      </c>
      <c r="BC113" s="255">
        <v>2760</v>
      </c>
      <c r="BD113" s="257">
        <f t="shared" si="46"/>
        <v>386.40000000000003</v>
      </c>
      <c r="BE113" s="255">
        <v>1320</v>
      </c>
      <c r="BF113" s="257">
        <f t="shared" si="52"/>
        <v>237.6</v>
      </c>
      <c r="BG113" s="255">
        <v>1680</v>
      </c>
      <c r="BH113" s="257">
        <f t="shared" si="47"/>
        <v>302.39999999999998</v>
      </c>
      <c r="BI113" s="255">
        <v>2280</v>
      </c>
      <c r="BJ113" s="257">
        <f t="shared" si="48"/>
        <v>410.4</v>
      </c>
      <c r="BK113" s="255">
        <v>2160</v>
      </c>
      <c r="BL113" s="257">
        <f t="shared" si="11"/>
        <v>388.8</v>
      </c>
      <c r="BM113" s="1" t="s">
        <v>603</v>
      </c>
      <c r="BO113" s="1" t="s">
        <v>457</v>
      </c>
      <c r="BP113" s="1" t="s">
        <v>604</v>
      </c>
    </row>
    <row r="114" spans="1:68" ht="17.25" customHeight="1">
      <c r="A114" s="250" t="s">
        <v>451</v>
      </c>
      <c r="B114" s="59" t="s">
        <v>363</v>
      </c>
      <c r="C114" s="354" t="s">
        <v>172</v>
      </c>
      <c r="D114" s="424"/>
      <c r="E114" s="357" t="s">
        <v>214</v>
      </c>
      <c r="F114" s="421"/>
      <c r="G114" s="317">
        <v>2021</v>
      </c>
      <c r="H114" s="59" t="s">
        <v>365</v>
      </c>
      <c r="I114" s="315" t="s">
        <v>220</v>
      </c>
      <c r="J114" s="318" t="s">
        <v>217</v>
      </c>
      <c r="K114" s="59" t="s">
        <v>217</v>
      </c>
      <c r="L114" s="59" t="s">
        <v>177</v>
      </c>
      <c r="M114" s="303" t="s">
        <v>455</v>
      </c>
      <c r="N114" s="303">
        <v>1.95</v>
      </c>
      <c r="O114" s="303">
        <v>2.11</v>
      </c>
      <c r="P114" s="303">
        <v>2.17</v>
      </c>
      <c r="Q114" s="303">
        <v>2.17</v>
      </c>
      <c r="R114" s="303">
        <v>2.17</v>
      </c>
      <c r="S114" s="303">
        <v>2.17</v>
      </c>
      <c r="T114" s="303">
        <v>2.17</v>
      </c>
      <c r="U114" s="303">
        <v>2.17</v>
      </c>
      <c r="V114" s="303">
        <v>2.17</v>
      </c>
      <c r="W114" s="303">
        <v>2.17</v>
      </c>
      <c r="X114" s="303">
        <v>2.11</v>
      </c>
      <c r="Y114" s="303">
        <v>2.11</v>
      </c>
      <c r="Z114" s="303">
        <v>2.11</v>
      </c>
      <c r="AA114" s="303">
        <v>2.11</v>
      </c>
      <c r="AB114" s="304">
        <v>0.14000000000000001</v>
      </c>
      <c r="AC114" s="304">
        <v>0.14000000000000001</v>
      </c>
      <c r="AD114" s="304">
        <v>0.14000000000000001</v>
      </c>
      <c r="AE114" s="304">
        <v>0.14000000000000001</v>
      </c>
      <c r="AF114" s="304">
        <v>0.14000000000000001</v>
      </c>
      <c r="AG114" s="304">
        <v>0.14000000000000001</v>
      </c>
      <c r="AH114" s="304">
        <v>0.14000000000000001</v>
      </c>
      <c r="AI114" s="304">
        <v>0.14000000000000001</v>
      </c>
      <c r="AJ114" s="304">
        <v>0.14000000000000001</v>
      </c>
      <c r="AK114" s="304">
        <v>0.18</v>
      </c>
      <c r="AL114" s="304">
        <v>0.18</v>
      </c>
      <c r="AM114" s="304">
        <v>0.18</v>
      </c>
      <c r="AN114" s="304">
        <v>0.18</v>
      </c>
      <c r="AO114" s="255">
        <v>4320</v>
      </c>
      <c r="AP114" s="254">
        <f t="shared" si="39"/>
        <v>604.80000000000007</v>
      </c>
      <c r="AQ114" s="255">
        <v>9360</v>
      </c>
      <c r="AR114" s="254">
        <f t="shared" si="40"/>
        <v>1310.4000000000001</v>
      </c>
      <c r="AS114" s="255">
        <v>4320</v>
      </c>
      <c r="AT114" s="254">
        <f t="shared" si="41"/>
        <v>604.80000000000007</v>
      </c>
      <c r="AU114" s="255">
        <v>7440</v>
      </c>
      <c r="AV114" s="257">
        <f t="shared" si="42"/>
        <v>1041.6000000000001</v>
      </c>
      <c r="AW114" s="381">
        <v>6200</v>
      </c>
      <c r="AX114" s="257">
        <f t="shared" si="43"/>
        <v>868.00000000000011</v>
      </c>
      <c r="AY114" s="388">
        <v>8469</v>
      </c>
      <c r="AZ114" s="257">
        <f t="shared" si="44"/>
        <v>1185.6600000000001</v>
      </c>
      <c r="BA114" s="255">
        <v>4080</v>
      </c>
      <c r="BB114" s="257">
        <f t="shared" si="45"/>
        <v>571.20000000000005</v>
      </c>
      <c r="BC114" s="255">
        <v>6720</v>
      </c>
      <c r="BD114" s="257">
        <f t="shared" si="46"/>
        <v>940.80000000000007</v>
      </c>
      <c r="BE114" s="255">
        <v>5280</v>
      </c>
      <c r="BF114" s="257">
        <f t="shared" si="52"/>
        <v>950.4</v>
      </c>
      <c r="BG114" s="255">
        <v>4080</v>
      </c>
      <c r="BH114" s="257">
        <f t="shared" si="47"/>
        <v>734.4</v>
      </c>
      <c r="BI114" s="255">
        <v>3600</v>
      </c>
      <c r="BJ114" s="257">
        <f t="shared" si="48"/>
        <v>648</v>
      </c>
      <c r="BK114" s="255">
        <v>1960</v>
      </c>
      <c r="BL114" s="257">
        <f t="shared" si="11"/>
        <v>352.8</v>
      </c>
      <c r="BM114" s="1" t="s">
        <v>603</v>
      </c>
      <c r="BO114" s="1" t="s">
        <v>457</v>
      </c>
      <c r="BP114" s="1" t="s">
        <v>604</v>
      </c>
    </row>
    <row r="115" spans="1:68" ht="17.25" customHeight="1">
      <c r="A115" s="250" t="s">
        <v>451</v>
      </c>
      <c r="B115" s="59" t="s">
        <v>363</v>
      </c>
      <c r="C115" s="354" t="s">
        <v>172</v>
      </c>
      <c r="D115" s="424"/>
      <c r="E115" s="357" t="s">
        <v>214</v>
      </c>
      <c r="F115" s="421"/>
      <c r="G115" s="317">
        <v>2021</v>
      </c>
      <c r="H115" s="59" t="s">
        <v>365</v>
      </c>
      <c r="I115" s="315" t="s">
        <v>220</v>
      </c>
      <c r="J115" s="318" t="s">
        <v>217</v>
      </c>
      <c r="K115" s="59" t="s">
        <v>217</v>
      </c>
      <c r="L115" s="59" t="s">
        <v>177</v>
      </c>
      <c r="M115" s="303" t="s">
        <v>595</v>
      </c>
      <c r="N115" s="303">
        <v>1.95</v>
      </c>
      <c r="O115" s="303">
        <v>2.11</v>
      </c>
      <c r="P115" s="303">
        <v>2.17</v>
      </c>
      <c r="Q115" s="303">
        <v>2.17</v>
      </c>
      <c r="R115" s="303">
        <v>2.17</v>
      </c>
      <c r="S115" s="303">
        <v>2.17</v>
      </c>
      <c r="T115" s="303">
        <v>2.17</v>
      </c>
      <c r="U115" s="303">
        <v>2.17</v>
      </c>
      <c r="V115" s="303">
        <v>2.17</v>
      </c>
      <c r="W115" s="303">
        <v>2.17</v>
      </c>
      <c r="X115" s="303">
        <v>2.11</v>
      </c>
      <c r="Y115" s="303">
        <v>2.11</v>
      </c>
      <c r="Z115" s="303">
        <v>2.11</v>
      </c>
      <c r="AA115" s="303">
        <v>2.11</v>
      </c>
      <c r="AB115" s="304">
        <v>0.14000000000000001</v>
      </c>
      <c r="AC115" s="304">
        <v>0.14000000000000001</v>
      </c>
      <c r="AD115" s="304">
        <v>0.14000000000000001</v>
      </c>
      <c r="AE115" s="304">
        <v>0.14000000000000001</v>
      </c>
      <c r="AF115" s="304">
        <v>0.14000000000000001</v>
      </c>
      <c r="AG115" s="304">
        <v>0.14000000000000001</v>
      </c>
      <c r="AH115" s="304">
        <v>0.14000000000000001</v>
      </c>
      <c r="AI115" s="304">
        <v>0.14000000000000001</v>
      </c>
      <c r="AJ115" s="304">
        <v>0.14000000000000001</v>
      </c>
      <c r="AK115" s="304">
        <v>0.18</v>
      </c>
      <c r="AL115" s="304">
        <v>0.18</v>
      </c>
      <c r="AM115" s="304">
        <v>0.18</v>
      </c>
      <c r="AN115" s="304">
        <v>0.18</v>
      </c>
      <c r="AO115" s="255">
        <v>6680</v>
      </c>
      <c r="AP115" s="254">
        <f t="shared" si="39"/>
        <v>935.2</v>
      </c>
      <c r="AQ115" s="255">
        <v>10920</v>
      </c>
      <c r="AR115" s="254">
        <f t="shared" si="40"/>
        <v>1528.8000000000002</v>
      </c>
      <c r="AS115" s="255">
        <v>2880</v>
      </c>
      <c r="AT115" s="254">
        <f t="shared" si="41"/>
        <v>403.20000000000005</v>
      </c>
      <c r="AU115" s="255">
        <v>5600</v>
      </c>
      <c r="AV115" s="257">
        <f t="shared" si="42"/>
        <v>784.00000000000011</v>
      </c>
      <c r="AW115" s="381">
        <v>8880</v>
      </c>
      <c r="AX115" s="257">
        <f t="shared" si="43"/>
        <v>1243.2</v>
      </c>
      <c r="AY115" s="388">
        <v>3240</v>
      </c>
      <c r="AZ115" s="257">
        <f t="shared" si="44"/>
        <v>453.6</v>
      </c>
      <c r="BA115" s="255">
        <v>3475</v>
      </c>
      <c r="BB115" s="257">
        <f t="shared" si="45"/>
        <v>486.50000000000006</v>
      </c>
      <c r="BC115" s="255">
        <v>2760</v>
      </c>
      <c r="BD115" s="257">
        <f t="shared" si="46"/>
        <v>386.40000000000003</v>
      </c>
      <c r="BE115" s="255">
        <v>1200</v>
      </c>
      <c r="BF115" s="257">
        <f t="shared" si="52"/>
        <v>216</v>
      </c>
      <c r="BG115" s="255">
        <v>840</v>
      </c>
      <c r="BH115" s="257">
        <f t="shared" si="47"/>
        <v>151.19999999999999</v>
      </c>
      <c r="BI115" s="255">
        <v>1560</v>
      </c>
      <c r="BJ115" s="257">
        <f t="shared" si="48"/>
        <v>280.8</v>
      </c>
      <c r="BK115" s="255">
        <v>1800</v>
      </c>
      <c r="BL115" s="257">
        <f t="shared" si="11"/>
        <v>324</v>
      </c>
      <c r="BM115" s="1" t="s">
        <v>603</v>
      </c>
      <c r="BO115" s="1" t="s">
        <v>457</v>
      </c>
      <c r="BP115" s="1" t="s">
        <v>604</v>
      </c>
    </row>
    <row r="116" spans="1:68" ht="17.25" customHeight="1">
      <c r="A116" s="250" t="s">
        <v>451</v>
      </c>
      <c r="B116" s="59" t="s">
        <v>363</v>
      </c>
      <c r="C116" s="354" t="s">
        <v>172</v>
      </c>
      <c r="D116" s="424"/>
      <c r="E116" s="357" t="s">
        <v>214</v>
      </c>
      <c r="F116" s="421"/>
      <c r="G116" s="317">
        <v>2021</v>
      </c>
      <c r="H116" s="59" t="s">
        <v>365</v>
      </c>
      <c r="I116" s="315" t="s">
        <v>220</v>
      </c>
      <c r="J116" s="318" t="s">
        <v>217</v>
      </c>
      <c r="K116" s="59" t="s">
        <v>217</v>
      </c>
      <c r="L116" s="59" t="s">
        <v>177</v>
      </c>
      <c r="M116" s="303" t="s">
        <v>597</v>
      </c>
      <c r="N116" s="303">
        <v>1.95</v>
      </c>
      <c r="O116" s="303">
        <v>2.11</v>
      </c>
      <c r="P116" s="303">
        <v>2.17</v>
      </c>
      <c r="Q116" s="303">
        <v>2.17</v>
      </c>
      <c r="R116" s="303">
        <v>2.17</v>
      </c>
      <c r="S116" s="303">
        <v>2.17</v>
      </c>
      <c r="T116" s="303">
        <v>2.17</v>
      </c>
      <c r="U116" s="303">
        <v>2.17</v>
      </c>
      <c r="V116" s="303">
        <v>2.17</v>
      </c>
      <c r="W116" s="303">
        <v>2.17</v>
      </c>
      <c r="X116" s="303">
        <v>2.11</v>
      </c>
      <c r="Y116" s="303">
        <v>2.11</v>
      </c>
      <c r="Z116" s="303">
        <v>2.11</v>
      </c>
      <c r="AA116" s="303">
        <v>2.11</v>
      </c>
      <c r="AB116" s="304">
        <v>0.14000000000000001</v>
      </c>
      <c r="AC116" s="304">
        <v>0.14000000000000001</v>
      </c>
      <c r="AD116" s="304">
        <v>0.14000000000000001</v>
      </c>
      <c r="AE116" s="304">
        <v>0.14000000000000001</v>
      </c>
      <c r="AF116" s="304">
        <v>0.14000000000000001</v>
      </c>
      <c r="AG116" s="304">
        <v>0.14000000000000001</v>
      </c>
      <c r="AH116" s="304">
        <v>0.14000000000000001</v>
      </c>
      <c r="AI116" s="304">
        <v>0.14000000000000001</v>
      </c>
      <c r="AJ116" s="304">
        <v>0.14000000000000001</v>
      </c>
      <c r="AK116" s="304">
        <v>0.18</v>
      </c>
      <c r="AL116" s="304">
        <v>0.18</v>
      </c>
      <c r="AM116" s="304">
        <v>0.18</v>
      </c>
      <c r="AN116" s="304">
        <v>0.18</v>
      </c>
      <c r="AO116" s="255">
        <v>7320</v>
      </c>
      <c r="AP116" s="254">
        <f t="shared" si="39"/>
        <v>1024.8000000000002</v>
      </c>
      <c r="AQ116" s="255">
        <v>4440</v>
      </c>
      <c r="AR116" s="254">
        <f t="shared" si="40"/>
        <v>621.6</v>
      </c>
      <c r="AS116" s="255">
        <v>2160</v>
      </c>
      <c r="AT116" s="254">
        <f t="shared" si="41"/>
        <v>302.40000000000003</v>
      </c>
      <c r="AU116" s="255">
        <v>3720</v>
      </c>
      <c r="AV116" s="257">
        <f t="shared" si="42"/>
        <v>520.80000000000007</v>
      </c>
      <c r="AW116" s="381">
        <v>4320</v>
      </c>
      <c r="AX116" s="257">
        <f t="shared" si="43"/>
        <v>604.80000000000007</v>
      </c>
      <c r="AY116" s="388">
        <v>3960</v>
      </c>
      <c r="AZ116" s="257">
        <f t="shared" si="44"/>
        <v>554.40000000000009</v>
      </c>
      <c r="BA116" s="255">
        <v>3960</v>
      </c>
      <c r="BB116" s="257">
        <f t="shared" si="45"/>
        <v>554.40000000000009</v>
      </c>
      <c r="BC116" s="255">
        <v>3600</v>
      </c>
      <c r="BD116" s="257">
        <f t="shared" si="46"/>
        <v>504.00000000000006</v>
      </c>
      <c r="BE116" s="255">
        <v>3720</v>
      </c>
      <c r="BF116" s="257">
        <f t="shared" si="52"/>
        <v>669.6</v>
      </c>
      <c r="BG116" s="255">
        <v>2760</v>
      </c>
      <c r="BH116" s="257">
        <f t="shared" si="47"/>
        <v>496.79999999999995</v>
      </c>
      <c r="BI116" s="255">
        <v>3720</v>
      </c>
      <c r="BJ116" s="257">
        <f t="shared" si="48"/>
        <v>669.6</v>
      </c>
      <c r="BK116" s="255">
        <v>3474</v>
      </c>
      <c r="BL116" s="257">
        <f t="shared" si="11"/>
        <v>625.31999999999994</v>
      </c>
      <c r="BM116" s="1" t="s">
        <v>603</v>
      </c>
      <c r="BO116" s="1" t="s">
        <v>457</v>
      </c>
      <c r="BP116" s="1" t="s">
        <v>604</v>
      </c>
    </row>
    <row r="117" spans="1:68" ht="17.25" customHeight="1">
      <c r="A117" s="250" t="s">
        <v>451</v>
      </c>
      <c r="B117" s="59" t="s">
        <v>363</v>
      </c>
      <c r="C117" s="354" t="s">
        <v>172</v>
      </c>
      <c r="D117" s="424"/>
      <c r="E117" s="357" t="s">
        <v>214</v>
      </c>
      <c r="F117" s="421"/>
      <c r="G117" s="317">
        <v>2021</v>
      </c>
      <c r="H117" s="59" t="s">
        <v>365</v>
      </c>
      <c r="I117" s="315" t="s">
        <v>220</v>
      </c>
      <c r="J117" s="318" t="s">
        <v>217</v>
      </c>
      <c r="K117" s="59" t="s">
        <v>217</v>
      </c>
      <c r="L117" s="59" t="s">
        <v>177</v>
      </c>
      <c r="M117" s="303" t="s">
        <v>598</v>
      </c>
      <c r="N117" s="303">
        <v>1.95</v>
      </c>
      <c r="O117" s="303">
        <v>2.11</v>
      </c>
      <c r="P117" s="303">
        <v>2.17</v>
      </c>
      <c r="Q117" s="303">
        <v>2.17</v>
      </c>
      <c r="R117" s="303">
        <v>2.17</v>
      </c>
      <c r="S117" s="303">
        <v>2.17</v>
      </c>
      <c r="T117" s="303">
        <v>2.17</v>
      </c>
      <c r="U117" s="303">
        <v>2.17</v>
      </c>
      <c r="V117" s="303">
        <v>2.17</v>
      </c>
      <c r="W117" s="303">
        <v>2.17</v>
      </c>
      <c r="X117" s="303">
        <v>2.11</v>
      </c>
      <c r="Y117" s="303">
        <v>2.11</v>
      </c>
      <c r="Z117" s="303">
        <v>2.11</v>
      </c>
      <c r="AA117" s="303">
        <v>2.11</v>
      </c>
      <c r="AB117" s="304">
        <v>0.14000000000000001</v>
      </c>
      <c r="AC117" s="304">
        <v>0.14000000000000001</v>
      </c>
      <c r="AD117" s="304">
        <v>0.14000000000000001</v>
      </c>
      <c r="AE117" s="304">
        <v>0.14000000000000001</v>
      </c>
      <c r="AF117" s="304">
        <v>0.14000000000000001</v>
      </c>
      <c r="AG117" s="304">
        <v>0.14000000000000001</v>
      </c>
      <c r="AH117" s="304">
        <v>0.14000000000000001</v>
      </c>
      <c r="AI117" s="304">
        <v>0.14000000000000001</v>
      </c>
      <c r="AJ117" s="304">
        <v>0.14000000000000001</v>
      </c>
      <c r="AK117" s="304">
        <v>0.18</v>
      </c>
      <c r="AL117" s="304">
        <v>0.18</v>
      </c>
      <c r="AM117" s="304">
        <v>0.18</v>
      </c>
      <c r="AN117" s="304">
        <v>0.18</v>
      </c>
      <c r="AO117" s="255">
        <v>840</v>
      </c>
      <c r="AP117" s="254">
        <f t="shared" si="39"/>
        <v>117.60000000000001</v>
      </c>
      <c r="AQ117" s="255">
        <v>2280</v>
      </c>
      <c r="AR117" s="254">
        <f t="shared" si="40"/>
        <v>319.20000000000005</v>
      </c>
      <c r="AS117" s="255">
        <v>240</v>
      </c>
      <c r="AT117" s="254">
        <f t="shared" si="41"/>
        <v>33.6</v>
      </c>
      <c r="AU117" s="255">
        <v>1200</v>
      </c>
      <c r="AV117" s="257">
        <f t="shared" si="42"/>
        <v>168.00000000000003</v>
      </c>
      <c r="AW117" s="381">
        <v>840</v>
      </c>
      <c r="AX117" s="257">
        <f t="shared" si="43"/>
        <v>117.60000000000001</v>
      </c>
      <c r="AY117" s="388">
        <v>480</v>
      </c>
      <c r="AZ117" s="257">
        <f t="shared" si="44"/>
        <v>67.2</v>
      </c>
      <c r="BA117" s="255">
        <v>3480</v>
      </c>
      <c r="BB117" s="257">
        <f t="shared" si="45"/>
        <v>487.20000000000005</v>
      </c>
      <c r="BC117" s="255">
        <v>3600</v>
      </c>
      <c r="BD117" s="257">
        <f t="shared" si="46"/>
        <v>504.00000000000006</v>
      </c>
      <c r="BE117" s="255">
        <v>1200</v>
      </c>
      <c r="BF117" s="257">
        <f t="shared" si="52"/>
        <v>216</v>
      </c>
      <c r="BG117" s="255">
        <v>4200</v>
      </c>
      <c r="BH117" s="257">
        <f t="shared" si="47"/>
        <v>756</v>
      </c>
      <c r="BI117" s="255">
        <v>1200</v>
      </c>
      <c r="BJ117" s="257">
        <f t="shared" si="48"/>
        <v>216</v>
      </c>
      <c r="BK117" s="255">
        <v>240</v>
      </c>
      <c r="BL117" s="257">
        <f t="shared" si="11"/>
        <v>43.199999999999996</v>
      </c>
      <c r="BM117" s="1" t="s">
        <v>603</v>
      </c>
      <c r="BO117" s="1" t="s">
        <v>457</v>
      </c>
      <c r="BP117" s="1" t="s">
        <v>604</v>
      </c>
    </row>
    <row r="118" spans="1:68" ht="17.25" customHeight="1">
      <c r="A118" s="250" t="s">
        <v>451</v>
      </c>
      <c r="B118" s="59" t="s">
        <v>363</v>
      </c>
      <c r="C118" s="354" t="s">
        <v>172</v>
      </c>
      <c r="D118" s="424"/>
      <c r="E118" s="357" t="s">
        <v>214</v>
      </c>
      <c r="F118" s="421"/>
      <c r="G118" s="317">
        <v>2021</v>
      </c>
      <c r="H118" s="59" t="s">
        <v>365</v>
      </c>
      <c r="I118" s="315" t="s">
        <v>220</v>
      </c>
      <c r="J118" s="318" t="s">
        <v>217</v>
      </c>
      <c r="K118" s="59" t="s">
        <v>217</v>
      </c>
      <c r="L118" s="59" t="s">
        <v>177</v>
      </c>
      <c r="M118" s="303" t="s">
        <v>599</v>
      </c>
      <c r="N118" s="303">
        <v>1.95</v>
      </c>
      <c r="O118" s="303">
        <v>2.11</v>
      </c>
      <c r="P118" s="303">
        <v>2.17</v>
      </c>
      <c r="Q118" s="303">
        <v>2.17</v>
      </c>
      <c r="R118" s="303">
        <v>2.17</v>
      </c>
      <c r="S118" s="303">
        <v>2.17</v>
      </c>
      <c r="T118" s="303">
        <v>2.17</v>
      </c>
      <c r="U118" s="303">
        <v>2.17</v>
      </c>
      <c r="V118" s="303">
        <v>2.17</v>
      </c>
      <c r="W118" s="303">
        <v>2.17</v>
      </c>
      <c r="X118" s="303">
        <v>2.11</v>
      </c>
      <c r="Y118" s="303">
        <v>2.11</v>
      </c>
      <c r="Z118" s="303">
        <v>2.11</v>
      </c>
      <c r="AA118" s="303">
        <v>2.11</v>
      </c>
      <c r="AB118" s="304">
        <v>0.14000000000000001</v>
      </c>
      <c r="AC118" s="304">
        <v>0.14000000000000001</v>
      </c>
      <c r="AD118" s="304">
        <v>0.14000000000000001</v>
      </c>
      <c r="AE118" s="304">
        <v>0.14000000000000001</v>
      </c>
      <c r="AF118" s="304">
        <v>0.14000000000000001</v>
      </c>
      <c r="AG118" s="304">
        <v>0.14000000000000001</v>
      </c>
      <c r="AH118" s="304">
        <v>0.14000000000000001</v>
      </c>
      <c r="AI118" s="304">
        <v>0.14000000000000001</v>
      </c>
      <c r="AJ118" s="304">
        <v>0.14000000000000001</v>
      </c>
      <c r="AK118" s="304">
        <v>0.18</v>
      </c>
      <c r="AL118" s="304">
        <v>0.18</v>
      </c>
      <c r="AM118" s="304">
        <v>0.18</v>
      </c>
      <c r="AN118" s="304">
        <v>0.18</v>
      </c>
      <c r="AO118" s="255"/>
      <c r="AP118" s="254">
        <f t="shared" si="39"/>
        <v>0</v>
      </c>
      <c r="AQ118" s="255"/>
      <c r="AR118" s="254">
        <f t="shared" si="40"/>
        <v>0</v>
      </c>
      <c r="AS118" s="255"/>
      <c r="AT118" s="254">
        <f t="shared" si="41"/>
        <v>0</v>
      </c>
      <c r="AU118" s="255"/>
      <c r="AV118" s="257">
        <f t="shared" si="42"/>
        <v>0</v>
      </c>
      <c r="AW118" s="381"/>
      <c r="AX118" s="257">
        <f t="shared" si="43"/>
        <v>0</v>
      </c>
      <c r="AY118" s="388"/>
      <c r="AZ118" s="257">
        <f t="shared" si="44"/>
        <v>0</v>
      </c>
      <c r="BA118" s="255">
        <v>120</v>
      </c>
      <c r="BB118" s="257">
        <f t="shared" si="45"/>
        <v>16.8</v>
      </c>
      <c r="BC118" s="255"/>
      <c r="BD118" s="257">
        <f t="shared" si="46"/>
        <v>0</v>
      </c>
      <c r="BE118" s="255"/>
      <c r="BF118" s="257">
        <f t="shared" si="52"/>
        <v>0</v>
      </c>
      <c r="BG118" s="255"/>
      <c r="BH118" s="257">
        <f t="shared" si="47"/>
        <v>0</v>
      </c>
      <c r="BI118" s="255"/>
      <c r="BJ118" s="257">
        <f t="shared" si="48"/>
        <v>0</v>
      </c>
      <c r="BK118" s="255">
        <v>120</v>
      </c>
      <c r="BL118" s="257">
        <f t="shared" si="11"/>
        <v>21.599999999999998</v>
      </c>
      <c r="BM118" s="1" t="s">
        <v>603</v>
      </c>
      <c r="BO118" s="1" t="s">
        <v>457</v>
      </c>
      <c r="BP118" s="1" t="s">
        <v>604</v>
      </c>
    </row>
    <row r="119" spans="1:68" ht="17.25" customHeight="1">
      <c r="A119" s="250" t="s">
        <v>451</v>
      </c>
      <c r="B119" s="59" t="s">
        <v>363</v>
      </c>
      <c r="C119" s="354" t="s">
        <v>172</v>
      </c>
      <c r="D119" s="424"/>
      <c r="E119" s="357" t="s">
        <v>214</v>
      </c>
      <c r="F119" s="421"/>
      <c r="G119" s="317">
        <v>2021</v>
      </c>
      <c r="H119" s="59" t="s">
        <v>365</v>
      </c>
      <c r="I119" s="315" t="s">
        <v>220</v>
      </c>
      <c r="J119" s="318" t="s">
        <v>217</v>
      </c>
      <c r="K119" s="59" t="s">
        <v>217</v>
      </c>
      <c r="L119" s="59" t="s">
        <v>177</v>
      </c>
      <c r="M119" s="303" t="s">
        <v>601</v>
      </c>
      <c r="N119" s="303">
        <v>1.95</v>
      </c>
      <c r="O119" s="303">
        <v>2.21</v>
      </c>
      <c r="P119" s="303">
        <v>2.27</v>
      </c>
      <c r="Q119" s="303">
        <v>2.27</v>
      </c>
      <c r="R119" s="303">
        <v>2.27</v>
      </c>
      <c r="S119" s="303">
        <v>2.27</v>
      </c>
      <c r="T119" s="303">
        <v>2.27</v>
      </c>
      <c r="U119" s="303">
        <v>2.27</v>
      </c>
      <c r="V119" s="303">
        <v>2.27</v>
      </c>
      <c r="W119" s="303">
        <v>2.27</v>
      </c>
      <c r="X119" s="303">
        <v>2.21</v>
      </c>
      <c r="Y119" s="303">
        <v>2.21</v>
      </c>
      <c r="Z119" s="303">
        <v>2.21</v>
      </c>
      <c r="AA119" s="303">
        <v>2.21</v>
      </c>
      <c r="AB119" s="304">
        <v>0.14000000000000001</v>
      </c>
      <c r="AC119" s="304">
        <v>0.14000000000000001</v>
      </c>
      <c r="AD119" s="304">
        <v>0.14000000000000001</v>
      </c>
      <c r="AE119" s="304">
        <v>0.14000000000000001</v>
      </c>
      <c r="AF119" s="304">
        <v>0.14000000000000001</v>
      </c>
      <c r="AG119" s="304">
        <v>0.14000000000000001</v>
      </c>
      <c r="AH119" s="304">
        <v>0.14000000000000001</v>
      </c>
      <c r="AI119" s="304">
        <v>0.14000000000000001</v>
      </c>
      <c r="AJ119" s="304">
        <v>0.14000000000000001</v>
      </c>
      <c r="AK119" s="304">
        <v>0.18</v>
      </c>
      <c r="AL119" s="304">
        <v>0.18</v>
      </c>
      <c r="AM119" s="304">
        <v>0.18</v>
      </c>
      <c r="AN119" s="304">
        <v>0.18</v>
      </c>
      <c r="AO119" s="255">
        <v>4320</v>
      </c>
      <c r="AP119" s="254">
        <f t="shared" si="39"/>
        <v>604.80000000000007</v>
      </c>
      <c r="AQ119" s="255">
        <v>5040</v>
      </c>
      <c r="AR119" s="254">
        <f t="shared" si="40"/>
        <v>705.6</v>
      </c>
      <c r="AS119" s="255">
        <v>4320</v>
      </c>
      <c r="AT119" s="254">
        <f t="shared" si="41"/>
        <v>604.80000000000007</v>
      </c>
      <c r="AU119" s="255">
        <v>4320</v>
      </c>
      <c r="AV119" s="257">
        <f t="shared" si="42"/>
        <v>604.80000000000007</v>
      </c>
      <c r="AW119" s="381">
        <v>6480</v>
      </c>
      <c r="AX119" s="257">
        <f t="shared" si="43"/>
        <v>907.2</v>
      </c>
      <c r="AY119" s="388">
        <v>4320</v>
      </c>
      <c r="AZ119" s="257">
        <f t="shared" si="44"/>
        <v>604.80000000000007</v>
      </c>
      <c r="BA119" s="255">
        <v>2160</v>
      </c>
      <c r="BB119" s="257">
        <f t="shared" si="45"/>
        <v>302.40000000000003</v>
      </c>
      <c r="BC119" s="255"/>
      <c r="BD119" s="257">
        <f t="shared" si="46"/>
        <v>0</v>
      </c>
      <c r="BE119" s="255">
        <v>2160</v>
      </c>
      <c r="BF119" s="257">
        <f t="shared" si="52"/>
        <v>388.8</v>
      </c>
      <c r="BG119" s="255">
        <v>4320</v>
      </c>
      <c r="BH119" s="257">
        <f t="shared" si="47"/>
        <v>777.6</v>
      </c>
      <c r="BI119" s="255"/>
      <c r="BJ119" s="257">
        <f t="shared" si="48"/>
        <v>0</v>
      </c>
      <c r="BK119" s="255"/>
      <c r="BL119" s="257">
        <f t="shared" si="11"/>
        <v>0</v>
      </c>
      <c r="BM119" s="1" t="s">
        <v>603</v>
      </c>
      <c r="BO119" s="1" t="s">
        <v>457</v>
      </c>
      <c r="BP119" s="1" t="s">
        <v>604</v>
      </c>
    </row>
    <row r="120" spans="1:68" ht="17.25" customHeight="1">
      <c r="A120" s="250" t="s">
        <v>451</v>
      </c>
      <c r="B120" s="59" t="s">
        <v>363</v>
      </c>
      <c r="C120" s="354" t="s">
        <v>172</v>
      </c>
      <c r="D120" s="424"/>
      <c r="E120" s="357" t="s">
        <v>214</v>
      </c>
      <c r="F120" s="421"/>
      <c r="G120" s="317">
        <v>2021</v>
      </c>
      <c r="H120" s="59" t="s">
        <v>365</v>
      </c>
      <c r="I120" s="315" t="s">
        <v>220</v>
      </c>
      <c r="J120" s="318" t="s">
        <v>217</v>
      </c>
      <c r="K120" s="59" t="s">
        <v>217</v>
      </c>
      <c r="L120" s="59" t="s">
        <v>177</v>
      </c>
      <c r="M120" s="303" t="s">
        <v>602</v>
      </c>
      <c r="N120" s="303">
        <v>1.95</v>
      </c>
      <c r="O120" s="303">
        <v>2.21</v>
      </c>
      <c r="P120" s="303">
        <v>2.27</v>
      </c>
      <c r="Q120" s="303">
        <v>2.27</v>
      </c>
      <c r="R120" s="303">
        <v>2.27</v>
      </c>
      <c r="S120" s="303">
        <v>2.27</v>
      </c>
      <c r="T120" s="303">
        <v>2.27</v>
      </c>
      <c r="U120" s="303">
        <v>2.27</v>
      </c>
      <c r="V120" s="303">
        <v>2.27</v>
      </c>
      <c r="W120" s="303">
        <v>2.27</v>
      </c>
      <c r="X120" s="303">
        <v>2.21</v>
      </c>
      <c r="Y120" s="303">
        <v>2.21</v>
      </c>
      <c r="Z120" s="303">
        <v>2.21</v>
      </c>
      <c r="AA120" s="303">
        <v>2.21</v>
      </c>
      <c r="AB120" s="304">
        <v>0.14000000000000001</v>
      </c>
      <c r="AC120" s="304">
        <v>0.14000000000000001</v>
      </c>
      <c r="AD120" s="304">
        <v>0.14000000000000001</v>
      </c>
      <c r="AE120" s="304">
        <v>0.14000000000000001</v>
      </c>
      <c r="AF120" s="304">
        <v>0.14000000000000001</v>
      </c>
      <c r="AG120" s="304">
        <v>0.14000000000000001</v>
      </c>
      <c r="AH120" s="304">
        <v>0.14000000000000001</v>
      </c>
      <c r="AI120" s="304">
        <v>0.14000000000000001</v>
      </c>
      <c r="AJ120" s="304">
        <v>0.14000000000000001</v>
      </c>
      <c r="AK120" s="304">
        <v>0.18</v>
      </c>
      <c r="AL120" s="304">
        <v>0.18</v>
      </c>
      <c r="AM120" s="304">
        <v>0.18</v>
      </c>
      <c r="AN120" s="304">
        <v>0.18</v>
      </c>
      <c r="AO120" s="255">
        <v>34560</v>
      </c>
      <c r="AP120" s="254">
        <f t="shared" si="39"/>
        <v>4838.4000000000005</v>
      </c>
      <c r="AQ120" s="255">
        <v>46080</v>
      </c>
      <c r="AR120" s="254">
        <f t="shared" si="40"/>
        <v>6451.2000000000007</v>
      </c>
      <c r="AS120" s="255">
        <v>23040</v>
      </c>
      <c r="AT120" s="254">
        <f t="shared" si="41"/>
        <v>3225.6000000000004</v>
      </c>
      <c r="AU120" s="255"/>
      <c r="AV120" s="257">
        <f t="shared" si="42"/>
        <v>0</v>
      </c>
      <c r="AW120" s="381">
        <v>25920</v>
      </c>
      <c r="AX120" s="257">
        <f t="shared" si="43"/>
        <v>3628.8</v>
      </c>
      <c r="AY120" s="388">
        <v>20160</v>
      </c>
      <c r="AZ120" s="257">
        <f t="shared" si="44"/>
        <v>2822.4</v>
      </c>
      <c r="BA120" s="255">
        <v>28800</v>
      </c>
      <c r="BB120" s="257">
        <f t="shared" si="45"/>
        <v>4032.0000000000005</v>
      </c>
      <c r="BC120" s="255">
        <v>11520</v>
      </c>
      <c r="BD120" s="257">
        <f t="shared" si="46"/>
        <v>1612.8000000000002</v>
      </c>
      <c r="BE120" s="255">
        <v>11520</v>
      </c>
      <c r="BF120" s="257">
        <f t="shared" si="52"/>
        <v>2073.6</v>
      </c>
      <c r="BG120" s="255">
        <v>11520</v>
      </c>
      <c r="BH120" s="257">
        <f t="shared" si="47"/>
        <v>2073.6</v>
      </c>
      <c r="BI120" s="255">
        <v>14400</v>
      </c>
      <c r="BJ120" s="257">
        <f t="shared" si="48"/>
        <v>2592</v>
      </c>
      <c r="BK120" s="255"/>
      <c r="BL120" s="257">
        <f t="shared" si="11"/>
        <v>0</v>
      </c>
      <c r="BM120" s="1" t="s">
        <v>603</v>
      </c>
      <c r="BO120" s="1" t="s">
        <v>457</v>
      </c>
      <c r="BP120" s="1" t="s">
        <v>604</v>
      </c>
    </row>
    <row r="121" spans="1:68" ht="15" customHeight="1">
      <c r="A121" s="250" t="s">
        <v>451</v>
      </c>
      <c r="B121" s="59" t="s">
        <v>363</v>
      </c>
      <c r="C121" s="354" t="s">
        <v>172</v>
      </c>
      <c r="D121" s="424"/>
      <c r="E121" s="357" t="s">
        <v>214</v>
      </c>
      <c r="F121" s="421"/>
      <c r="G121" s="317">
        <v>2022</v>
      </c>
      <c r="H121" s="59" t="s">
        <v>366</v>
      </c>
      <c r="I121" s="315" t="s">
        <v>357</v>
      </c>
      <c r="J121" s="318" t="s">
        <v>217</v>
      </c>
      <c r="K121" s="59" t="s">
        <v>217</v>
      </c>
      <c r="L121" s="59" t="s">
        <v>177</v>
      </c>
      <c r="M121" s="303" t="s">
        <v>592</v>
      </c>
      <c r="N121" s="303">
        <v>3.35</v>
      </c>
      <c r="O121" s="303">
        <v>3.63</v>
      </c>
      <c r="P121" s="303">
        <v>3.88</v>
      </c>
      <c r="Q121" s="303">
        <v>3.88</v>
      </c>
      <c r="R121" s="303">
        <v>3.88</v>
      </c>
      <c r="S121" s="303">
        <v>3.88</v>
      </c>
      <c r="T121" s="303">
        <v>3.88</v>
      </c>
      <c r="U121" s="303">
        <v>3.88</v>
      </c>
      <c r="V121" s="303">
        <v>3.88</v>
      </c>
      <c r="W121" s="303">
        <v>3.88</v>
      </c>
      <c r="X121" s="303">
        <v>3.63</v>
      </c>
      <c r="Y121" s="303">
        <v>3.63</v>
      </c>
      <c r="Z121" s="303">
        <v>3.63</v>
      </c>
      <c r="AA121" s="303">
        <v>3.63</v>
      </c>
      <c r="AB121" s="59">
        <v>0.08</v>
      </c>
      <c r="AC121" s="59">
        <v>0.23</v>
      </c>
      <c r="AD121" s="59">
        <v>0.23</v>
      </c>
      <c r="AE121" s="59">
        <v>0.23</v>
      </c>
      <c r="AF121" s="59">
        <v>0.23</v>
      </c>
      <c r="AG121" s="59">
        <v>0.23</v>
      </c>
      <c r="AH121" s="59">
        <v>0.23</v>
      </c>
      <c r="AI121" s="59">
        <v>0.23</v>
      </c>
      <c r="AJ121" s="59">
        <v>0.23</v>
      </c>
      <c r="AK121" s="59">
        <v>0.08</v>
      </c>
      <c r="AL121" s="59">
        <v>0.08</v>
      </c>
      <c r="AM121" s="59">
        <v>0.08</v>
      </c>
      <c r="AN121" s="59">
        <v>0.08</v>
      </c>
      <c r="AO121" s="255">
        <v>11784</v>
      </c>
      <c r="AP121" s="254">
        <f t="shared" si="39"/>
        <v>2710.32</v>
      </c>
      <c r="AQ121" s="255">
        <v>13012</v>
      </c>
      <c r="AR121" s="254">
        <f t="shared" si="40"/>
        <v>2992.76</v>
      </c>
      <c r="AS121" s="255">
        <v>7248</v>
      </c>
      <c r="AT121" s="254">
        <f t="shared" si="41"/>
        <v>1667.04</v>
      </c>
      <c r="AU121" s="256">
        <v>7980</v>
      </c>
      <c r="AV121" s="257">
        <f t="shared" si="42"/>
        <v>1835.4</v>
      </c>
      <c r="AW121" s="382">
        <v>18060</v>
      </c>
      <c r="AX121" s="257">
        <f t="shared" si="43"/>
        <v>4153.8</v>
      </c>
      <c r="AY121" s="268">
        <v>3480</v>
      </c>
      <c r="AZ121" s="257">
        <f t="shared" si="44"/>
        <v>800.40000000000009</v>
      </c>
      <c r="BA121" s="270">
        <v>6864</v>
      </c>
      <c r="BB121" s="257">
        <f t="shared" si="45"/>
        <v>1578.72</v>
      </c>
      <c r="BC121" s="268">
        <v>15156</v>
      </c>
      <c r="BD121" s="257">
        <f t="shared" si="46"/>
        <v>3485.88</v>
      </c>
      <c r="BE121" s="268">
        <v>2760</v>
      </c>
      <c r="BF121" s="257">
        <f t="shared" si="52"/>
        <v>220.8</v>
      </c>
      <c r="BG121" s="256">
        <v>2460</v>
      </c>
      <c r="BH121" s="257">
        <f t="shared" si="47"/>
        <v>196.8</v>
      </c>
      <c r="BI121" s="268">
        <v>2724</v>
      </c>
      <c r="BJ121" s="257">
        <f t="shared" si="48"/>
        <v>217.92000000000002</v>
      </c>
      <c r="BK121" s="268">
        <v>5796</v>
      </c>
      <c r="BL121" s="257">
        <f t="shared" si="11"/>
        <v>463.68</v>
      </c>
      <c r="BM121" s="1" t="s">
        <v>605</v>
      </c>
      <c r="BO121" s="1" t="s">
        <v>457</v>
      </c>
      <c r="BP121" s="1" t="s">
        <v>606</v>
      </c>
    </row>
    <row r="122" spans="1:68" ht="15" customHeight="1">
      <c r="A122" s="250" t="s">
        <v>451</v>
      </c>
      <c r="B122" s="59" t="s">
        <v>363</v>
      </c>
      <c r="C122" s="354" t="s">
        <v>172</v>
      </c>
      <c r="D122" s="424"/>
      <c r="E122" s="357" t="s">
        <v>214</v>
      </c>
      <c r="F122" s="421"/>
      <c r="G122" s="317">
        <v>2022</v>
      </c>
      <c r="H122" s="59" t="s">
        <v>366</v>
      </c>
      <c r="I122" s="315" t="s">
        <v>357</v>
      </c>
      <c r="J122" s="318" t="s">
        <v>217</v>
      </c>
      <c r="K122" s="59" t="s">
        <v>217</v>
      </c>
      <c r="L122" s="59" t="s">
        <v>177</v>
      </c>
      <c r="M122" s="303" t="s">
        <v>455</v>
      </c>
      <c r="N122" s="303">
        <v>3.35</v>
      </c>
      <c r="O122" s="303">
        <v>3.63</v>
      </c>
      <c r="P122" s="303">
        <v>3.88</v>
      </c>
      <c r="Q122" s="303">
        <v>3.88</v>
      </c>
      <c r="R122" s="303">
        <v>3.88</v>
      </c>
      <c r="S122" s="303">
        <v>3.88</v>
      </c>
      <c r="T122" s="303">
        <v>3.88</v>
      </c>
      <c r="U122" s="303">
        <v>3.88</v>
      </c>
      <c r="V122" s="303">
        <v>3.88</v>
      </c>
      <c r="W122" s="303">
        <v>3.88</v>
      </c>
      <c r="X122" s="303">
        <v>3.63</v>
      </c>
      <c r="Y122" s="303">
        <v>3.63</v>
      </c>
      <c r="Z122" s="303">
        <v>3.63</v>
      </c>
      <c r="AA122" s="303">
        <v>3.63</v>
      </c>
      <c r="AB122" s="59">
        <v>0.08</v>
      </c>
      <c r="AC122" s="59">
        <v>0.23</v>
      </c>
      <c r="AD122" s="59">
        <v>0.23</v>
      </c>
      <c r="AE122" s="59">
        <v>0.23</v>
      </c>
      <c r="AF122" s="59">
        <v>0.23</v>
      </c>
      <c r="AG122" s="59">
        <v>0.23</v>
      </c>
      <c r="AH122" s="59">
        <v>0.23</v>
      </c>
      <c r="AI122" s="59">
        <v>0.23</v>
      </c>
      <c r="AJ122" s="59">
        <v>0.23</v>
      </c>
      <c r="AK122" s="59">
        <v>0.08</v>
      </c>
      <c r="AL122" s="59">
        <v>0.08</v>
      </c>
      <c r="AM122" s="59">
        <v>0.08</v>
      </c>
      <c r="AN122" s="59">
        <v>0.08</v>
      </c>
      <c r="AO122" s="255">
        <v>5884</v>
      </c>
      <c r="AP122" s="254">
        <f t="shared" si="39"/>
        <v>1353.3200000000002</v>
      </c>
      <c r="AQ122" s="255">
        <v>9388</v>
      </c>
      <c r="AR122" s="254">
        <f t="shared" si="40"/>
        <v>2159.2400000000002</v>
      </c>
      <c r="AS122" s="255">
        <v>7140</v>
      </c>
      <c r="AT122" s="254">
        <f t="shared" si="41"/>
        <v>1642.2</v>
      </c>
      <c r="AU122" s="256">
        <v>7184</v>
      </c>
      <c r="AV122" s="257">
        <f t="shared" si="42"/>
        <v>1652.3200000000002</v>
      </c>
      <c r="AW122" s="382">
        <v>12776</v>
      </c>
      <c r="AX122" s="257">
        <f t="shared" si="43"/>
        <v>2938.48</v>
      </c>
      <c r="AY122" s="268">
        <v>5368</v>
      </c>
      <c r="AZ122" s="257">
        <f t="shared" si="44"/>
        <v>1234.6400000000001</v>
      </c>
      <c r="BA122" s="270">
        <v>10500</v>
      </c>
      <c r="BB122" s="257">
        <f t="shared" si="45"/>
        <v>2415</v>
      </c>
      <c r="BC122" s="268">
        <v>16740</v>
      </c>
      <c r="BD122" s="257">
        <f t="shared" si="46"/>
        <v>3850.2000000000003</v>
      </c>
      <c r="BE122" s="268">
        <v>5220</v>
      </c>
      <c r="BF122" s="257">
        <f t="shared" si="52"/>
        <v>417.6</v>
      </c>
      <c r="BG122" s="256">
        <v>1848</v>
      </c>
      <c r="BH122" s="257">
        <f t="shared" si="47"/>
        <v>147.84</v>
      </c>
      <c r="BI122" s="268">
        <v>5832</v>
      </c>
      <c r="BJ122" s="257">
        <f t="shared" si="48"/>
        <v>466.56</v>
      </c>
      <c r="BK122" s="268">
        <v>2004</v>
      </c>
      <c r="BL122" s="257">
        <f t="shared" si="11"/>
        <v>160.32</v>
      </c>
      <c r="BM122" s="1" t="s">
        <v>605</v>
      </c>
      <c r="BO122" s="1" t="s">
        <v>457</v>
      </c>
      <c r="BP122" s="1" t="s">
        <v>606</v>
      </c>
    </row>
    <row r="123" spans="1:68" ht="15" customHeight="1">
      <c r="A123" s="250" t="s">
        <v>451</v>
      </c>
      <c r="B123" s="59" t="s">
        <v>363</v>
      </c>
      <c r="C123" s="354" t="s">
        <v>172</v>
      </c>
      <c r="D123" s="424"/>
      <c r="E123" s="357" t="s">
        <v>214</v>
      </c>
      <c r="F123" s="421"/>
      <c r="G123" s="317">
        <v>2022</v>
      </c>
      <c r="H123" s="59" t="s">
        <v>366</v>
      </c>
      <c r="I123" s="315" t="s">
        <v>357</v>
      </c>
      <c r="J123" s="318" t="s">
        <v>217</v>
      </c>
      <c r="K123" s="59" t="s">
        <v>217</v>
      </c>
      <c r="L123" s="59" t="s">
        <v>177</v>
      </c>
      <c r="M123" s="303" t="s">
        <v>595</v>
      </c>
      <c r="N123" s="303">
        <v>3.35</v>
      </c>
      <c r="O123" s="303">
        <v>3.71</v>
      </c>
      <c r="P123" s="303">
        <v>3.96</v>
      </c>
      <c r="Q123" s="303">
        <v>3.96</v>
      </c>
      <c r="R123" s="303">
        <v>3.96</v>
      </c>
      <c r="S123" s="303">
        <v>3.96</v>
      </c>
      <c r="T123" s="303">
        <v>3.96</v>
      </c>
      <c r="U123" s="303">
        <v>3.96</v>
      </c>
      <c r="V123" s="303">
        <v>3.96</v>
      </c>
      <c r="W123" s="303">
        <v>3.96</v>
      </c>
      <c r="X123" s="303">
        <v>3.71</v>
      </c>
      <c r="Y123" s="303">
        <v>3.71</v>
      </c>
      <c r="Z123" s="303">
        <v>3.71</v>
      </c>
      <c r="AA123" s="303">
        <v>3.71</v>
      </c>
      <c r="AB123" s="59">
        <v>0.08</v>
      </c>
      <c r="AC123" s="59">
        <v>0.23</v>
      </c>
      <c r="AD123" s="59">
        <v>0.23</v>
      </c>
      <c r="AE123" s="59">
        <v>0.23</v>
      </c>
      <c r="AF123" s="59">
        <v>0.23</v>
      </c>
      <c r="AG123" s="59">
        <v>0.23</v>
      </c>
      <c r="AH123" s="59">
        <v>0.23</v>
      </c>
      <c r="AI123" s="59">
        <v>0.23</v>
      </c>
      <c r="AJ123" s="59">
        <v>0.23</v>
      </c>
      <c r="AK123" s="59">
        <v>0.08</v>
      </c>
      <c r="AL123" s="59">
        <v>0.08</v>
      </c>
      <c r="AM123" s="59">
        <v>0.08</v>
      </c>
      <c r="AN123" s="59">
        <v>0.08</v>
      </c>
      <c r="AO123" s="255">
        <v>25020</v>
      </c>
      <c r="AP123" s="254">
        <f t="shared" si="39"/>
        <v>5754.6</v>
      </c>
      <c r="AQ123" s="255">
        <v>44788</v>
      </c>
      <c r="AR123" s="254">
        <f t="shared" si="40"/>
        <v>10301.24</v>
      </c>
      <c r="AS123" s="255">
        <v>23564</v>
      </c>
      <c r="AT123" s="254">
        <f t="shared" si="41"/>
        <v>5419.72</v>
      </c>
      <c r="AU123" s="256">
        <v>27804</v>
      </c>
      <c r="AV123" s="257">
        <f t="shared" si="42"/>
        <v>6394.92</v>
      </c>
      <c r="AW123" s="382">
        <v>46888</v>
      </c>
      <c r="AX123" s="257">
        <f t="shared" si="43"/>
        <v>10784.24</v>
      </c>
      <c r="AY123" s="268">
        <v>20280</v>
      </c>
      <c r="AZ123" s="257">
        <f t="shared" si="44"/>
        <v>4664.4000000000005</v>
      </c>
      <c r="BA123" s="270">
        <v>31164</v>
      </c>
      <c r="BB123" s="257">
        <f t="shared" si="45"/>
        <v>7167.72</v>
      </c>
      <c r="BC123" s="268">
        <v>43500</v>
      </c>
      <c r="BD123" s="257">
        <f t="shared" si="46"/>
        <v>10005</v>
      </c>
      <c r="BE123" s="268">
        <v>11316</v>
      </c>
      <c r="BF123" s="257">
        <f t="shared" si="52"/>
        <v>905.28</v>
      </c>
      <c r="BG123" s="256">
        <v>6816</v>
      </c>
      <c r="BH123" s="257">
        <f t="shared" si="47"/>
        <v>545.28</v>
      </c>
      <c r="BI123" s="268">
        <v>10164</v>
      </c>
      <c r="BJ123" s="257">
        <f t="shared" si="48"/>
        <v>813.12</v>
      </c>
      <c r="BK123" s="268">
        <v>3816</v>
      </c>
      <c r="BL123" s="257">
        <f t="shared" si="11"/>
        <v>305.28000000000003</v>
      </c>
      <c r="BM123" s="1" t="s">
        <v>605</v>
      </c>
      <c r="BO123" s="1" t="s">
        <v>457</v>
      </c>
      <c r="BP123" s="1" t="s">
        <v>607</v>
      </c>
    </row>
    <row r="124" spans="1:68" ht="15" customHeight="1">
      <c r="A124" s="250" t="s">
        <v>451</v>
      </c>
      <c r="B124" s="59" t="s">
        <v>363</v>
      </c>
      <c r="C124" s="354" t="s">
        <v>172</v>
      </c>
      <c r="D124" s="424"/>
      <c r="E124" s="357" t="s">
        <v>214</v>
      </c>
      <c r="F124" s="421"/>
      <c r="G124" s="317">
        <v>2022</v>
      </c>
      <c r="H124" s="59" t="s">
        <v>366</v>
      </c>
      <c r="I124" s="315" t="s">
        <v>357</v>
      </c>
      <c r="J124" s="318" t="s">
        <v>217</v>
      </c>
      <c r="K124" s="59" t="s">
        <v>217</v>
      </c>
      <c r="L124" s="59" t="s">
        <v>177</v>
      </c>
      <c r="M124" s="303" t="s">
        <v>597</v>
      </c>
      <c r="N124" s="303">
        <v>3.35</v>
      </c>
      <c r="O124" s="303">
        <v>3.63</v>
      </c>
      <c r="P124" s="303">
        <v>3.88</v>
      </c>
      <c r="Q124" s="303">
        <v>3.88</v>
      </c>
      <c r="R124" s="303">
        <v>3.88</v>
      </c>
      <c r="S124" s="303">
        <v>3.88</v>
      </c>
      <c r="T124" s="303">
        <v>3.88</v>
      </c>
      <c r="U124" s="303">
        <v>3.88</v>
      </c>
      <c r="V124" s="303">
        <v>3.88</v>
      </c>
      <c r="W124" s="303">
        <v>3.88</v>
      </c>
      <c r="X124" s="303">
        <v>3.63</v>
      </c>
      <c r="Y124" s="303">
        <v>3.63</v>
      </c>
      <c r="Z124" s="303">
        <v>3.63</v>
      </c>
      <c r="AA124" s="303">
        <v>3.63</v>
      </c>
      <c r="AB124" s="59">
        <v>0.08</v>
      </c>
      <c r="AC124" s="59">
        <v>0.23</v>
      </c>
      <c r="AD124" s="59">
        <v>0.23</v>
      </c>
      <c r="AE124" s="59">
        <v>0.23</v>
      </c>
      <c r="AF124" s="59">
        <v>0.23</v>
      </c>
      <c r="AG124" s="59">
        <v>0.23</v>
      </c>
      <c r="AH124" s="59">
        <v>0.23</v>
      </c>
      <c r="AI124" s="59">
        <v>0.23</v>
      </c>
      <c r="AJ124" s="59">
        <v>0.23</v>
      </c>
      <c r="AK124" s="59">
        <v>0.08</v>
      </c>
      <c r="AL124" s="59">
        <v>0.08</v>
      </c>
      <c r="AM124" s="59">
        <v>0.08</v>
      </c>
      <c r="AN124" s="59">
        <v>0.08</v>
      </c>
      <c r="AO124" s="255"/>
      <c r="AP124" s="254">
        <f t="shared" si="39"/>
        <v>0</v>
      </c>
      <c r="AQ124" s="255">
        <v>0</v>
      </c>
      <c r="AR124" s="254">
        <f t="shared" si="40"/>
        <v>0</v>
      </c>
      <c r="AS124" s="255"/>
      <c r="AT124" s="254">
        <f t="shared" si="41"/>
        <v>0</v>
      </c>
      <c r="AU124" s="256"/>
      <c r="AV124" s="257">
        <f t="shared" si="42"/>
        <v>0</v>
      </c>
      <c r="AW124" s="382"/>
      <c r="AX124" s="257">
        <f t="shared" si="43"/>
        <v>0</v>
      </c>
      <c r="AY124" s="268"/>
      <c r="AZ124" s="257">
        <f t="shared" si="44"/>
        <v>0</v>
      </c>
      <c r="BA124" s="270"/>
      <c r="BB124" s="257">
        <f t="shared" si="45"/>
        <v>0</v>
      </c>
      <c r="BC124" s="268"/>
      <c r="BD124" s="257">
        <f t="shared" si="46"/>
        <v>0</v>
      </c>
      <c r="BE124" s="268"/>
      <c r="BF124" s="257">
        <f t="shared" si="52"/>
        <v>0</v>
      </c>
      <c r="BG124" s="256"/>
      <c r="BH124" s="257">
        <f t="shared" si="47"/>
        <v>0</v>
      </c>
      <c r="BI124" s="268"/>
      <c r="BJ124" s="257">
        <f t="shared" si="48"/>
        <v>0</v>
      </c>
      <c r="BK124" s="268"/>
      <c r="BL124" s="257">
        <f t="shared" si="11"/>
        <v>0</v>
      </c>
      <c r="BM124" s="1" t="s">
        <v>605</v>
      </c>
      <c r="BO124" s="1" t="s">
        <v>457</v>
      </c>
      <c r="BP124" s="1" t="s">
        <v>607</v>
      </c>
    </row>
    <row r="125" spans="1:68" ht="15" customHeight="1">
      <c r="A125" s="250" t="s">
        <v>451</v>
      </c>
      <c r="B125" s="59" t="s">
        <v>363</v>
      </c>
      <c r="C125" s="354" t="s">
        <v>172</v>
      </c>
      <c r="D125" s="424"/>
      <c r="E125" s="357" t="s">
        <v>214</v>
      </c>
      <c r="F125" s="421"/>
      <c r="G125" s="317">
        <v>2022</v>
      </c>
      <c r="H125" s="59" t="s">
        <v>366</v>
      </c>
      <c r="I125" s="315" t="s">
        <v>357</v>
      </c>
      <c r="J125" s="318" t="s">
        <v>217</v>
      </c>
      <c r="K125" s="59" t="s">
        <v>217</v>
      </c>
      <c r="L125" s="59" t="s">
        <v>177</v>
      </c>
      <c r="M125" s="303" t="s">
        <v>598</v>
      </c>
      <c r="N125" s="303">
        <v>3.35</v>
      </c>
      <c r="O125" s="303">
        <v>3.63</v>
      </c>
      <c r="P125" s="303">
        <v>3.88</v>
      </c>
      <c r="Q125" s="303">
        <v>3.88</v>
      </c>
      <c r="R125" s="303">
        <v>3.88</v>
      </c>
      <c r="S125" s="303">
        <v>3.88</v>
      </c>
      <c r="T125" s="303">
        <v>3.88</v>
      </c>
      <c r="U125" s="303">
        <v>3.88</v>
      </c>
      <c r="V125" s="303">
        <v>3.88</v>
      </c>
      <c r="W125" s="303">
        <v>3.88</v>
      </c>
      <c r="X125" s="303">
        <v>3.63</v>
      </c>
      <c r="Y125" s="303">
        <v>3.63</v>
      </c>
      <c r="Z125" s="303">
        <v>3.63</v>
      </c>
      <c r="AA125" s="303">
        <v>3.63</v>
      </c>
      <c r="AB125" s="59">
        <v>0.08</v>
      </c>
      <c r="AC125" s="59">
        <v>0.23</v>
      </c>
      <c r="AD125" s="59">
        <v>0.23</v>
      </c>
      <c r="AE125" s="59">
        <v>0.23</v>
      </c>
      <c r="AF125" s="59">
        <v>0.23</v>
      </c>
      <c r="AG125" s="59">
        <v>0.23</v>
      </c>
      <c r="AH125" s="59">
        <v>0.23</v>
      </c>
      <c r="AI125" s="59">
        <v>0.23</v>
      </c>
      <c r="AJ125" s="59">
        <v>0.23</v>
      </c>
      <c r="AK125" s="59">
        <v>0.08</v>
      </c>
      <c r="AL125" s="59">
        <v>0.08</v>
      </c>
      <c r="AM125" s="59">
        <v>0.08</v>
      </c>
      <c r="AN125" s="59">
        <v>0.08</v>
      </c>
      <c r="AO125" s="255">
        <v>6540</v>
      </c>
      <c r="AP125" s="254">
        <f t="shared" si="39"/>
        <v>1504.2</v>
      </c>
      <c r="AQ125" s="255">
        <v>6204</v>
      </c>
      <c r="AR125" s="254">
        <f t="shared" si="40"/>
        <v>1426.92</v>
      </c>
      <c r="AS125" s="255">
        <v>8616</v>
      </c>
      <c r="AT125" s="254">
        <f t="shared" si="41"/>
        <v>1981.68</v>
      </c>
      <c r="AU125" s="256">
        <v>12120</v>
      </c>
      <c r="AV125" s="257">
        <f t="shared" si="42"/>
        <v>2787.6</v>
      </c>
      <c r="AW125" s="382">
        <v>21996</v>
      </c>
      <c r="AX125" s="257">
        <f t="shared" si="43"/>
        <v>5059.08</v>
      </c>
      <c r="AY125" s="268">
        <v>12444</v>
      </c>
      <c r="AZ125" s="257">
        <f t="shared" si="44"/>
        <v>2862.1200000000003</v>
      </c>
      <c r="BA125" s="270">
        <v>6336</v>
      </c>
      <c r="BB125" s="257">
        <f t="shared" si="45"/>
        <v>1457.28</v>
      </c>
      <c r="BC125" s="268">
        <v>20472</v>
      </c>
      <c r="BD125" s="257">
        <f t="shared" si="46"/>
        <v>4708.5600000000004</v>
      </c>
      <c r="BE125" s="268">
        <v>16932</v>
      </c>
      <c r="BF125" s="257">
        <f t="shared" si="52"/>
        <v>1354.56</v>
      </c>
      <c r="BG125" s="256">
        <v>17184</v>
      </c>
      <c r="BH125" s="257">
        <f t="shared" si="47"/>
        <v>1374.72</v>
      </c>
      <c r="BI125" s="268">
        <v>19548</v>
      </c>
      <c r="BJ125" s="257">
        <f t="shared" si="48"/>
        <v>1563.8400000000001</v>
      </c>
      <c r="BK125" s="268">
        <v>7860</v>
      </c>
      <c r="BL125" s="257">
        <f t="shared" si="11"/>
        <v>628.80000000000007</v>
      </c>
      <c r="BM125" s="1" t="s">
        <v>605</v>
      </c>
      <c r="BO125" s="1" t="s">
        <v>457</v>
      </c>
      <c r="BP125" s="1" t="s">
        <v>607</v>
      </c>
    </row>
    <row r="126" spans="1:68" ht="15" customHeight="1">
      <c r="A126" s="250" t="s">
        <v>451</v>
      </c>
      <c r="B126" s="59" t="s">
        <v>363</v>
      </c>
      <c r="C126" s="354" t="s">
        <v>172</v>
      </c>
      <c r="D126" s="424"/>
      <c r="E126" s="357" t="s">
        <v>214</v>
      </c>
      <c r="F126" s="421"/>
      <c r="G126" s="317">
        <v>2022</v>
      </c>
      <c r="H126" s="59" t="s">
        <v>366</v>
      </c>
      <c r="I126" s="315" t="s">
        <v>357</v>
      </c>
      <c r="J126" s="318" t="s">
        <v>217</v>
      </c>
      <c r="K126" s="59" t="s">
        <v>217</v>
      </c>
      <c r="L126" s="59" t="s">
        <v>177</v>
      </c>
      <c r="M126" s="303" t="s">
        <v>599</v>
      </c>
      <c r="N126" s="303">
        <v>3.35</v>
      </c>
      <c r="O126" s="303">
        <v>3.63</v>
      </c>
      <c r="P126" s="303">
        <v>3.88</v>
      </c>
      <c r="Q126" s="303">
        <v>3.88</v>
      </c>
      <c r="R126" s="303">
        <v>3.88</v>
      </c>
      <c r="S126" s="303">
        <v>3.88</v>
      </c>
      <c r="T126" s="303">
        <v>3.88</v>
      </c>
      <c r="U126" s="303">
        <v>3.88</v>
      </c>
      <c r="V126" s="303">
        <v>3.88</v>
      </c>
      <c r="W126" s="303">
        <v>3.88</v>
      </c>
      <c r="X126" s="303">
        <v>3.63</v>
      </c>
      <c r="Y126" s="303">
        <v>3.63</v>
      </c>
      <c r="Z126" s="303">
        <v>3.63</v>
      </c>
      <c r="AA126" s="303">
        <v>3.63</v>
      </c>
      <c r="AB126" s="59">
        <v>0.08</v>
      </c>
      <c r="AC126" s="59">
        <v>0.23</v>
      </c>
      <c r="AD126" s="59">
        <v>0.23</v>
      </c>
      <c r="AE126" s="59">
        <v>0.23</v>
      </c>
      <c r="AF126" s="59">
        <v>0.23</v>
      </c>
      <c r="AG126" s="59">
        <v>0.23</v>
      </c>
      <c r="AH126" s="59">
        <v>0.23</v>
      </c>
      <c r="AI126" s="59">
        <v>0.23</v>
      </c>
      <c r="AJ126" s="59">
        <v>0.23</v>
      </c>
      <c r="AK126" s="59">
        <v>0.08</v>
      </c>
      <c r="AL126" s="59">
        <v>0.08</v>
      </c>
      <c r="AM126" s="59">
        <v>0.08</v>
      </c>
      <c r="AN126" s="59">
        <v>0.08</v>
      </c>
      <c r="AO126" s="255">
        <v>2268</v>
      </c>
      <c r="AP126" s="254">
        <f t="shared" si="39"/>
        <v>521.64</v>
      </c>
      <c r="AQ126" s="255">
        <v>1128</v>
      </c>
      <c r="AR126" s="254">
        <f t="shared" si="40"/>
        <v>259.44</v>
      </c>
      <c r="AS126" s="255">
        <v>120</v>
      </c>
      <c r="AT126" s="254">
        <f t="shared" si="41"/>
        <v>27.6</v>
      </c>
      <c r="AU126" s="256">
        <v>1140</v>
      </c>
      <c r="AV126" s="257">
        <f t="shared" si="42"/>
        <v>262.2</v>
      </c>
      <c r="AW126" s="382">
        <v>684</v>
      </c>
      <c r="AX126" s="257">
        <f t="shared" si="43"/>
        <v>157.32</v>
      </c>
      <c r="AY126" s="268">
        <v>744</v>
      </c>
      <c r="AZ126" s="257">
        <f t="shared" si="44"/>
        <v>171.12</v>
      </c>
      <c r="BA126" s="270">
        <v>588</v>
      </c>
      <c r="BB126" s="257">
        <f t="shared" si="45"/>
        <v>135.24</v>
      </c>
      <c r="BC126" s="268">
        <v>564</v>
      </c>
      <c r="BD126" s="257">
        <f t="shared" si="46"/>
        <v>129.72</v>
      </c>
      <c r="BE126" s="268">
        <v>1128</v>
      </c>
      <c r="BF126" s="257">
        <f t="shared" si="52"/>
        <v>90.24</v>
      </c>
      <c r="BG126" s="256">
        <v>372</v>
      </c>
      <c r="BH126" s="257">
        <f t="shared" si="47"/>
        <v>29.76</v>
      </c>
      <c r="BI126" s="268">
        <v>648</v>
      </c>
      <c r="BJ126" s="257">
        <f t="shared" si="48"/>
        <v>51.84</v>
      </c>
      <c r="BK126" s="268">
        <v>372</v>
      </c>
      <c r="BL126" s="257">
        <f t="shared" si="11"/>
        <v>29.76</v>
      </c>
      <c r="BM126" s="1" t="s">
        <v>605</v>
      </c>
      <c r="BO126" s="1" t="s">
        <v>457</v>
      </c>
      <c r="BP126" s="1" t="s">
        <v>607</v>
      </c>
    </row>
    <row r="127" spans="1:68" ht="15" customHeight="1">
      <c r="A127" s="250" t="s">
        <v>451</v>
      </c>
      <c r="B127" s="59" t="s">
        <v>363</v>
      </c>
      <c r="C127" s="354" t="s">
        <v>172</v>
      </c>
      <c r="D127" s="424"/>
      <c r="E127" s="357" t="s">
        <v>214</v>
      </c>
      <c r="F127" s="421"/>
      <c r="G127" s="317">
        <v>2022</v>
      </c>
      <c r="H127" s="59" t="s">
        <v>366</v>
      </c>
      <c r="I127" s="315" t="s">
        <v>357</v>
      </c>
      <c r="J127" s="318" t="s">
        <v>217</v>
      </c>
      <c r="K127" s="59" t="s">
        <v>217</v>
      </c>
      <c r="L127" s="59" t="s">
        <v>177</v>
      </c>
      <c r="M127" s="303" t="s">
        <v>600</v>
      </c>
      <c r="N127" s="303">
        <v>3.35</v>
      </c>
      <c r="O127" s="303">
        <v>3.45</v>
      </c>
      <c r="P127" s="303">
        <v>3.7</v>
      </c>
      <c r="Q127" s="303">
        <v>3.7</v>
      </c>
      <c r="R127" s="303">
        <v>3.7</v>
      </c>
      <c r="S127" s="303">
        <v>3.7</v>
      </c>
      <c r="T127" s="303">
        <v>3.7</v>
      </c>
      <c r="U127" s="303">
        <v>3.7</v>
      </c>
      <c r="V127" s="303">
        <v>3.7</v>
      </c>
      <c r="W127" s="303">
        <v>3.7</v>
      </c>
      <c r="X127" s="303">
        <v>3.45</v>
      </c>
      <c r="Y127" s="303">
        <v>3.45</v>
      </c>
      <c r="Z127" s="303">
        <v>3.45</v>
      </c>
      <c r="AA127" s="303">
        <v>3.45</v>
      </c>
      <c r="AB127" s="59">
        <v>0.08</v>
      </c>
      <c r="AC127" s="59">
        <v>0.23</v>
      </c>
      <c r="AD127" s="59">
        <v>0.23</v>
      </c>
      <c r="AE127" s="59">
        <v>0.23</v>
      </c>
      <c r="AF127" s="59">
        <v>0.23</v>
      </c>
      <c r="AG127" s="59">
        <v>0.23</v>
      </c>
      <c r="AH127" s="59">
        <v>0.23</v>
      </c>
      <c r="AI127" s="59">
        <v>0.23</v>
      </c>
      <c r="AJ127" s="59">
        <v>0.23</v>
      </c>
      <c r="AK127" s="59">
        <v>0.08</v>
      </c>
      <c r="AL127" s="59">
        <v>0.08</v>
      </c>
      <c r="AM127" s="59">
        <v>0.08</v>
      </c>
      <c r="AN127" s="59">
        <v>0.08</v>
      </c>
      <c r="AO127" s="255">
        <v>24</v>
      </c>
      <c r="AP127" s="254">
        <f t="shared" si="39"/>
        <v>5.5200000000000005</v>
      </c>
      <c r="AQ127" s="255"/>
      <c r="AR127" s="254">
        <f t="shared" si="40"/>
        <v>0</v>
      </c>
      <c r="AS127" s="255">
        <v>17772</v>
      </c>
      <c r="AT127" s="254">
        <f t="shared" si="41"/>
        <v>4087.5600000000004</v>
      </c>
      <c r="AU127" s="256">
        <v>18360</v>
      </c>
      <c r="AV127" s="257">
        <f t="shared" si="42"/>
        <v>4222.8</v>
      </c>
      <c r="AW127" s="382"/>
      <c r="AX127" s="257">
        <f t="shared" si="43"/>
        <v>0</v>
      </c>
      <c r="AY127" s="268">
        <v>5556</v>
      </c>
      <c r="AZ127" s="257">
        <f t="shared" si="44"/>
        <v>1277.8800000000001</v>
      </c>
      <c r="BA127" s="270"/>
      <c r="BB127" s="257">
        <f t="shared" si="45"/>
        <v>0</v>
      </c>
      <c r="BC127" s="268">
        <v>14394</v>
      </c>
      <c r="BD127" s="257">
        <f t="shared" si="46"/>
        <v>3310.6200000000003</v>
      </c>
      <c r="BE127" s="268"/>
      <c r="BF127" s="257">
        <f t="shared" si="52"/>
        <v>0</v>
      </c>
      <c r="BG127" s="59"/>
      <c r="BH127" s="257">
        <f t="shared" si="47"/>
        <v>0</v>
      </c>
      <c r="BI127" s="268">
        <v>8640</v>
      </c>
      <c r="BJ127" s="257">
        <f t="shared" si="48"/>
        <v>691.2</v>
      </c>
      <c r="BK127" s="268"/>
      <c r="BL127" s="257">
        <f t="shared" si="11"/>
        <v>0</v>
      </c>
      <c r="BM127" s="1" t="s">
        <v>605</v>
      </c>
      <c r="BO127" s="1" t="s">
        <v>457</v>
      </c>
      <c r="BP127" s="1" t="s">
        <v>607</v>
      </c>
    </row>
    <row r="128" spans="1:68" ht="15" customHeight="1">
      <c r="A128" s="250" t="s">
        <v>451</v>
      </c>
      <c r="B128" s="59" t="s">
        <v>363</v>
      </c>
      <c r="C128" s="354" t="s">
        <v>172</v>
      </c>
      <c r="D128" s="424"/>
      <c r="E128" s="357" t="s">
        <v>214</v>
      </c>
      <c r="F128" s="421"/>
      <c r="G128" s="317">
        <v>2022</v>
      </c>
      <c r="H128" s="59" t="s">
        <v>366</v>
      </c>
      <c r="I128" s="315" t="s">
        <v>357</v>
      </c>
      <c r="J128" s="318" t="s">
        <v>217</v>
      </c>
      <c r="K128" s="59" t="s">
        <v>217</v>
      </c>
      <c r="L128" s="59" t="s">
        <v>177</v>
      </c>
      <c r="M128" s="303" t="s">
        <v>602</v>
      </c>
      <c r="N128" s="303">
        <v>3.35</v>
      </c>
      <c r="O128" s="303">
        <v>3.67</v>
      </c>
      <c r="P128" s="303">
        <v>3.92</v>
      </c>
      <c r="Q128" s="303">
        <v>3.92</v>
      </c>
      <c r="R128" s="303">
        <v>3.92</v>
      </c>
      <c r="S128" s="303">
        <v>3.92</v>
      </c>
      <c r="T128" s="303">
        <v>3.92</v>
      </c>
      <c r="U128" s="303">
        <v>3.92</v>
      </c>
      <c r="V128" s="303">
        <v>3.92</v>
      </c>
      <c r="W128" s="303">
        <v>3.92</v>
      </c>
      <c r="X128" s="303">
        <v>3.67</v>
      </c>
      <c r="Y128" s="303">
        <v>3.67</v>
      </c>
      <c r="Z128" s="303">
        <v>3.67</v>
      </c>
      <c r="AA128" s="303">
        <v>3.67</v>
      </c>
      <c r="AB128" s="59">
        <v>0.08</v>
      </c>
      <c r="AC128" s="59">
        <v>0.23</v>
      </c>
      <c r="AD128" s="59">
        <v>0.23</v>
      </c>
      <c r="AE128" s="59">
        <v>0.23</v>
      </c>
      <c r="AF128" s="59">
        <v>0.23</v>
      </c>
      <c r="AG128" s="59">
        <v>0.23</v>
      </c>
      <c r="AH128" s="59">
        <v>0.23</v>
      </c>
      <c r="AI128" s="59">
        <v>0.23</v>
      </c>
      <c r="AJ128" s="59">
        <v>0.23</v>
      </c>
      <c r="AK128" s="59">
        <v>0.08</v>
      </c>
      <c r="AL128" s="59">
        <v>0.08</v>
      </c>
      <c r="AM128" s="59">
        <v>0.08</v>
      </c>
      <c r="AN128" s="59">
        <v>0.08</v>
      </c>
      <c r="AO128" s="255"/>
      <c r="AP128" s="254">
        <f t="shared" si="39"/>
        <v>0</v>
      </c>
      <c r="AQ128" s="255"/>
      <c r="AR128" s="254">
        <f t="shared" si="40"/>
        <v>0</v>
      </c>
      <c r="AS128" s="255"/>
      <c r="AT128" s="254">
        <f t="shared" si="41"/>
        <v>0</v>
      </c>
      <c r="AU128" s="256">
        <v>5760</v>
      </c>
      <c r="AV128" s="257">
        <f t="shared" si="42"/>
        <v>1324.8</v>
      </c>
      <c r="AW128" s="382"/>
      <c r="AX128" s="257">
        <f t="shared" si="43"/>
        <v>0</v>
      </c>
      <c r="AY128" s="268">
        <v>14976</v>
      </c>
      <c r="AZ128" s="257">
        <f t="shared" si="44"/>
        <v>3444.48</v>
      </c>
      <c r="BA128" s="270">
        <v>8568</v>
      </c>
      <c r="BB128" s="257">
        <f t="shared" si="45"/>
        <v>1970.64</v>
      </c>
      <c r="BC128" s="268"/>
      <c r="BD128" s="257">
        <f t="shared" si="46"/>
        <v>0</v>
      </c>
      <c r="BE128" s="268">
        <v>16188</v>
      </c>
      <c r="BF128" s="257">
        <f t="shared" si="52"/>
        <v>1295.04</v>
      </c>
      <c r="BG128" s="59"/>
      <c r="BH128" s="257">
        <f t="shared" si="47"/>
        <v>0</v>
      </c>
      <c r="BI128" s="268"/>
      <c r="BJ128" s="257">
        <f t="shared" si="48"/>
        <v>0</v>
      </c>
      <c r="BK128" s="268"/>
      <c r="BL128" s="257">
        <f t="shared" si="11"/>
        <v>0</v>
      </c>
      <c r="BM128" s="1" t="s">
        <v>605</v>
      </c>
      <c r="BO128" s="1" t="s">
        <v>457</v>
      </c>
      <c r="BP128" s="1" t="s">
        <v>607</v>
      </c>
    </row>
    <row r="129" spans="1:68" ht="15.75" customHeight="1">
      <c r="A129" s="250" t="s">
        <v>451</v>
      </c>
      <c r="B129" s="59" t="s">
        <v>363</v>
      </c>
      <c r="C129" s="354" t="s">
        <v>172</v>
      </c>
      <c r="D129" s="424"/>
      <c r="E129" s="357" t="s">
        <v>214</v>
      </c>
      <c r="F129" s="421"/>
      <c r="G129" s="317">
        <v>2022</v>
      </c>
      <c r="H129" s="59" t="s">
        <v>366</v>
      </c>
      <c r="I129" s="315" t="s">
        <v>367</v>
      </c>
      <c r="J129" s="318" t="s">
        <v>217</v>
      </c>
      <c r="K129" s="59" t="s">
        <v>217</v>
      </c>
      <c r="L129" s="59" t="s">
        <v>177</v>
      </c>
      <c r="M129" s="303" t="s">
        <v>592</v>
      </c>
      <c r="N129" s="303">
        <v>1.45</v>
      </c>
      <c r="O129" s="303">
        <v>1.5</v>
      </c>
      <c r="P129" s="303">
        <v>1.74</v>
      </c>
      <c r="Q129" s="303">
        <v>1.74</v>
      </c>
      <c r="R129" s="303">
        <v>1.74</v>
      </c>
      <c r="S129" s="303">
        <v>1.74</v>
      </c>
      <c r="T129" s="303">
        <v>1.74</v>
      </c>
      <c r="U129" s="303">
        <v>1.74</v>
      </c>
      <c r="V129" s="303">
        <v>1.74</v>
      </c>
      <c r="W129" s="303">
        <v>1.74</v>
      </c>
      <c r="X129" s="303">
        <v>1.5</v>
      </c>
      <c r="Y129" s="303">
        <v>1.5</v>
      </c>
      <c r="Z129" s="303">
        <v>1.5</v>
      </c>
      <c r="AA129" s="303">
        <v>1.5</v>
      </c>
      <c r="AB129" s="59">
        <v>0.02</v>
      </c>
      <c r="AC129" s="59">
        <v>0.21</v>
      </c>
      <c r="AD129" s="59">
        <v>0.21</v>
      </c>
      <c r="AE129" s="59">
        <v>0.21</v>
      </c>
      <c r="AF129" s="59">
        <v>0.21</v>
      </c>
      <c r="AG129" s="59">
        <v>0.21</v>
      </c>
      <c r="AH129" s="59">
        <v>0.21</v>
      </c>
      <c r="AI129" s="59">
        <v>0.21</v>
      </c>
      <c r="AJ129" s="59">
        <v>0.21</v>
      </c>
      <c r="AK129" s="59">
        <v>0.02</v>
      </c>
      <c r="AL129" s="59">
        <v>0.02</v>
      </c>
      <c r="AM129" s="59">
        <v>0.02</v>
      </c>
      <c r="AN129" s="59">
        <v>0.02</v>
      </c>
      <c r="AO129" s="255">
        <v>11520</v>
      </c>
      <c r="AP129" s="254">
        <f t="shared" si="39"/>
        <v>2419.1999999999998</v>
      </c>
      <c r="AQ129" s="255">
        <v>12500</v>
      </c>
      <c r="AR129" s="254">
        <f t="shared" si="40"/>
        <v>2625</v>
      </c>
      <c r="AS129" s="255">
        <v>6000</v>
      </c>
      <c r="AT129" s="254">
        <f t="shared" si="41"/>
        <v>1260</v>
      </c>
      <c r="AU129" s="255">
        <v>4480</v>
      </c>
      <c r="AV129" s="257">
        <f t="shared" si="42"/>
        <v>940.8</v>
      </c>
      <c r="AW129" s="382">
        <v>3960</v>
      </c>
      <c r="AX129" s="257">
        <f t="shared" si="43"/>
        <v>831.6</v>
      </c>
      <c r="AY129" s="268">
        <v>2040</v>
      </c>
      <c r="AZ129" s="257">
        <f t="shared" si="44"/>
        <v>428.4</v>
      </c>
      <c r="BA129" s="270">
        <v>2400</v>
      </c>
      <c r="BB129" s="257">
        <f t="shared" si="45"/>
        <v>504</v>
      </c>
      <c r="BC129" s="268">
        <v>2040</v>
      </c>
      <c r="BD129" s="257">
        <f t="shared" si="46"/>
        <v>428.4</v>
      </c>
      <c r="BE129" s="268">
        <v>2160</v>
      </c>
      <c r="BF129" s="257">
        <f t="shared" si="52"/>
        <v>43.2</v>
      </c>
      <c r="BG129" s="256">
        <v>1200</v>
      </c>
      <c r="BH129" s="257">
        <f t="shared" si="47"/>
        <v>24</v>
      </c>
      <c r="BI129" s="268">
        <v>600</v>
      </c>
      <c r="BJ129" s="257">
        <f t="shared" si="48"/>
        <v>12</v>
      </c>
      <c r="BK129" s="268">
        <v>960</v>
      </c>
      <c r="BL129" s="257">
        <f t="shared" si="11"/>
        <v>19.2</v>
      </c>
      <c r="BM129" s="1" t="s">
        <v>608</v>
      </c>
      <c r="BO129" s="1" t="s">
        <v>457</v>
      </c>
      <c r="BP129" s="1" t="s">
        <v>609</v>
      </c>
    </row>
    <row r="130" spans="1:68" ht="15.75" customHeight="1">
      <c r="A130" s="250" t="s">
        <v>451</v>
      </c>
      <c r="B130" s="59" t="s">
        <v>363</v>
      </c>
      <c r="C130" s="354" t="s">
        <v>172</v>
      </c>
      <c r="D130" s="424"/>
      <c r="E130" s="357" t="s">
        <v>214</v>
      </c>
      <c r="F130" s="421"/>
      <c r="G130" s="317">
        <v>2022</v>
      </c>
      <c r="H130" s="59" t="s">
        <v>366</v>
      </c>
      <c r="I130" s="315" t="s">
        <v>367</v>
      </c>
      <c r="J130" s="318" t="s">
        <v>217</v>
      </c>
      <c r="K130" s="59" t="s">
        <v>217</v>
      </c>
      <c r="L130" s="59" t="s">
        <v>177</v>
      </c>
      <c r="M130" s="303" t="s">
        <v>455</v>
      </c>
      <c r="N130" s="303">
        <v>1.45</v>
      </c>
      <c r="O130" s="303">
        <v>1.5</v>
      </c>
      <c r="P130" s="303">
        <v>1.74</v>
      </c>
      <c r="Q130" s="303">
        <v>1.74</v>
      </c>
      <c r="R130" s="303">
        <v>1.74</v>
      </c>
      <c r="S130" s="303">
        <v>1.74</v>
      </c>
      <c r="T130" s="303">
        <v>1.74</v>
      </c>
      <c r="U130" s="303">
        <v>1.74</v>
      </c>
      <c r="V130" s="303">
        <v>1.74</v>
      </c>
      <c r="W130" s="303">
        <v>1.74</v>
      </c>
      <c r="X130" s="303">
        <v>1.5</v>
      </c>
      <c r="Y130" s="303">
        <v>1.5</v>
      </c>
      <c r="Z130" s="303">
        <v>1.5</v>
      </c>
      <c r="AA130" s="303">
        <v>1.5</v>
      </c>
      <c r="AB130" s="59">
        <v>0.02</v>
      </c>
      <c r="AC130" s="59">
        <v>0.21</v>
      </c>
      <c r="AD130" s="59">
        <v>0.21</v>
      </c>
      <c r="AE130" s="59">
        <v>0.21</v>
      </c>
      <c r="AF130" s="59">
        <v>0.21</v>
      </c>
      <c r="AG130" s="59">
        <v>0.21</v>
      </c>
      <c r="AH130" s="59">
        <v>0.21</v>
      </c>
      <c r="AI130" s="59">
        <v>0.21</v>
      </c>
      <c r="AJ130" s="59">
        <v>0.21</v>
      </c>
      <c r="AK130" s="59">
        <v>0.02</v>
      </c>
      <c r="AL130" s="59">
        <v>0.02</v>
      </c>
      <c r="AM130" s="59">
        <v>0.02</v>
      </c>
      <c r="AN130" s="59">
        <v>0.02</v>
      </c>
      <c r="AO130" s="255">
        <v>13920</v>
      </c>
      <c r="AP130" s="254">
        <f t="shared" si="39"/>
        <v>2923.2</v>
      </c>
      <c r="AQ130" s="255">
        <v>15840</v>
      </c>
      <c r="AR130" s="254">
        <f t="shared" si="40"/>
        <v>3326.4</v>
      </c>
      <c r="AS130" s="255">
        <v>11280</v>
      </c>
      <c r="AT130" s="254">
        <f t="shared" si="41"/>
        <v>2368.7999999999997</v>
      </c>
      <c r="AU130" s="255">
        <v>12120</v>
      </c>
      <c r="AV130" s="257">
        <f t="shared" si="42"/>
        <v>2545.1999999999998</v>
      </c>
      <c r="AW130" s="382">
        <v>20520</v>
      </c>
      <c r="AX130" s="257">
        <f t="shared" si="43"/>
        <v>4309.2</v>
      </c>
      <c r="AY130" s="268">
        <v>12480</v>
      </c>
      <c r="AZ130" s="257">
        <f t="shared" si="44"/>
        <v>2620.7999999999997</v>
      </c>
      <c r="BA130" s="270">
        <v>14600</v>
      </c>
      <c r="BB130" s="257">
        <f t="shared" si="45"/>
        <v>3066</v>
      </c>
      <c r="BC130" s="268">
        <v>16440</v>
      </c>
      <c r="BD130" s="257">
        <f t="shared" si="46"/>
        <v>3452.4</v>
      </c>
      <c r="BE130" s="268">
        <v>11280</v>
      </c>
      <c r="BF130" s="257">
        <f t="shared" si="52"/>
        <v>225.6</v>
      </c>
      <c r="BG130" s="256">
        <v>5160</v>
      </c>
      <c r="BH130" s="257">
        <f t="shared" si="47"/>
        <v>103.2</v>
      </c>
      <c r="BI130" s="268">
        <v>5520</v>
      </c>
      <c r="BJ130" s="257">
        <f t="shared" si="48"/>
        <v>110.4</v>
      </c>
      <c r="BK130" s="268">
        <v>3480</v>
      </c>
      <c r="BL130" s="257">
        <f t="shared" si="11"/>
        <v>69.600000000000009</v>
      </c>
      <c r="BM130" s="1" t="s">
        <v>608</v>
      </c>
      <c r="BO130" s="1" t="s">
        <v>457</v>
      </c>
      <c r="BP130" s="1" t="s">
        <v>609</v>
      </c>
    </row>
    <row r="131" spans="1:68" ht="15.75" customHeight="1">
      <c r="A131" s="250" t="s">
        <v>451</v>
      </c>
      <c r="B131" s="59" t="s">
        <v>363</v>
      </c>
      <c r="C131" s="354" t="s">
        <v>172</v>
      </c>
      <c r="D131" s="424"/>
      <c r="E131" s="357" t="s">
        <v>214</v>
      </c>
      <c r="F131" s="421"/>
      <c r="G131" s="317">
        <v>2022</v>
      </c>
      <c r="H131" s="59" t="s">
        <v>366</v>
      </c>
      <c r="I131" s="315" t="s">
        <v>367</v>
      </c>
      <c r="J131" s="318" t="s">
        <v>217</v>
      </c>
      <c r="K131" s="59" t="s">
        <v>217</v>
      </c>
      <c r="L131" s="59" t="s">
        <v>177</v>
      </c>
      <c r="M131" s="303" t="s">
        <v>595</v>
      </c>
      <c r="N131" s="303">
        <v>1.45</v>
      </c>
      <c r="O131" s="303">
        <v>1.5</v>
      </c>
      <c r="P131" s="303">
        <v>1.74</v>
      </c>
      <c r="Q131" s="303">
        <v>1.74</v>
      </c>
      <c r="R131" s="303">
        <v>1.74</v>
      </c>
      <c r="S131" s="303">
        <v>1.74</v>
      </c>
      <c r="T131" s="303">
        <v>1.74</v>
      </c>
      <c r="U131" s="303">
        <v>1.74</v>
      </c>
      <c r="V131" s="303">
        <v>1.74</v>
      </c>
      <c r="W131" s="303">
        <v>1.74</v>
      </c>
      <c r="X131" s="303">
        <v>1.5</v>
      </c>
      <c r="Y131" s="303">
        <v>1.5</v>
      </c>
      <c r="Z131" s="303">
        <v>1.5</v>
      </c>
      <c r="AA131" s="303">
        <v>1.5</v>
      </c>
      <c r="AB131" s="59">
        <v>0.02</v>
      </c>
      <c r="AC131" s="59">
        <v>0.21</v>
      </c>
      <c r="AD131" s="59">
        <v>0.21</v>
      </c>
      <c r="AE131" s="59">
        <v>0.21</v>
      </c>
      <c r="AF131" s="59">
        <v>0.21</v>
      </c>
      <c r="AG131" s="59">
        <v>0.21</v>
      </c>
      <c r="AH131" s="59">
        <v>0.21</v>
      </c>
      <c r="AI131" s="59">
        <v>0.21</v>
      </c>
      <c r="AJ131" s="59">
        <v>0.21</v>
      </c>
      <c r="AK131" s="59">
        <v>0.02</v>
      </c>
      <c r="AL131" s="59">
        <v>0.02</v>
      </c>
      <c r="AM131" s="59">
        <v>0.02</v>
      </c>
      <c r="AN131" s="59">
        <v>0.02</v>
      </c>
      <c r="AO131" s="255">
        <v>22920</v>
      </c>
      <c r="AP131" s="254">
        <f t="shared" si="39"/>
        <v>4813.2</v>
      </c>
      <c r="AQ131" s="255">
        <v>54560</v>
      </c>
      <c r="AR131" s="254">
        <f t="shared" si="40"/>
        <v>11457.6</v>
      </c>
      <c r="AS131" s="255">
        <v>29520</v>
      </c>
      <c r="AT131" s="254">
        <f t="shared" si="41"/>
        <v>6199.2</v>
      </c>
      <c r="AU131" s="255">
        <v>41520</v>
      </c>
      <c r="AV131" s="257">
        <f t="shared" si="42"/>
        <v>8719.1999999999989</v>
      </c>
      <c r="AW131" s="382">
        <v>15480</v>
      </c>
      <c r="AX131" s="257">
        <f t="shared" si="43"/>
        <v>3250.7999999999997</v>
      </c>
      <c r="AY131" s="268">
        <v>5520</v>
      </c>
      <c r="AZ131" s="257">
        <f t="shared" si="44"/>
        <v>1159.2</v>
      </c>
      <c r="BA131" s="270">
        <v>2160</v>
      </c>
      <c r="BB131" s="257">
        <f t="shared" si="45"/>
        <v>453.59999999999997</v>
      </c>
      <c r="BC131" s="268">
        <v>2040</v>
      </c>
      <c r="BD131" s="257">
        <f t="shared" si="46"/>
        <v>428.4</v>
      </c>
      <c r="BE131" s="268">
        <v>720</v>
      </c>
      <c r="BF131" s="257">
        <f t="shared" si="52"/>
        <v>14.4</v>
      </c>
      <c r="BG131" s="256">
        <v>720</v>
      </c>
      <c r="BH131" s="257">
        <f t="shared" si="47"/>
        <v>14.4</v>
      </c>
      <c r="BI131" s="268">
        <v>360</v>
      </c>
      <c r="BJ131" s="257">
        <f t="shared" si="48"/>
        <v>7.2</v>
      </c>
      <c r="BK131" s="268">
        <v>120</v>
      </c>
      <c r="BL131" s="257">
        <f t="shared" si="11"/>
        <v>2.4</v>
      </c>
      <c r="BM131" s="1" t="s">
        <v>608</v>
      </c>
      <c r="BO131" s="1" t="s">
        <v>457</v>
      </c>
      <c r="BP131" s="1" t="s">
        <v>609</v>
      </c>
    </row>
    <row r="132" spans="1:68" ht="15.75" customHeight="1">
      <c r="A132" s="250" t="s">
        <v>451</v>
      </c>
      <c r="B132" s="59" t="s">
        <v>363</v>
      </c>
      <c r="C132" s="354" t="s">
        <v>172</v>
      </c>
      <c r="D132" s="424"/>
      <c r="E132" s="357" t="s">
        <v>214</v>
      </c>
      <c r="F132" s="421"/>
      <c r="G132" s="317">
        <v>2022</v>
      </c>
      <c r="H132" s="59" t="s">
        <v>366</v>
      </c>
      <c r="I132" s="315" t="s">
        <v>367</v>
      </c>
      <c r="J132" s="318" t="s">
        <v>217</v>
      </c>
      <c r="K132" s="59" t="s">
        <v>217</v>
      </c>
      <c r="L132" s="59" t="s">
        <v>177</v>
      </c>
      <c r="M132" s="303" t="s">
        <v>597</v>
      </c>
      <c r="N132" s="303">
        <v>1.45</v>
      </c>
      <c r="O132" s="303">
        <v>1.5</v>
      </c>
      <c r="P132" s="303">
        <v>1.74</v>
      </c>
      <c r="Q132" s="303">
        <v>1.74</v>
      </c>
      <c r="R132" s="303">
        <v>1.74</v>
      </c>
      <c r="S132" s="303">
        <v>1.74</v>
      </c>
      <c r="T132" s="303">
        <v>1.74</v>
      </c>
      <c r="U132" s="303">
        <v>1.74</v>
      </c>
      <c r="V132" s="303">
        <v>1.74</v>
      </c>
      <c r="W132" s="303">
        <v>1.74</v>
      </c>
      <c r="X132" s="303">
        <v>1.5</v>
      </c>
      <c r="Y132" s="303">
        <v>1.5</v>
      </c>
      <c r="Z132" s="303">
        <v>1.5</v>
      </c>
      <c r="AA132" s="303">
        <v>1.5</v>
      </c>
      <c r="AB132" s="59">
        <v>0.02</v>
      </c>
      <c r="AC132" s="59">
        <v>0.21</v>
      </c>
      <c r="AD132" s="59">
        <v>0.21</v>
      </c>
      <c r="AE132" s="59">
        <v>0.21</v>
      </c>
      <c r="AF132" s="59">
        <v>0.21</v>
      </c>
      <c r="AG132" s="59">
        <v>0.21</v>
      </c>
      <c r="AH132" s="59">
        <v>0.21</v>
      </c>
      <c r="AI132" s="59">
        <v>0.21</v>
      </c>
      <c r="AJ132" s="59">
        <v>0.21</v>
      </c>
      <c r="AK132" s="59">
        <v>0.02</v>
      </c>
      <c r="AL132" s="59">
        <v>0.02</v>
      </c>
      <c r="AM132" s="59">
        <v>0.02</v>
      </c>
      <c r="AN132" s="59">
        <v>0.02</v>
      </c>
      <c r="AO132" s="255"/>
      <c r="AP132" s="254">
        <f t="shared" si="39"/>
        <v>0</v>
      </c>
      <c r="AQ132" s="255">
        <v>0</v>
      </c>
      <c r="AR132" s="254">
        <f t="shared" si="40"/>
        <v>0</v>
      </c>
      <c r="AS132" s="255"/>
      <c r="AT132" s="254">
        <f t="shared" si="41"/>
        <v>0</v>
      </c>
      <c r="AU132" s="255"/>
      <c r="AV132" s="257">
        <f t="shared" si="42"/>
        <v>0</v>
      </c>
      <c r="AW132" s="382"/>
      <c r="AX132" s="257">
        <f t="shared" si="43"/>
        <v>0</v>
      </c>
      <c r="AY132" s="268"/>
      <c r="AZ132" s="257">
        <f t="shared" si="44"/>
        <v>0</v>
      </c>
      <c r="BA132" s="270"/>
      <c r="BB132" s="257">
        <f t="shared" si="45"/>
        <v>0</v>
      </c>
      <c r="BC132" s="268"/>
      <c r="BD132" s="257">
        <f t="shared" si="46"/>
        <v>0</v>
      </c>
      <c r="BE132" s="268"/>
      <c r="BF132" s="257">
        <f t="shared" si="52"/>
        <v>0</v>
      </c>
      <c r="BG132" s="256"/>
      <c r="BH132" s="257">
        <f t="shared" si="47"/>
        <v>0</v>
      </c>
      <c r="BI132" s="268"/>
      <c r="BJ132" s="257">
        <f t="shared" si="48"/>
        <v>0</v>
      </c>
      <c r="BK132" s="268"/>
      <c r="BL132" s="257">
        <f t="shared" si="11"/>
        <v>0</v>
      </c>
      <c r="BM132" s="1" t="s">
        <v>608</v>
      </c>
      <c r="BO132" s="1" t="s">
        <v>457</v>
      </c>
      <c r="BP132" s="1" t="s">
        <v>609</v>
      </c>
    </row>
    <row r="133" spans="1:68" ht="15.75" customHeight="1">
      <c r="A133" s="250" t="s">
        <v>451</v>
      </c>
      <c r="B133" s="59" t="s">
        <v>363</v>
      </c>
      <c r="C133" s="354" t="s">
        <v>172</v>
      </c>
      <c r="D133" s="424"/>
      <c r="E133" s="357" t="s">
        <v>214</v>
      </c>
      <c r="F133" s="421"/>
      <c r="G133" s="317">
        <v>2022</v>
      </c>
      <c r="H133" s="59" t="s">
        <v>366</v>
      </c>
      <c r="I133" s="315" t="s">
        <v>367</v>
      </c>
      <c r="J133" s="318" t="s">
        <v>217</v>
      </c>
      <c r="K133" s="59" t="s">
        <v>217</v>
      </c>
      <c r="L133" s="59" t="s">
        <v>177</v>
      </c>
      <c r="M133" s="303" t="s">
        <v>598</v>
      </c>
      <c r="N133" s="303">
        <v>1.45</v>
      </c>
      <c r="O133" s="303">
        <v>1.5</v>
      </c>
      <c r="P133" s="303">
        <v>1.74</v>
      </c>
      <c r="Q133" s="303">
        <v>1.74</v>
      </c>
      <c r="R133" s="303">
        <v>1.74</v>
      </c>
      <c r="S133" s="303">
        <v>1.74</v>
      </c>
      <c r="T133" s="303">
        <v>1.74</v>
      </c>
      <c r="U133" s="303">
        <v>1.74</v>
      </c>
      <c r="V133" s="303">
        <v>1.74</v>
      </c>
      <c r="W133" s="303">
        <v>1.74</v>
      </c>
      <c r="X133" s="303">
        <v>1.5</v>
      </c>
      <c r="Y133" s="303">
        <v>1.5</v>
      </c>
      <c r="Z133" s="303">
        <v>1.5</v>
      </c>
      <c r="AA133" s="303">
        <v>1.5</v>
      </c>
      <c r="AB133" s="59">
        <v>0.02</v>
      </c>
      <c r="AC133" s="59">
        <v>0.21</v>
      </c>
      <c r="AD133" s="59">
        <v>0.21</v>
      </c>
      <c r="AE133" s="59">
        <v>0.21</v>
      </c>
      <c r="AF133" s="59">
        <v>0.21</v>
      </c>
      <c r="AG133" s="59">
        <v>0.21</v>
      </c>
      <c r="AH133" s="59">
        <v>0.21</v>
      </c>
      <c r="AI133" s="59">
        <v>0.21</v>
      </c>
      <c r="AJ133" s="59">
        <v>0.21</v>
      </c>
      <c r="AK133" s="59">
        <v>0.02</v>
      </c>
      <c r="AL133" s="59">
        <v>0.02</v>
      </c>
      <c r="AM133" s="59">
        <v>0.02</v>
      </c>
      <c r="AN133" s="59">
        <v>0.02</v>
      </c>
      <c r="AO133" s="255">
        <v>30000</v>
      </c>
      <c r="AP133" s="254">
        <f t="shared" si="39"/>
        <v>6300</v>
      </c>
      <c r="AQ133" s="255">
        <v>25800</v>
      </c>
      <c r="AR133" s="254">
        <f t="shared" si="40"/>
        <v>5418</v>
      </c>
      <c r="AS133" s="255">
        <v>20400</v>
      </c>
      <c r="AT133" s="254">
        <f t="shared" si="41"/>
        <v>4284</v>
      </c>
      <c r="AU133" s="255">
        <v>25200</v>
      </c>
      <c r="AV133" s="257">
        <f t="shared" si="42"/>
        <v>5292</v>
      </c>
      <c r="AW133" s="382">
        <v>39600</v>
      </c>
      <c r="AX133" s="257">
        <f t="shared" si="43"/>
        <v>8316</v>
      </c>
      <c r="AY133" s="268">
        <v>16800</v>
      </c>
      <c r="AZ133" s="257">
        <f t="shared" si="44"/>
        <v>3528</v>
      </c>
      <c r="BA133" s="270">
        <v>31800</v>
      </c>
      <c r="BB133" s="257">
        <f t="shared" si="45"/>
        <v>6678</v>
      </c>
      <c r="BC133" s="268">
        <v>21600</v>
      </c>
      <c r="BD133" s="257">
        <f t="shared" si="46"/>
        <v>4536</v>
      </c>
      <c r="BE133" s="268">
        <v>30120</v>
      </c>
      <c r="BF133" s="257">
        <f t="shared" si="52"/>
        <v>602.4</v>
      </c>
      <c r="BG133" s="268">
        <v>34440</v>
      </c>
      <c r="BH133" s="257">
        <f t="shared" si="47"/>
        <v>688.80000000000007</v>
      </c>
      <c r="BI133" s="268">
        <v>13680</v>
      </c>
      <c r="BJ133" s="257">
        <f t="shared" si="48"/>
        <v>273.60000000000002</v>
      </c>
      <c r="BK133" s="268">
        <v>4680</v>
      </c>
      <c r="BL133" s="257">
        <f t="shared" si="11"/>
        <v>93.600000000000009</v>
      </c>
      <c r="BM133" s="1" t="s">
        <v>608</v>
      </c>
      <c r="BO133" s="1" t="s">
        <v>457</v>
      </c>
      <c r="BP133" s="1" t="s">
        <v>609</v>
      </c>
    </row>
    <row r="134" spans="1:68" ht="15.75" customHeight="1">
      <c r="A134" s="250" t="s">
        <v>451</v>
      </c>
      <c r="B134" s="59" t="s">
        <v>363</v>
      </c>
      <c r="C134" s="354" t="s">
        <v>172</v>
      </c>
      <c r="D134" s="424"/>
      <c r="E134" s="357" t="s">
        <v>214</v>
      </c>
      <c r="F134" s="421"/>
      <c r="G134" s="317">
        <v>2022</v>
      </c>
      <c r="H134" s="59" t="s">
        <v>366</v>
      </c>
      <c r="I134" s="315" t="s">
        <v>367</v>
      </c>
      <c r="J134" s="318" t="s">
        <v>217</v>
      </c>
      <c r="K134" s="59" t="s">
        <v>217</v>
      </c>
      <c r="L134" s="59" t="s">
        <v>177</v>
      </c>
      <c r="M134" s="303" t="s">
        <v>599</v>
      </c>
      <c r="N134" s="303">
        <v>1.45</v>
      </c>
      <c r="O134" s="303">
        <v>1.5</v>
      </c>
      <c r="P134" s="303">
        <v>1.74</v>
      </c>
      <c r="Q134" s="303">
        <v>1.74</v>
      </c>
      <c r="R134" s="303">
        <v>1.74</v>
      </c>
      <c r="S134" s="303">
        <v>1.74</v>
      </c>
      <c r="T134" s="303">
        <v>1.74</v>
      </c>
      <c r="U134" s="303">
        <v>1.74</v>
      </c>
      <c r="V134" s="303">
        <v>1.74</v>
      </c>
      <c r="W134" s="303">
        <v>1.74</v>
      </c>
      <c r="X134" s="303">
        <v>1.5</v>
      </c>
      <c r="Y134" s="303">
        <v>1.5</v>
      </c>
      <c r="Z134" s="303">
        <v>1.5</v>
      </c>
      <c r="AA134" s="303">
        <v>1.5</v>
      </c>
      <c r="AB134" s="59">
        <v>0.02</v>
      </c>
      <c r="AC134" s="59">
        <v>0.21</v>
      </c>
      <c r="AD134" s="59">
        <v>0.21</v>
      </c>
      <c r="AE134" s="59">
        <v>0.21</v>
      </c>
      <c r="AF134" s="59">
        <v>0.21</v>
      </c>
      <c r="AG134" s="59">
        <v>0.21</v>
      </c>
      <c r="AH134" s="59">
        <v>0.21</v>
      </c>
      <c r="AI134" s="59">
        <v>0.21</v>
      </c>
      <c r="AJ134" s="59">
        <v>0.21</v>
      </c>
      <c r="AK134" s="59">
        <v>0.02</v>
      </c>
      <c r="AL134" s="59">
        <v>0.02</v>
      </c>
      <c r="AM134" s="59">
        <v>0.02</v>
      </c>
      <c r="AN134" s="59">
        <v>0.02</v>
      </c>
      <c r="AO134" s="255">
        <v>2640</v>
      </c>
      <c r="AP134" s="254">
        <f t="shared" si="39"/>
        <v>554.4</v>
      </c>
      <c r="AQ134" s="255">
        <v>840</v>
      </c>
      <c r="AR134" s="254">
        <f t="shared" si="40"/>
        <v>176.4</v>
      </c>
      <c r="AS134" s="255"/>
      <c r="AT134" s="254">
        <f t="shared" si="41"/>
        <v>0</v>
      </c>
      <c r="AU134" s="255">
        <v>1200</v>
      </c>
      <c r="AV134" s="257">
        <f t="shared" si="42"/>
        <v>252</v>
      </c>
      <c r="AW134" s="382">
        <v>600</v>
      </c>
      <c r="AX134" s="257">
        <f t="shared" si="43"/>
        <v>126</v>
      </c>
      <c r="AY134" s="268">
        <v>240</v>
      </c>
      <c r="AZ134" s="257">
        <f t="shared" si="44"/>
        <v>50.4</v>
      </c>
      <c r="BA134" s="270"/>
      <c r="BB134" s="257">
        <f t="shared" si="45"/>
        <v>0</v>
      </c>
      <c r="BC134" s="268">
        <v>120</v>
      </c>
      <c r="BD134" s="257">
        <f t="shared" si="46"/>
        <v>25.2</v>
      </c>
      <c r="BE134" s="268">
        <v>1800</v>
      </c>
      <c r="BF134" s="257">
        <f t="shared" si="52"/>
        <v>36</v>
      </c>
      <c r="BG134" s="268">
        <v>360</v>
      </c>
      <c r="BH134" s="257">
        <f t="shared" si="47"/>
        <v>7.2</v>
      </c>
      <c r="BI134" s="268">
        <v>240</v>
      </c>
      <c r="BJ134" s="257">
        <f t="shared" si="48"/>
        <v>4.8</v>
      </c>
      <c r="BK134" s="268">
        <v>120</v>
      </c>
      <c r="BL134" s="257">
        <f t="shared" si="11"/>
        <v>2.4</v>
      </c>
      <c r="BM134" s="1" t="s">
        <v>608</v>
      </c>
      <c r="BO134" s="1" t="s">
        <v>457</v>
      </c>
      <c r="BP134" s="1" t="s">
        <v>609</v>
      </c>
    </row>
    <row r="135" spans="1:68" ht="15.75" customHeight="1">
      <c r="A135" s="250" t="s">
        <v>451</v>
      </c>
      <c r="B135" s="59" t="s">
        <v>363</v>
      </c>
      <c r="C135" s="354" t="s">
        <v>172</v>
      </c>
      <c r="D135" s="424"/>
      <c r="E135" s="357" t="s">
        <v>214</v>
      </c>
      <c r="F135" s="421"/>
      <c r="G135" s="317">
        <v>2022</v>
      </c>
      <c r="H135" s="59" t="s">
        <v>366</v>
      </c>
      <c r="I135" s="315" t="s">
        <v>367</v>
      </c>
      <c r="J135" s="318" t="s">
        <v>217</v>
      </c>
      <c r="K135" s="59" t="s">
        <v>217</v>
      </c>
      <c r="L135" s="59" t="s">
        <v>177</v>
      </c>
      <c r="M135" s="303" t="s">
        <v>602</v>
      </c>
      <c r="N135" s="303">
        <v>1.45</v>
      </c>
      <c r="O135" s="303">
        <v>1.6</v>
      </c>
      <c r="P135" s="303">
        <v>1.84</v>
      </c>
      <c r="Q135" s="303">
        <v>1.84</v>
      </c>
      <c r="R135" s="303">
        <v>1.84</v>
      </c>
      <c r="S135" s="303">
        <v>1.84</v>
      </c>
      <c r="T135" s="303">
        <v>1.84</v>
      </c>
      <c r="U135" s="303">
        <v>1.84</v>
      </c>
      <c r="V135" s="303">
        <v>1.84</v>
      </c>
      <c r="W135" s="303">
        <v>1.84</v>
      </c>
      <c r="X135" s="303">
        <v>1.6</v>
      </c>
      <c r="Y135" s="303">
        <v>1.6</v>
      </c>
      <c r="Z135" s="303">
        <v>1.6</v>
      </c>
      <c r="AA135" s="303">
        <v>1.6</v>
      </c>
      <c r="AB135" s="59">
        <v>0.02</v>
      </c>
      <c r="AC135" s="59">
        <v>0.21</v>
      </c>
      <c r="AD135" s="59">
        <v>0.21</v>
      </c>
      <c r="AE135" s="59">
        <v>0.21</v>
      </c>
      <c r="AF135" s="59">
        <v>0.21</v>
      </c>
      <c r="AG135" s="59">
        <v>0.21</v>
      </c>
      <c r="AH135" s="59">
        <v>0.21</v>
      </c>
      <c r="AI135" s="59">
        <v>0.21</v>
      </c>
      <c r="AJ135" s="59">
        <v>0.21</v>
      </c>
      <c r="AK135" s="59">
        <v>0.02</v>
      </c>
      <c r="AL135" s="59">
        <v>0.02</v>
      </c>
      <c r="AM135" s="59">
        <v>0.02</v>
      </c>
      <c r="AN135" s="59">
        <v>0.02</v>
      </c>
      <c r="AO135" s="255"/>
      <c r="AP135" s="254">
        <f t="shared" si="39"/>
        <v>0</v>
      </c>
      <c r="AQ135" s="255">
        <v>2400</v>
      </c>
      <c r="AR135" s="254">
        <f t="shared" si="40"/>
        <v>504</v>
      </c>
      <c r="AS135" s="255"/>
      <c r="AT135" s="254">
        <f t="shared" si="41"/>
        <v>0</v>
      </c>
      <c r="AU135" s="255">
        <v>28800</v>
      </c>
      <c r="AV135" s="257">
        <f t="shared" si="42"/>
        <v>6048</v>
      </c>
      <c r="AW135" s="382">
        <v>86400</v>
      </c>
      <c r="AX135" s="257">
        <f t="shared" si="43"/>
        <v>18144</v>
      </c>
      <c r="AY135" s="268">
        <v>9600</v>
      </c>
      <c r="AZ135" s="257">
        <f t="shared" si="44"/>
        <v>2016</v>
      </c>
      <c r="BA135" s="270">
        <v>7200</v>
      </c>
      <c r="BB135" s="257">
        <f t="shared" si="45"/>
        <v>1512</v>
      </c>
      <c r="BC135" s="268">
        <v>4800</v>
      </c>
      <c r="BD135" s="257">
        <f t="shared" si="46"/>
        <v>1008</v>
      </c>
      <c r="BE135" s="268">
        <v>7200</v>
      </c>
      <c r="BF135" s="257">
        <f t="shared" si="52"/>
        <v>144</v>
      </c>
      <c r="BG135" s="268">
        <v>2400</v>
      </c>
      <c r="BH135" s="257">
        <f t="shared" si="47"/>
        <v>48</v>
      </c>
      <c r="BI135" s="268">
        <v>2400</v>
      </c>
      <c r="BJ135" s="257">
        <f t="shared" si="48"/>
        <v>48</v>
      </c>
      <c r="BK135" s="268">
        <v>2400</v>
      </c>
      <c r="BL135" s="257">
        <f t="shared" si="11"/>
        <v>48</v>
      </c>
      <c r="BM135" s="1" t="s">
        <v>608</v>
      </c>
      <c r="BO135" s="1" t="s">
        <v>457</v>
      </c>
      <c r="BP135" s="1" t="s">
        <v>609</v>
      </c>
    </row>
    <row r="136" spans="1:68" ht="15.75" customHeight="1">
      <c r="A136" s="250" t="s">
        <v>451</v>
      </c>
      <c r="B136" s="59" t="s">
        <v>363</v>
      </c>
      <c r="C136" s="354" t="s">
        <v>172</v>
      </c>
      <c r="D136" s="424"/>
      <c r="E136" s="357" t="s">
        <v>214</v>
      </c>
      <c r="F136" s="421"/>
      <c r="G136" s="317">
        <v>2024</v>
      </c>
      <c r="H136" s="59" t="s">
        <v>610</v>
      </c>
      <c r="I136" s="315" t="s">
        <v>190</v>
      </c>
      <c r="J136" s="318" t="s">
        <v>217</v>
      </c>
      <c r="K136" s="59" t="s">
        <v>217</v>
      </c>
      <c r="L136" s="59" t="s">
        <v>177</v>
      </c>
      <c r="M136" s="303" t="s">
        <v>592</v>
      </c>
      <c r="N136" s="300">
        <v>4.6399999999999997</v>
      </c>
      <c r="O136" s="300">
        <v>5.05</v>
      </c>
      <c r="P136" s="300">
        <v>5.7</v>
      </c>
      <c r="Q136" s="300">
        <v>5.7</v>
      </c>
      <c r="R136" s="300">
        <v>5.7</v>
      </c>
      <c r="S136" s="300">
        <v>5.7</v>
      </c>
      <c r="T136" s="300">
        <v>5.7</v>
      </c>
      <c r="U136" s="300">
        <v>5.7</v>
      </c>
      <c r="V136" s="300">
        <v>5.7</v>
      </c>
      <c r="W136" s="300">
        <v>5.7</v>
      </c>
      <c r="X136" s="300">
        <v>5.05</v>
      </c>
      <c r="Y136" s="300">
        <v>5.05</v>
      </c>
      <c r="Z136" s="300">
        <v>5.05</v>
      </c>
      <c r="AA136" s="300">
        <v>5.05</v>
      </c>
      <c r="AB136" s="59">
        <v>0.26</v>
      </c>
      <c r="AC136" s="59">
        <v>0.76</v>
      </c>
      <c r="AD136" s="59">
        <v>0.76</v>
      </c>
      <c r="AE136" s="59">
        <v>0.76</v>
      </c>
      <c r="AF136" s="59">
        <v>0.76</v>
      </c>
      <c r="AG136" s="59">
        <v>0.76</v>
      </c>
      <c r="AH136" s="59">
        <v>0.76</v>
      </c>
      <c r="AI136" s="59">
        <v>0.76</v>
      </c>
      <c r="AJ136" s="59">
        <v>0.76</v>
      </c>
      <c r="AK136" s="59">
        <v>0.26</v>
      </c>
      <c r="AL136" s="59">
        <v>0.26</v>
      </c>
      <c r="AM136" s="59">
        <v>0.26</v>
      </c>
      <c r="AN136" s="59">
        <v>0.26</v>
      </c>
      <c r="AO136" s="255"/>
      <c r="AP136" s="254">
        <f t="shared" si="39"/>
        <v>0</v>
      </c>
      <c r="AQ136" s="270">
        <v>12</v>
      </c>
      <c r="AR136" s="254">
        <f t="shared" si="40"/>
        <v>9.120000000000001</v>
      </c>
      <c r="AS136" s="255"/>
      <c r="AT136" s="254">
        <f t="shared" si="41"/>
        <v>0</v>
      </c>
      <c r="AU136" s="256"/>
      <c r="AV136" s="257">
        <f t="shared" si="42"/>
        <v>0</v>
      </c>
      <c r="AW136" s="382">
        <v>286</v>
      </c>
      <c r="AX136" s="257">
        <f t="shared" si="43"/>
        <v>217.36</v>
      </c>
      <c r="AY136" s="268">
        <v>432</v>
      </c>
      <c r="AZ136" s="257">
        <f t="shared" si="44"/>
        <v>328.32</v>
      </c>
      <c r="BA136" s="268">
        <v>492</v>
      </c>
      <c r="BB136" s="257">
        <f t="shared" si="45"/>
        <v>373.92</v>
      </c>
      <c r="BC136" s="268">
        <v>1176</v>
      </c>
      <c r="BD136" s="257">
        <f t="shared" si="46"/>
        <v>893.76</v>
      </c>
      <c r="BE136" s="268">
        <v>516</v>
      </c>
      <c r="BF136" s="257">
        <f t="shared" si="52"/>
        <v>134.16</v>
      </c>
      <c r="BG136" s="268">
        <v>672</v>
      </c>
      <c r="BH136" s="257">
        <f t="shared" si="47"/>
        <v>174.72</v>
      </c>
      <c r="BI136" s="268">
        <v>420</v>
      </c>
      <c r="BJ136" s="257">
        <f t="shared" si="48"/>
        <v>109.2</v>
      </c>
      <c r="BK136" s="268">
        <v>552</v>
      </c>
      <c r="BL136" s="257">
        <f t="shared" si="11"/>
        <v>143.52000000000001</v>
      </c>
      <c r="BM136" s="1" t="s">
        <v>611</v>
      </c>
      <c r="BN136" s="1" t="s">
        <v>612</v>
      </c>
      <c r="BO136" s="1" t="s">
        <v>457</v>
      </c>
      <c r="BP136" s="1" t="s">
        <v>613</v>
      </c>
    </row>
    <row r="137" spans="1:68" ht="15.75" customHeight="1">
      <c r="A137" s="250" t="s">
        <v>451</v>
      </c>
      <c r="B137" s="59" t="s">
        <v>363</v>
      </c>
      <c r="C137" s="354" t="s">
        <v>172</v>
      </c>
      <c r="D137" s="424"/>
      <c r="E137" s="357" t="s">
        <v>214</v>
      </c>
      <c r="F137" s="421"/>
      <c r="G137" s="317">
        <v>2024</v>
      </c>
      <c r="H137" s="59" t="s">
        <v>610</v>
      </c>
      <c r="I137" s="315" t="s">
        <v>190</v>
      </c>
      <c r="J137" s="318" t="s">
        <v>217</v>
      </c>
      <c r="K137" s="59" t="s">
        <v>217</v>
      </c>
      <c r="L137" s="59" t="s">
        <v>177</v>
      </c>
      <c r="M137" s="303" t="s">
        <v>455</v>
      </c>
      <c r="N137" s="300">
        <v>4.6399999999999997</v>
      </c>
      <c r="O137" s="300">
        <v>5.05</v>
      </c>
      <c r="P137" s="300">
        <v>5.7</v>
      </c>
      <c r="Q137" s="300">
        <v>5.7</v>
      </c>
      <c r="R137" s="300">
        <v>5.7</v>
      </c>
      <c r="S137" s="300">
        <v>5.7</v>
      </c>
      <c r="T137" s="300">
        <v>5.7</v>
      </c>
      <c r="U137" s="300">
        <v>5.7</v>
      </c>
      <c r="V137" s="300">
        <v>5.7</v>
      </c>
      <c r="W137" s="300">
        <v>5.7</v>
      </c>
      <c r="X137" s="300">
        <v>5.05</v>
      </c>
      <c r="Y137" s="300">
        <v>5.05</v>
      </c>
      <c r="Z137" s="300">
        <v>5.05</v>
      </c>
      <c r="AA137" s="300">
        <v>5.05</v>
      </c>
      <c r="AB137" s="59">
        <v>0.26</v>
      </c>
      <c r="AC137" s="59">
        <v>0.76</v>
      </c>
      <c r="AD137" s="59">
        <v>0.76</v>
      </c>
      <c r="AE137" s="59">
        <v>0.76</v>
      </c>
      <c r="AF137" s="59">
        <v>0.76</v>
      </c>
      <c r="AG137" s="59">
        <v>0.76</v>
      </c>
      <c r="AH137" s="59">
        <v>0.76</v>
      </c>
      <c r="AI137" s="59">
        <v>0.76</v>
      </c>
      <c r="AJ137" s="59">
        <v>0.76</v>
      </c>
      <c r="AK137" s="59">
        <v>0.26</v>
      </c>
      <c r="AL137" s="59">
        <v>0.26</v>
      </c>
      <c r="AM137" s="59">
        <v>0.26</v>
      </c>
      <c r="AN137" s="59">
        <v>0.26</v>
      </c>
      <c r="AO137" s="255"/>
      <c r="AP137" s="254">
        <f t="shared" si="39"/>
        <v>0</v>
      </c>
      <c r="AQ137" s="270">
        <v>45</v>
      </c>
      <c r="AR137" s="254">
        <f t="shared" si="40"/>
        <v>34.200000000000003</v>
      </c>
      <c r="AS137" s="255"/>
      <c r="AT137" s="254">
        <f t="shared" si="41"/>
        <v>0</v>
      </c>
      <c r="AU137" s="256"/>
      <c r="AV137" s="257">
        <f t="shared" si="42"/>
        <v>0</v>
      </c>
      <c r="AW137" s="382">
        <v>12</v>
      </c>
      <c r="AX137" s="257">
        <f t="shared" si="43"/>
        <v>9.120000000000001</v>
      </c>
      <c r="AY137" s="268">
        <v>216</v>
      </c>
      <c r="AZ137" s="257">
        <f t="shared" si="44"/>
        <v>164.16</v>
      </c>
      <c r="BA137" s="268"/>
      <c r="BB137" s="257">
        <f t="shared" si="45"/>
        <v>0</v>
      </c>
      <c r="BC137" s="268">
        <v>396</v>
      </c>
      <c r="BD137" s="257">
        <f t="shared" si="46"/>
        <v>300.95999999999998</v>
      </c>
      <c r="BE137" s="268">
        <v>852</v>
      </c>
      <c r="BF137" s="257">
        <f t="shared" si="52"/>
        <v>221.52</v>
      </c>
      <c r="BG137" s="268">
        <v>336</v>
      </c>
      <c r="BH137" s="257">
        <f t="shared" si="47"/>
        <v>87.36</v>
      </c>
      <c r="BI137" s="268">
        <v>1140</v>
      </c>
      <c r="BJ137" s="257">
        <f t="shared" si="48"/>
        <v>296.40000000000003</v>
      </c>
      <c r="BK137" s="268">
        <v>468</v>
      </c>
      <c r="BL137" s="257">
        <f t="shared" si="11"/>
        <v>121.68</v>
      </c>
      <c r="BM137" s="1" t="s">
        <v>611</v>
      </c>
      <c r="BN137" s="1" t="s">
        <v>612</v>
      </c>
      <c r="BO137" s="1" t="s">
        <v>457</v>
      </c>
      <c r="BP137" s="1" t="s">
        <v>613</v>
      </c>
    </row>
    <row r="138" spans="1:68" ht="15.75" customHeight="1">
      <c r="A138" s="250" t="s">
        <v>451</v>
      </c>
      <c r="B138" s="59" t="s">
        <v>363</v>
      </c>
      <c r="C138" s="354" t="s">
        <v>172</v>
      </c>
      <c r="D138" s="424"/>
      <c r="E138" s="357" t="s">
        <v>214</v>
      </c>
      <c r="F138" s="421"/>
      <c r="G138" s="317">
        <v>2024</v>
      </c>
      <c r="H138" s="59" t="s">
        <v>610</v>
      </c>
      <c r="I138" s="315" t="s">
        <v>190</v>
      </c>
      <c r="J138" s="318" t="s">
        <v>217</v>
      </c>
      <c r="K138" s="59" t="s">
        <v>217</v>
      </c>
      <c r="L138" s="59" t="s">
        <v>177</v>
      </c>
      <c r="M138" s="303" t="s">
        <v>595</v>
      </c>
      <c r="N138" s="300">
        <v>4.6399999999999997</v>
      </c>
      <c r="O138" s="300">
        <v>5.13</v>
      </c>
      <c r="P138" s="300">
        <v>5.78</v>
      </c>
      <c r="Q138" s="300">
        <v>5.78</v>
      </c>
      <c r="R138" s="300">
        <v>5.78</v>
      </c>
      <c r="S138" s="300">
        <v>5.78</v>
      </c>
      <c r="T138" s="300">
        <v>5.78</v>
      </c>
      <c r="U138" s="300">
        <v>5.78</v>
      </c>
      <c r="V138" s="300">
        <v>5.78</v>
      </c>
      <c r="W138" s="300">
        <v>5.78</v>
      </c>
      <c r="X138" s="300">
        <v>5.13</v>
      </c>
      <c r="Y138" s="300">
        <v>5.13</v>
      </c>
      <c r="Z138" s="300">
        <v>5.13</v>
      </c>
      <c r="AA138" s="300">
        <v>5.13</v>
      </c>
      <c r="AB138" s="59">
        <v>0.26</v>
      </c>
      <c r="AC138" s="59">
        <v>0.76</v>
      </c>
      <c r="AD138" s="59">
        <v>0.76</v>
      </c>
      <c r="AE138" s="59">
        <v>0.76</v>
      </c>
      <c r="AF138" s="59">
        <v>0.76</v>
      </c>
      <c r="AG138" s="59">
        <v>0.76</v>
      </c>
      <c r="AH138" s="59">
        <v>0.76</v>
      </c>
      <c r="AI138" s="59">
        <v>0.76</v>
      </c>
      <c r="AJ138" s="59">
        <v>0.76</v>
      </c>
      <c r="AK138" s="59">
        <v>0.26</v>
      </c>
      <c r="AL138" s="59">
        <v>0.26</v>
      </c>
      <c r="AM138" s="59">
        <v>0.26</v>
      </c>
      <c r="AN138" s="59">
        <v>0.26</v>
      </c>
      <c r="AO138" s="255"/>
      <c r="AP138" s="254">
        <f t="shared" si="39"/>
        <v>0</v>
      </c>
      <c r="AQ138" s="270"/>
      <c r="AR138" s="254">
        <f t="shared" si="40"/>
        <v>0</v>
      </c>
      <c r="AS138" s="255"/>
      <c r="AT138" s="254">
        <f t="shared" si="41"/>
        <v>0</v>
      </c>
      <c r="AU138" s="256"/>
      <c r="AV138" s="257">
        <f t="shared" si="42"/>
        <v>0</v>
      </c>
      <c r="AW138" s="382">
        <v>327</v>
      </c>
      <c r="AX138" s="257">
        <f t="shared" si="43"/>
        <v>248.52</v>
      </c>
      <c r="AY138" s="268">
        <v>264</v>
      </c>
      <c r="AZ138" s="257">
        <f t="shared" si="44"/>
        <v>200.64000000000001</v>
      </c>
      <c r="BA138" s="268">
        <v>324</v>
      </c>
      <c r="BB138" s="257">
        <f t="shared" si="45"/>
        <v>246.24</v>
      </c>
      <c r="BC138" s="268">
        <v>612</v>
      </c>
      <c r="BD138" s="257">
        <f t="shared" si="46"/>
        <v>465.12</v>
      </c>
      <c r="BE138" s="268">
        <v>888</v>
      </c>
      <c r="BF138" s="257">
        <f t="shared" si="52"/>
        <v>230.88</v>
      </c>
      <c r="BG138" s="268">
        <v>96</v>
      </c>
      <c r="BH138" s="257">
        <f t="shared" si="47"/>
        <v>24.96</v>
      </c>
      <c r="BI138" s="268">
        <v>1848</v>
      </c>
      <c r="BJ138" s="257">
        <f t="shared" si="48"/>
        <v>480.48</v>
      </c>
      <c r="BK138" s="268">
        <v>1332</v>
      </c>
      <c r="BL138" s="257">
        <f t="shared" si="11"/>
        <v>346.32</v>
      </c>
      <c r="BM138" s="1" t="s">
        <v>611</v>
      </c>
      <c r="BN138" s="1" t="s">
        <v>612</v>
      </c>
      <c r="BO138" s="1" t="s">
        <v>457</v>
      </c>
      <c r="BP138" s="1" t="s">
        <v>614</v>
      </c>
    </row>
    <row r="139" spans="1:68" ht="15.75" customHeight="1">
      <c r="A139" s="250" t="s">
        <v>451</v>
      </c>
      <c r="B139" s="59" t="s">
        <v>363</v>
      </c>
      <c r="C139" s="354" t="s">
        <v>172</v>
      </c>
      <c r="D139" s="424"/>
      <c r="E139" s="357" t="s">
        <v>214</v>
      </c>
      <c r="F139" s="421"/>
      <c r="G139" s="317">
        <v>2024</v>
      </c>
      <c r="H139" s="59" t="s">
        <v>610</v>
      </c>
      <c r="I139" s="315" t="s">
        <v>190</v>
      </c>
      <c r="J139" s="318" t="s">
        <v>217</v>
      </c>
      <c r="K139" s="59" t="s">
        <v>217</v>
      </c>
      <c r="L139" s="59" t="s">
        <v>177</v>
      </c>
      <c r="M139" s="303" t="s">
        <v>597</v>
      </c>
      <c r="N139" s="300">
        <v>4.6399999999999997</v>
      </c>
      <c r="O139" s="300">
        <v>5.05</v>
      </c>
      <c r="P139" s="300">
        <v>5.7</v>
      </c>
      <c r="Q139" s="300">
        <v>5.7</v>
      </c>
      <c r="R139" s="300">
        <v>5.7</v>
      </c>
      <c r="S139" s="300">
        <v>5.7</v>
      </c>
      <c r="T139" s="300">
        <v>5.7</v>
      </c>
      <c r="U139" s="300">
        <v>5.7</v>
      </c>
      <c r="V139" s="300">
        <v>5.7</v>
      </c>
      <c r="W139" s="300">
        <v>5.7</v>
      </c>
      <c r="X139" s="300">
        <v>5.05</v>
      </c>
      <c r="Y139" s="300">
        <v>5.05</v>
      </c>
      <c r="Z139" s="300">
        <v>5.05</v>
      </c>
      <c r="AA139" s="300">
        <v>5.05</v>
      </c>
      <c r="AB139" s="59">
        <v>0.26</v>
      </c>
      <c r="AC139" s="59">
        <v>0.76</v>
      </c>
      <c r="AD139" s="59">
        <v>0.76</v>
      </c>
      <c r="AE139" s="59">
        <v>0.76</v>
      </c>
      <c r="AF139" s="59">
        <v>0.76</v>
      </c>
      <c r="AG139" s="59">
        <v>0.76</v>
      </c>
      <c r="AH139" s="59">
        <v>0.76</v>
      </c>
      <c r="AI139" s="59">
        <v>0.76</v>
      </c>
      <c r="AJ139" s="59">
        <v>0.76</v>
      </c>
      <c r="AK139" s="59">
        <v>0.26</v>
      </c>
      <c r="AL139" s="59">
        <v>0.26</v>
      </c>
      <c r="AM139" s="59">
        <v>0.26</v>
      </c>
      <c r="AN139" s="59">
        <v>0.26</v>
      </c>
      <c r="AO139" s="255"/>
      <c r="AP139" s="254">
        <f t="shared" si="39"/>
        <v>0</v>
      </c>
      <c r="AQ139" s="270"/>
      <c r="AR139" s="254">
        <f t="shared" si="40"/>
        <v>0</v>
      </c>
      <c r="AS139" s="255"/>
      <c r="AT139" s="254">
        <f t="shared" si="41"/>
        <v>0</v>
      </c>
      <c r="AU139" s="256"/>
      <c r="AV139" s="257">
        <f t="shared" si="42"/>
        <v>0</v>
      </c>
      <c r="AW139" s="382"/>
      <c r="AX139" s="257">
        <f t="shared" si="43"/>
        <v>0</v>
      </c>
      <c r="AY139" s="268"/>
      <c r="AZ139" s="257">
        <f t="shared" si="44"/>
        <v>0</v>
      </c>
      <c r="BA139" s="268"/>
      <c r="BB139" s="257">
        <f t="shared" si="45"/>
        <v>0</v>
      </c>
      <c r="BC139" s="268">
        <v>120</v>
      </c>
      <c r="BD139" s="257">
        <f t="shared" si="46"/>
        <v>91.2</v>
      </c>
      <c r="BE139" s="268">
        <v>360</v>
      </c>
      <c r="BF139" s="257">
        <f t="shared" si="52"/>
        <v>93.600000000000009</v>
      </c>
      <c r="BG139" s="268"/>
      <c r="BH139" s="257">
        <f t="shared" si="47"/>
        <v>0</v>
      </c>
      <c r="BI139" s="268"/>
      <c r="BJ139" s="257">
        <f t="shared" si="48"/>
        <v>0</v>
      </c>
      <c r="BK139" s="268">
        <v>360</v>
      </c>
      <c r="BL139" s="257">
        <f t="shared" si="11"/>
        <v>93.600000000000009</v>
      </c>
      <c r="BM139" s="1" t="s">
        <v>611</v>
      </c>
      <c r="BN139" s="1" t="s">
        <v>612</v>
      </c>
      <c r="BO139" s="1" t="s">
        <v>457</v>
      </c>
      <c r="BP139" s="1" t="s">
        <v>614</v>
      </c>
    </row>
    <row r="140" spans="1:68" ht="15.75" customHeight="1">
      <c r="A140" s="250" t="s">
        <v>451</v>
      </c>
      <c r="B140" s="59" t="s">
        <v>363</v>
      </c>
      <c r="C140" s="354" t="s">
        <v>172</v>
      </c>
      <c r="D140" s="424"/>
      <c r="E140" s="357" t="s">
        <v>214</v>
      </c>
      <c r="F140" s="421"/>
      <c r="G140" s="317">
        <v>2024</v>
      </c>
      <c r="H140" s="59" t="s">
        <v>610</v>
      </c>
      <c r="I140" s="315" t="s">
        <v>190</v>
      </c>
      <c r="J140" s="318" t="s">
        <v>217</v>
      </c>
      <c r="K140" s="59" t="s">
        <v>217</v>
      </c>
      <c r="L140" s="59" t="s">
        <v>177</v>
      </c>
      <c r="M140" s="303" t="s">
        <v>598</v>
      </c>
      <c r="N140" s="300">
        <v>4.6399999999999997</v>
      </c>
      <c r="O140" s="300">
        <v>5.05</v>
      </c>
      <c r="P140" s="300">
        <v>5.7</v>
      </c>
      <c r="Q140" s="300">
        <v>5.7</v>
      </c>
      <c r="R140" s="300">
        <v>5.7</v>
      </c>
      <c r="S140" s="300">
        <v>5.7</v>
      </c>
      <c r="T140" s="300">
        <v>5.7</v>
      </c>
      <c r="U140" s="300">
        <v>5.7</v>
      </c>
      <c r="V140" s="300">
        <v>5.7</v>
      </c>
      <c r="W140" s="300">
        <v>5.7</v>
      </c>
      <c r="X140" s="300">
        <v>5.05</v>
      </c>
      <c r="Y140" s="300">
        <v>5.05</v>
      </c>
      <c r="Z140" s="300">
        <v>5.05</v>
      </c>
      <c r="AA140" s="300">
        <v>5.05</v>
      </c>
      <c r="AB140" s="59">
        <v>0.26</v>
      </c>
      <c r="AC140" s="59">
        <v>0.76</v>
      </c>
      <c r="AD140" s="59">
        <v>0.76</v>
      </c>
      <c r="AE140" s="59">
        <v>0.76</v>
      </c>
      <c r="AF140" s="59">
        <v>0.76</v>
      </c>
      <c r="AG140" s="59">
        <v>0.76</v>
      </c>
      <c r="AH140" s="59">
        <v>0.76</v>
      </c>
      <c r="AI140" s="59">
        <v>0.76</v>
      </c>
      <c r="AJ140" s="59">
        <v>0.76</v>
      </c>
      <c r="AK140" s="59">
        <v>0.26</v>
      </c>
      <c r="AL140" s="59">
        <v>0.26</v>
      </c>
      <c r="AM140" s="59">
        <v>0.26</v>
      </c>
      <c r="AN140" s="59">
        <v>0.26</v>
      </c>
      <c r="AO140" s="255"/>
      <c r="AP140" s="254">
        <f t="shared" si="39"/>
        <v>0</v>
      </c>
      <c r="AQ140" s="270"/>
      <c r="AR140" s="254">
        <f t="shared" si="40"/>
        <v>0</v>
      </c>
      <c r="AS140" s="255"/>
      <c r="AT140" s="254">
        <f t="shared" si="41"/>
        <v>0</v>
      </c>
      <c r="AU140" s="256"/>
      <c r="AV140" s="257">
        <f t="shared" si="42"/>
        <v>0</v>
      </c>
      <c r="AW140" s="382"/>
      <c r="AX140" s="257">
        <f t="shared" si="43"/>
        <v>0</v>
      </c>
      <c r="AY140" s="268"/>
      <c r="AZ140" s="257">
        <f t="shared" si="44"/>
        <v>0</v>
      </c>
      <c r="BA140" s="268">
        <v>24</v>
      </c>
      <c r="BB140" s="257">
        <f t="shared" si="45"/>
        <v>18.240000000000002</v>
      </c>
      <c r="BC140" s="268">
        <v>240</v>
      </c>
      <c r="BD140" s="257">
        <f t="shared" si="46"/>
        <v>182.4</v>
      </c>
      <c r="BE140" s="268">
        <v>384</v>
      </c>
      <c r="BF140" s="257">
        <f t="shared" si="52"/>
        <v>99.84</v>
      </c>
      <c r="BG140" s="268">
        <v>1092</v>
      </c>
      <c r="BH140" s="257">
        <f t="shared" si="47"/>
        <v>283.92</v>
      </c>
      <c r="BI140" s="268">
        <v>732</v>
      </c>
      <c r="BJ140" s="257">
        <f t="shared" si="48"/>
        <v>190.32</v>
      </c>
      <c r="BK140" s="268">
        <v>1260</v>
      </c>
      <c r="BL140" s="257">
        <f t="shared" si="11"/>
        <v>327.60000000000002</v>
      </c>
      <c r="BM140" s="1" t="s">
        <v>611</v>
      </c>
      <c r="BN140" s="1" t="s">
        <v>612</v>
      </c>
      <c r="BO140" s="1" t="s">
        <v>457</v>
      </c>
      <c r="BP140" s="1" t="s">
        <v>614</v>
      </c>
    </row>
    <row r="141" spans="1:68" ht="15.75" customHeight="1">
      <c r="A141" s="250" t="s">
        <v>451</v>
      </c>
      <c r="B141" s="59" t="s">
        <v>363</v>
      </c>
      <c r="C141" s="354" t="s">
        <v>172</v>
      </c>
      <c r="D141" s="424"/>
      <c r="E141" s="357" t="s">
        <v>214</v>
      </c>
      <c r="F141" s="421"/>
      <c r="G141" s="317">
        <v>2024</v>
      </c>
      <c r="H141" s="59" t="s">
        <v>610</v>
      </c>
      <c r="I141" s="315" t="s">
        <v>190</v>
      </c>
      <c r="J141" s="318" t="s">
        <v>217</v>
      </c>
      <c r="K141" s="59" t="s">
        <v>217</v>
      </c>
      <c r="L141" s="59" t="s">
        <v>177</v>
      </c>
      <c r="M141" s="303" t="s">
        <v>599</v>
      </c>
      <c r="N141" s="300">
        <v>4.6399999999999997</v>
      </c>
      <c r="O141" s="300">
        <v>5.05</v>
      </c>
      <c r="P141" s="300">
        <v>5.7</v>
      </c>
      <c r="Q141" s="300">
        <v>5.7</v>
      </c>
      <c r="R141" s="300">
        <v>5.7</v>
      </c>
      <c r="S141" s="300">
        <v>5.7</v>
      </c>
      <c r="T141" s="300">
        <v>5.7</v>
      </c>
      <c r="U141" s="300">
        <v>5.7</v>
      </c>
      <c r="V141" s="300">
        <v>5.7</v>
      </c>
      <c r="W141" s="300">
        <v>5.7</v>
      </c>
      <c r="X141" s="300">
        <v>5.05</v>
      </c>
      <c r="Y141" s="300">
        <v>5.05</v>
      </c>
      <c r="Z141" s="300">
        <v>5.05</v>
      </c>
      <c r="AA141" s="300">
        <v>5.05</v>
      </c>
      <c r="AB141" s="59">
        <v>0.26</v>
      </c>
      <c r="AC141" s="59">
        <v>0.76</v>
      </c>
      <c r="AD141" s="59">
        <v>0.76</v>
      </c>
      <c r="AE141" s="59">
        <v>0.76</v>
      </c>
      <c r="AF141" s="59">
        <v>0.76</v>
      </c>
      <c r="AG141" s="59">
        <v>0.76</v>
      </c>
      <c r="AH141" s="59">
        <v>0.76</v>
      </c>
      <c r="AI141" s="59">
        <v>0.76</v>
      </c>
      <c r="AJ141" s="59">
        <v>0.76</v>
      </c>
      <c r="AK141" s="59">
        <v>0.26</v>
      </c>
      <c r="AL141" s="59">
        <v>0.26</v>
      </c>
      <c r="AM141" s="59">
        <v>0.26</v>
      </c>
      <c r="AN141" s="59">
        <v>0.26</v>
      </c>
      <c r="AO141" s="255"/>
      <c r="AP141" s="254">
        <f t="shared" si="39"/>
        <v>0</v>
      </c>
      <c r="AQ141" s="270"/>
      <c r="AR141" s="254">
        <f t="shared" si="40"/>
        <v>0</v>
      </c>
      <c r="AS141" s="255"/>
      <c r="AT141" s="254">
        <f t="shared" si="41"/>
        <v>0</v>
      </c>
      <c r="AU141" s="256"/>
      <c r="AV141" s="257">
        <f t="shared" si="42"/>
        <v>0</v>
      </c>
      <c r="AW141" s="382"/>
      <c r="AX141" s="257">
        <f t="shared" si="43"/>
        <v>0</v>
      </c>
      <c r="AY141" s="268"/>
      <c r="AZ141" s="257">
        <f t="shared" si="44"/>
        <v>0</v>
      </c>
      <c r="BA141" s="268"/>
      <c r="BB141" s="257">
        <f t="shared" si="45"/>
        <v>0</v>
      </c>
      <c r="BC141" s="268"/>
      <c r="BD141" s="257">
        <f t="shared" si="46"/>
        <v>0</v>
      </c>
      <c r="BE141" s="268"/>
      <c r="BF141" s="257">
        <f t="shared" si="52"/>
        <v>0</v>
      </c>
      <c r="BG141" s="268">
        <v>180</v>
      </c>
      <c r="BH141" s="257">
        <f t="shared" si="47"/>
        <v>46.800000000000004</v>
      </c>
      <c r="BI141" s="268"/>
      <c r="BJ141" s="257">
        <f t="shared" si="48"/>
        <v>0</v>
      </c>
      <c r="BK141" s="268"/>
      <c r="BL141" s="257">
        <f t="shared" si="11"/>
        <v>0</v>
      </c>
      <c r="BM141" s="1" t="s">
        <v>611</v>
      </c>
      <c r="BN141" s="1" t="s">
        <v>612</v>
      </c>
      <c r="BO141" s="1" t="s">
        <v>457</v>
      </c>
      <c r="BP141" s="1" t="s">
        <v>614</v>
      </c>
    </row>
    <row r="142" spans="1:68" ht="15.75" customHeight="1">
      <c r="A142" s="250" t="s">
        <v>451</v>
      </c>
      <c r="B142" s="59" t="s">
        <v>363</v>
      </c>
      <c r="C142" s="354" t="s">
        <v>172</v>
      </c>
      <c r="D142" s="424"/>
      <c r="E142" s="357" t="s">
        <v>214</v>
      </c>
      <c r="F142" s="421"/>
      <c r="G142" s="317">
        <v>2024</v>
      </c>
      <c r="H142" s="59" t="s">
        <v>610</v>
      </c>
      <c r="I142" s="315" t="s">
        <v>190</v>
      </c>
      <c r="J142" s="318" t="s">
        <v>217</v>
      </c>
      <c r="K142" s="59" t="s">
        <v>217</v>
      </c>
      <c r="L142" s="59" t="s">
        <v>177</v>
      </c>
      <c r="M142" s="303" t="s">
        <v>600</v>
      </c>
      <c r="N142" s="300">
        <v>4.6399999999999997</v>
      </c>
      <c r="O142" s="300">
        <v>4.87</v>
      </c>
      <c r="P142" s="300">
        <v>5.52</v>
      </c>
      <c r="Q142" s="300">
        <v>5.52</v>
      </c>
      <c r="R142" s="300">
        <v>5.52</v>
      </c>
      <c r="S142" s="300">
        <v>5.52</v>
      </c>
      <c r="T142" s="300">
        <v>5.52</v>
      </c>
      <c r="U142" s="300">
        <v>5.52</v>
      </c>
      <c r="V142" s="300">
        <v>5.52</v>
      </c>
      <c r="W142" s="300">
        <v>5.52</v>
      </c>
      <c r="X142" s="300">
        <v>4.87</v>
      </c>
      <c r="Y142" s="300">
        <v>4.87</v>
      </c>
      <c r="Z142" s="300">
        <v>4.87</v>
      </c>
      <c r="AA142" s="300">
        <v>4.87</v>
      </c>
      <c r="AB142" s="59">
        <v>0.26</v>
      </c>
      <c r="AC142" s="59">
        <v>0.76</v>
      </c>
      <c r="AD142" s="59">
        <v>0.76</v>
      </c>
      <c r="AE142" s="59">
        <v>0.76</v>
      </c>
      <c r="AF142" s="59">
        <v>0.76</v>
      </c>
      <c r="AG142" s="59">
        <v>0.76</v>
      </c>
      <c r="AH142" s="59">
        <v>0.76</v>
      </c>
      <c r="AI142" s="59">
        <v>0.76</v>
      </c>
      <c r="AJ142" s="59">
        <v>0.76</v>
      </c>
      <c r="AK142" s="59">
        <v>0.26</v>
      </c>
      <c r="AL142" s="59">
        <v>0.26</v>
      </c>
      <c r="AM142" s="59">
        <v>0.26</v>
      </c>
      <c r="AN142" s="59">
        <v>0.26</v>
      </c>
      <c r="AO142" s="255"/>
      <c r="AP142" s="254">
        <f t="shared" si="39"/>
        <v>0</v>
      </c>
      <c r="AQ142" s="270"/>
      <c r="AR142" s="254">
        <f t="shared" si="40"/>
        <v>0</v>
      </c>
      <c r="AS142" s="255"/>
      <c r="AT142" s="254">
        <f t="shared" si="41"/>
        <v>0</v>
      </c>
      <c r="AU142" s="256"/>
      <c r="AV142" s="257">
        <f t="shared" si="42"/>
        <v>0</v>
      </c>
      <c r="AW142" s="382">
        <v>504</v>
      </c>
      <c r="AX142" s="257">
        <f t="shared" si="43"/>
        <v>383.04</v>
      </c>
      <c r="AY142" s="268">
        <v>4440</v>
      </c>
      <c r="AZ142" s="257">
        <f t="shared" si="44"/>
        <v>3374.4</v>
      </c>
      <c r="BA142" s="268"/>
      <c r="BB142" s="257">
        <f t="shared" si="45"/>
        <v>0</v>
      </c>
      <c r="BC142" s="268">
        <v>3000</v>
      </c>
      <c r="BD142" s="257">
        <f t="shared" si="46"/>
        <v>2280</v>
      </c>
      <c r="BE142" s="268">
        <v>4200</v>
      </c>
      <c r="BF142" s="257">
        <f t="shared" si="52"/>
        <v>1092</v>
      </c>
      <c r="BG142" s="268"/>
      <c r="BH142" s="257">
        <f t="shared" si="47"/>
        <v>0</v>
      </c>
      <c r="BI142" s="268"/>
      <c r="BJ142" s="257">
        <f t="shared" si="48"/>
        <v>0</v>
      </c>
      <c r="BK142" s="268"/>
      <c r="BL142" s="257">
        <f t="shared" si="11"/>
        <v>0</v>
      </c>
      <c r="BM142" s="1" t="s">
        <v>611</v>
      </c>
      <c r="BN142" s="1" t="s">
        <v>612</v>
      </c>
      <c r="BO142" s="1" t="s">
        <v>457</v>
      </c>
      <c r="BP142" s="1" t="s">
        <v>614</v>
      </c>
    </row>
    <row r="143" spans="1:68" ht="15.75" customHeight="1">
      <c r="A143" s="250" t="s">
        <v>451</v>
      </c>
      <c r="B143" s="59" t="s">
        <v>363</v>
      </c>
      <c r="C143" s="354" t="s">
        <v>172</v>
      </c>
      <c r="D143" s="424"/>
      <c r="E143" s="357" t="s">
        <v>214</v>
      </c>
      <c r="F143" s="421"/>
      <c r="G143" s="317">
        <v>2024</v>
      </c>
      <c r="H143" s="59" t="s">
        <v>610</v>
      </c>
      <c r="I143" s="315" t="s">
        <v>190</v>
      </c>
      <c r="J143" s="318" t="s">
        <v>217</v>
      </c>
      <c r="K143" s="59" t="s">
        <v>217</v>
      </c>
      <c r="L143" s="59" t="s">
        <v>177</v>
      </c>
      <c r="M143" s="303" t="s">
        <v>602</v>
      </c>
      <c r="N143" s="300">
        <v>4.6399999999999997</v>
      </c>
      <c r="O143" s="300">
        <v>5.09</v>
      </c>
      <c r="P143" s="300">
        <v>5.74</v>
      </c>
      <c r="Q143" s="300">
        <v>5.74</v>
      </c>
      <c r="R143" s="300">
        <v>5.74</v>
      </c>
      <c r="S143" s="300">
        <v>5.74</v>
      </c>
      <c r="T143" s="300">
        <v>5.74</v>
      </c>
      <c r="U143" s="300">
        <v>5.74</v>
      </c>
      <c r="V143" s="300">
        <v>5.74</v>
      </c>
      <c r="W143" s="300">
        <v>5.74</v>
      </c>
      <c r="X143" s="300">
        <v>5.09</v>
      </c>
      <c r="Y143" s="300">
        <v>5.09</v>
      </c>
      <c r="Z143" s="300">
        <v>5.09</v>
      </c>
      <c r="AA143" s="300">
        <v>5.09</v>
      </c>
      <c r="AB143" s="59">
        <v>0.26</v>
      </c>
      <c r="AC143" s="59">
        <v>0.76</v>
      </c>
      <c r="AD143" s="59">
        <v>0.76</v>
      </c>
      <c r="AE143" s="59">
        <v>0.76</v>
      </c>
      <c r="AF143" s="59">
        <v>0.76</v>
      </c>
      <c r="AG143" s="59">
        <v>0.76</v>
      </c>
      <c r="AH143" s="59">
        <v>0.76</v>
      </c>
      <c r="AI143" s="59">
        <v>0.76</v>
      </c>
      <c r="AJ143" s="59">
        <v>0.76</v>
      </c>
      <c r="AK143" s="59">
        <v>0.26</v>
      </c>
      <c r="AL143" s="59">
        <v>0.26</v>
      </c>
      <c r="AM143" s="59">
        <v>0.26</v>
      </c>
      <c r="AN143" s="59">
        <v>0.26</v>
      </c>
      <c r="AO143" s="255"/>
      <c r="AP143" s="254">
        <f t="shared" ref="AP143:AP169" si="53">AC143*AO143</f>
        <v>0</v>
      </c>
      <c r="AQ143" s="270"/>
      <c r="AR143" s="254">
        <f t="shared" ref="AR143:AR169" si="54">AD143*AQ143</f>
        <v>0</v>
      </c>
      <c r="AS143" s="255"/>
      <c r="AT143" s="254">
        <f t="shared" ref="AT143:AT169" si="55">AE143*AS143</f>
        <v>0</v>
      </c>
      <c r="AU143" s="256">
        <v>26</v>
      </c>
      <c r="AV143" s="257">
        <f t="shared" ref="AV143:AV169" si="56">AF143*AU143</f>
        <v>19.760000000000002</v>
      </c>
      <c r="AW143" s="382">
        <v>804</v>
      </c>
      <c r="AX143" s="257">
        <f t="shared" ref="AX143:AX169" si="57">AG143*AW143</f>
        <v>611.04</v>
      </c>
      <c r="AY143" s="268"/>
      <c r="AZ143" s="257">
        <f t="shared" ref="AZ143:AZ169" si="58">AH143*AY143</f>
        <v>0</v>
      </c>
      <c r="BA143" s="268">
        <v>1296</v>
      </c>
      <c r="BB143" s="257">
        <f t="shared" ref="BB143:BB169" si="59">AI143*BA143</f>
        <v>984.96</v>
      </c>
      <c r="BC143" s="268">
        <v>3240</v>
      </c>
      <c r="BD143" s="257">
        <f t="shared" ref="BD143:BD169" si="60">AJ143*BC143</f>
        <v>2462.4</v>
      </c>
      <c r="BE143" s="268">
        <v>8424</v>
      </c>
      <c r="BF143" s="257">
        <f t="shared" si="52"/>
        <v>2190.2400000000002</v>
      </c>
      <c r="BG143" s="268">
        <v>5604</v>
      </c>
      <c r="BH143" s="257">
        <f t="shared" ref="BH143:BH170" si="61">AL143*BG143</f>
        <v>1457.04</v>
      </c>
      <c r="BI143" s="268">
        <v>15912</v>
      </c>
      <c r="BJ143" s="257">
        <f t="shared" ref="BJ143:BJ169" si="62">AM143*BI143</f>
        <v>4137.12</v>
      </c>
      <c r="BK143" s="268"/>
      <c r="BL143" s="257">
        <f t="shared" si="11"/>
        <v>0</v>
      </c>
      <c r="BM143" s="1" t="s">
        <v>611</v>
      </c>
      <c r="BN143" s="1" t="s">
        <v>612</v>
      </c>
      <c r="BO143" s="1" t="s">
        <v>457</v>
      </c>
      <c r="BP143" s="1" t="s">
        <v>614</v>
      </c>
    </row>
    <row r="144" spans="1:68" ht="15.75" customHeight="1">
      <c r="A144" s="250" t="s">
        <v>451</v>
      </c>
      <c r="B144" s="59" t="s">
        <v>363</v>
      </c>
      <c r="C144" s="354" t="s">
        <v>172</v>
      </c>
      <c r="D144" s="424"/>
      <c r="E144" s="357" t="s">
        <v>214</v>
      </c>
      <c r="F144" s="421"/>
      <c r="G144" s="317">
        <v>2024</v>
      </c>
      <c r="H144" s="59" t="s">
        <v>615</v>
      </c>
      <c r="I144" s="315" t="s">
        <v>220</v>
      </c>
      <c r="J144" s="318" t="s">
        <v>217</v>
      </c>
      <c r="K144" s="59" t="s">
        <v>217</v>
      </c>
      <c r="L144" s="59" t="s">
        <v>177</v>
      </c>
      <c r="M144" s="303" t="s">
        <v>592</v>
      </c>
      <c r="N144" s="303">
        <v>1.99</v>
      </c>
      <c r="O144" s="303">
        <v>2.13</v>
      </c>
      <c r="P144" s="303">
        <v>2.27</v>
      </c>
      <c r="Q144" s="303">
        <v>2.27</v>
      </c>
      <c r="R144" s="303">
        <v>2.27</v>
      </c>
      <c r="S144" s="303">
        <v>2.27</v>
      </c>
      <c r="T144" s="303">
        <v>2.27</v>
      </c>
      <c r="U144" s="303">
        <v>2.27</v>
      </c>
      <c r="V144" s="303">
        <v>2.27</v>
      </c>
      <c r="W144" s="303">
        <v>2.27</v>
      </c>
      <c r="X144" s="303">
        <v>2.13</v>
      </c>
      <c r="Y144" s="303">
        <v>2.13</v>
      </c>
      <c r="Z144" s="303">
        <v>2.13</v>
      </c>
      <c r="AA144" s="303">
        <v>2.13</v>
      </c>
      <c r="AB144" s="59">
        <v>0.16</v>
      </c>
      <c r="AC144" s="59">
        <v>0.2</v>
      </c>
      <c r="AD144" s="59">
        <v>0.2</v>
      </c>
      <c r="AE144" s="59">
        <v>0.2</v>
      </c>
      <c r="AF144" s="59">
        <v>0.2</v>
      </c>
      <c r="AG144" s="59">
        <v>0.2</v>
      </c>
      <c r="AH144" s="59">
        <v>0.2</v>
      </c>
      <c r="AI144" s="59">
        <v>0.2</v>
      </c>
      <c r="AJ144" s="59">
        <v>0.2</v>
      </c>
      <c r="AK144" s="59">
        <v>0.16</v>
      </c>
      <c r="AL144" s="59">
        <v>0.16</v>
      </c>
      <c r="AM144" s="59">
        <v>0.16</v>
      </c>
      <c r="AN144" s="59">
        <v>0.16</v>
      </c>
      <c r="AO144" s="255"/>
      <c r="AP144" s="254">
        <f t="shared" si="53"/>
        <v>0</v>
      </c>
      <c r="AQ144" s="270"/>
      <c r="AR144" s="254">
        <f t="shared" si="54"/>
        <v>0</v>
      </c>
      <c r="AS144" s="255"/>
      <c r="AT144" s="254">
        <f t="shared" si="55"/>
        <v>0</v>
      </c>
      <c r="AU144" s="256"/>
      <c r="AV144" s="257">
        <f t="shared" si="56"/>
        <v>0</v>
      </c>
      <c r="AW144" s="382"/>
      <c r="AX144" s="257">
        <f t="shared" si="57"/>
        <v>0</v>
      </c>
      <c r="AY144" s="268">
        <v>600</v>
      </c>
      <c r="AZ144" s="257">
        <f t="shared" si="58"/>
        <v>120</v>
      </c>
      <c r="BA144" s="268">
        <v>600</v>
      </c>
      <c r="BB144" s="257">
        <f t="shared" si="59"/>
        <v>120</v>
      </c>
      <c r="BC144" s="268">
        <v>1680</v>
      </c>
      <c r="BD144" s="257">
        <f t="shared" si="60"/>
        <v>336</v>
      </c>
      <c r="BE144" s="268">
        <v>960</v>
      </c>
      <c r="BF144" s="257">
        <f t="shared" si="52"/>
        <v>153.6</v>
      </c>
      <c r="BG144" s="268">
        <v>720</v>
      </c>
      <c r="BH144" s="257">
        <f t="shared" si="61"/>
        <v>115.2</v>
      </c>
      <c r="BI144" s="268">
        <v>840</v>
      </c>
      <c r="BJ144" s="257">
        <f t="shared" si="62"/>
        <v>134.4</v>
      </c>
      <c r="BK144" s="268">
        <v>480</v>
      </c>
      <c r="BL144" s="257">
        <f t="shared" si="11"/>
        <v>76.8</v>
      </c>
      <c r="BM144" s="1" t="s">
        <v>616</v>
      </c>
      <c r="BN144" s="1" t="s">
        <v>617</v>
      </c>
      <c r="BO144" s="1" t="s">
        <v>457</v>
      </c>
      <c r="BP144" s="1" t="s">
        <v>618</v>
      </c>
    </row>
    <row r="145" spans="1:68" ht="15.75" customHeight="1">
      <c r="A145" s="250" t="s">
        <v>451</v>
      </c>
      <c r="B145" s="59" t="s">
        <v>363</v>
      </c>
      <c r="C145" s="354" t="s">
        <v>172</v>
      </c>
      <c r="D145" s="424"/>
      <c r="E145" s="357" t="s">
        <v>214</v>
      </c>
      <c r="F145" s="421"/>
      <c r="G145" s="317">
        <v>2024</v>
      </c>
      <c r="H145" s="59" t="s">
        <v>615</v>
      </c>
      <c r="I145" s="315" t="s">
        <v>220</v>
      </c>
      <c r="J145" s="318" t="s">
        <v>217</v>
      </c>
      <c r="K145" s="59" t="s">
        <v>217</v>
      </c>
      <c r="L145" s="59" t="s">
        <v>177</v>
      </c>
      <c r="M145" s="303" t="s">
        <v>455</v>
      </c>
      <c r="N145" s="303">
        <v>1.99</v>
      </c>
      <c r="O145" s="303">
        <v>2.13</v>
      </c>
      <c r="P145" s="303">
        <v>2.27</v>
      </c>
      <c r="Q145" s="303">
        <v>2.27</v>
      </c>
      <c r="R145" s="303">
        <v>2.27</v>
      </c>
      <c r="S145" s="303">
        <v>2.27</v>
      </c>
      <c r="T145" s="303">
        <v>2.27</v>
      </c>
      <c r="U145" s="303">
        <v>2.27</v>
      </c>
      <c r="V145" s="303">
        <v>2.27</v>
      </c>
      <c r="W145" s="303">
        <v>2.27</v>
      </c>
      <c r="X145" s="303">
        <v>2.13</v>
      </c>
      <c r="Y145" s="303">
        <v>2.13</v>
      </c>
      <c r="Z145" s="303">
        <v>2.13</v>
      </c>
      <c r="AA145" s="303">
        <v>2.13</v>
      </c>
      <c r="AB145" s="59">
        <v>0.16</v>
      </c>
      <c r="AC145" s="59">
        <v>0.2</v>
      </c>
      <c r="AD145" s="59">
        <v>0.2</v>
      </c>
      <c r="AE145" s="59">
        <v>0.2</v>
      </c>
      <c r="AF145" s="59">
        <v>0.2</v>
      </c>
      <c r="AG145" s="59">
        <v>0.2</v>
      </c>
      <c r="AH145" s="59">
        <v>0.2</v>
      </c>
      <c r="AI145" s="59">
        <v>0.2</v>
      </c>
      <c r="AJ145" s="59">
        <v>0.2</v>
      </c>
      <c r="AK145" s="59">
        <v>0.16</v>
      </c>
      <c r="AL145" s="59">
        <v>0.16</v>
      </c>
      <c r="AM145" s="59">
        <v>0.16</v>
      </c>
      <c r="AN145" s="59">
        <v>0.16</v>
      </c>
      <c r="AO145" s="255"/>
      <c r="AP145" s="254">
        <f t="shared" si="53"/>
        <v>0</v>
      </c>
      <c r="AQ145" s="270">
        <v>35</v>
      </c>
      <c r="AR145" s="254">
        <f t="shared" si="54"/>
        <v>7</v>
      </c>
      <c r="AS145" s="255"/>
      <c r="AT145" s="254">
        <f t="shared" si="55"/>
        <v>0</v>
      </c>
      <c r="AU145" s="256"/>
      <c r="AV145" s="257">
        <f t="shared" si="56"/>
        <v>0</v>
      </c>
      <c r="AW145" s="382"/>
      <c r="AX145" s="257">
        <f t="shared" si="57"/>
        <v>0</v>
      </c>
      <c r="AY145" s="268"/>
      <c r="AZ145" s="257">
        <f t="shared" si="58"/>
        <v>0</v>
      </c>
      <c r="BA145" s="268"/>
      <c r="BB145" s="257">
        <f t="shared" si="59"/>
        <v>0</v>
      </c>
      <c r="BC145" s="268">
        <v>1080</v>
      </c>
      <c r="BD145" s="257">
        <f t="shared" si="60"/>
        <v>216</v>
      </c>
      <c r="BE145" s="268">
        <v>960</v>
      </c>
      <c r="BF145" s="257">
        <f t="shared" si="52"/>
        <v>153.6</v>
      </c>
      <c r="BG145" s="268">
        <v>840</v>
      </c>
      <c r="BH145" s="257">
        <f t="shared" si="61"/>
        <v>134.4</v>
      </c>
      <c r="BI145" s="268">
        <v>1320</v>
      </c>
      <c r="BJ145" s="257">
        <f t="shared" si="62"/>
        <v>211.20000000000002</v>
      </c>
      <c r="BK145" s="268">
        <v>1080</v>
      </c>
      <c r="BL145" s="257">
        <f t="shared" si="11"/>
        <v>172.8</v>
      </c>
      <c r="BM145" s="1" t="s">
        <v>616</v>
      </c>
      <c r="BN145" s="1" t="s">
        <v>617</v>
      </c>
      <c r="BO145" s="1" t="s">
        <v>457</v>
      </c>
      <c r="BP145" s="1" t="s">
        <v>618</v>
      </c>
    </row>
    <row r="146" spans="1:68" ht="15.75" customHeight="1">
      <c r="A146" s="250" t="s">
        <v>451</v>
      </c>
      <c r="B146" s="59" t="s">
        <v>363</v>
      </c>
      <c r="C146" s="354" t="s">
        <v>172</v>
      </c>
      <c r="D146" s="424"/>
      <c r="E146" s="357" t="s">
        <v>214</v>
      </c>
      <c r="F146" s="421"/>
      <c r="G146" s="317">
        <v>2024</v>
      </c>
      <c r="H146" s="59" t="s">
        <v>615</v>
      </c>
      <c r="I146" s="315" t="s">
        <v>220</v>
      </c>
      <c r="J146" s="318" t="s">
        <v>217</v>
      </c>
      <c r="K146" s="59" t="s">
        <v>217</v>
      </c>
      <c r="L146" s="59" t="s">
        <v>177</v>
      </c>
      <c r="M146" s="303" t="s">
        <v>595</v>
      </c>
      <c r="N146" s="303">
        <v>1.99</v>
      </c>
      <c r="O146" s="303">
        <v>2.13</v>
      </c>
      <c r="P146" s="303">
        <v>2.27</v>
      </c>
      <c r="Q146" s="303">
        <v>2.27</v>
      </c>
      <c r="R146" s="303">
        <v>2.27</v>
      </c>
      <c r="S146" s="303">
        <v>2.27</v>
      </c>
      <c r="T146" s="303">
        <v>2.27</v>
      </c>
      <c r="U146" s="303">
        <v>2.27</v>
      </c>
      <c r="V146" s="303">
        <v>2.27</v>
      </c>
      <c r="W146" s="303">
        <v>2.27</v>
      </c>
      <c r="X146" s="303">
        <v>2.13</v>
      </c>
      <c r="Y146" s="303">
        <v>2.13</v>
      </c>
      <c r="Z146" s="303">
        <v>2.13</v>
      </c>
      <c r="AA146" s="303">
        <v>2.13</v>
      </c>
      <c r="AB146" s="59">
        <v>0.16</v>
      </c>
      <c r="AC146" s="59">
        <v>0.2</v>
      </c>
      <c r="AD146" s="59">
        <v>0.2</v>
      </c>
      <c r="AE146" s="59">
        <v>0.2</v>
      </c>
      <c r="AF146" s="59">
        <v>0.2</v>
      </c>
      <c r="AG146" s="59">
        <v>0.2</v>
      </c>
      <c r="AH146" s="59">
        <v>0.2</v>
      </c>
      <c r="AI146" s="59">
        <v>0.2</v>
      </c>
      <c r="AJ146" s="59">
        <v>0.2</v>
      </c>
      <c r="AK146" s="59">
        <v>0.16</v>
      </c>
      <c r="AL146" s="59">
        <v>0.16</v>
      </c>
      <c r="AM146" s="59">
        <v>0.16</v>
      </c>
      <c r="AN146" s="59">
        <v>0.16</v>
      </c>
      <c r="AO146" s="255"/>
      <c r="AP146" s="254">
        <f t="shared" si="53"/>
        <v>0</v>
      </c>
      <c r="AQ146" s="270"/>
      <c r="AR146" s="254">
        <f t="shared" si="54"/>
        <v>0</v>
      </c>
      <c r="AS146" s="255"/>
      <c r="AT146" s="254">
        <f t="shared" si="55"/>
        <v>0</v>
      </c>
      <c r="AU146" s="256"/>
      <c r="AV146" s="257">
        <f t="shared" si="56"/>
        <v>0</v>
      </c>
      <c r="AW146" s="382"/>
      <c r="AX146" s="257">
        <f t="shared" si="57"/>
        <v>0</v>
      </c>
      <c r="AY146" s="268">
        <v>2120</v>
      </c>
      <c r="AZ146" s="257">
        <f t="shared" si="58"/>
        <v>424</v>
      </c>
      <c r="BA146" s="268">
        <v>5400</v>
      </c>
      <c r="BB146" s="257">
        <f t="shared" si="59"/>
        <v>1080</v>
      </c>
      <c r="BC146" s="268">
        <v>5760</v>
      </c>
      <c r="BD146" s="257">
        <f t="shared" si="60"/>
        <v>1152</v>
      </c>
      <c r="BE146" s="268">
        <v>5160</v>
      </c>
      <c r="BF146" s="257">
        <f t="shared" si="52"/>
        <v>825.6</v>
      </c>
      <c r="BG146" s="256">
        <v>2400</v>
      </c>
      <c r="BH146" s="257">
        <f t="shared" si="61"/>
        <v>384</v>
      </c>
      <c r="BI146" s="268">
        <v>120</v>
      </c>
      <c r="BJ146" s="257">
        <f t="shared" si="62"/>
        <v>19.2</v>
      </c>
      <c r="BK146" s="268">
        <v>2760</v>
      </c>
      <c r="BL146" s="257">
        <f t="shared" si="11"/>
        <v>441.6</v>
      </c>
      <c r="BM146" s="1" t="s">
        <v>616</v>
      </c>
      <c r="BN146" s="1" t="s">
        <v>617</v>
      </c>
      <c r="BO146" s="1" t="s">
        <v>457</v>
      </c>
      <c r="BP146" s="1" t="s">
        <v>618</v>
      </c>
    </row>
    <row r="147" spans="1:68" ht="15.75" customHeight="1">
      <c r="A147" s="250" t="s">
        <v>451</v>
      </c>
      <c r="B147" s="59" t="s">
        <v>363</v>
      </c>
      <c r="C147" s="354" t="s">
        <v>172</v>
      </c>
      <c r="D147" s="424"/>
      <c r="E147" s="357" t="s">
        <v>214</v>
      </c>
      <c r="F147" s="421"/>
      <c r="G147" s="317">
        <v>2024</v>
      </c>
      <c r="H147" s="59" t="s">
        <v>615</v>
      </c>
      <c r="I147" s="315" t="s">
        <v>220</v>
      </c>
      <c r="J147" s="318" t="s">
        <v>217</v>
      </c>
      <c r="K147" s="59" t="s">
        <v>217</v>
      </c>
      <c r="L147" s="59" t="s">
        <v>177</v>
      </c>
      <c r="M147" s="303" t="s">
        <v>597</v>
      </c>
      <c r="N147" s="303">
        <v>1.99</v>
      </c>
      <c r="O147" s="303">
        <v>2.13</v>
      </c>
      <c r="P147" s="303">
        <v>2.27</v>
      </c>
      <c r="Q147" s="303">
        <v>2.27</v>
      </c>
      <c r="R147" s="303">
        <v>2.27</v>
      </c>
      <c r="S147" s="303">
        <v>2.27</v>
      </c>
      <c r="T147" s="303">
        <v>2.27</v>
      </c>
      <c r="U147" s="303">
        <v>2.27</v>
      </c>
      <c r="V147" s="303">
        <v>2.27</v>
      </c>
      <c r="W147" s="303">
        <v>2.27</v>
      </c>
      <c r="X147" s="303">
        <v>2.13</v>
      </c>
      <c r="Y147" s="303">
        <v>2.13</v>
      </c>
      <c r="Z147" s="303">
        <v>2.13</v>
      </c>
      <c r="AA147" s="303">
        <v>2.13</v>
      </c>
      <c r="AB147" s="59">
        <v>0.16</v>
      </c>
      <c r="AC147" s="59">
        <v>0.2</v>
      </c>
      <c r="AD147" s="59">
        <v>0.2</v>
      </c>
      <c r="AE147" s="59">
        <v>0.2</v>
      </c>
      <c r="AF147" s="59">
        <v>0.2</v>
      </c>
      <c r="AG147" s="59">
        <v>0.2</v>
      </c>
      <c r="AH147" s="59">
        <v>0.2</v>
      </c>
      <c r="AI147" s="59">
        <v>0.2</v>
      </c>
      <c r="AJ147" s="59">
        <v>0.2</v>
      </c>
      <c r="AK147" s="59">
        <v>0.16</v>
      </c>
      <c r="AL147" s="59">
        <v>0.16</v>
      </c>
      <c r="AM147" s="59">
        <v>0.16</v>
      </c>
      <c r="AN147" s="59">
        <v>0.16</v>
      </c>
      <c r="AO147" s="255"/>
      <c r="AP147" s="254">
        <f t="shared" si="53"/>
        <v>0</v>
      </c>
      <c r="AQ147" s="270"/>
      <c r="AR147" s="254">
        <f t="shared" si="54"/>
        <v>0</v>
      </c>
      <c r="AS147" s="255"/>
      <c r="AT147" s="254">
        <f t="shared" si="55"/>
        <v>0</v>
      </c>
      <c r="AU147" s="256"/>
      <c r="AV147" s="257">
        <f t="shared" si="56"/>
        <v>0</v>
      </c>
      <c r="AW147" s="382"/>
      <c r="AX147" s="257">
        <f t="shared" si="57"/>
        <v>0</v>
      </c>
      <c r="AY147" s="268"/>
      <c r="AZ147" s="257">
        <f t="shared" si="58"/>
        <v>0</v>
      </c>
      <c r="BA147" s="268"/>
      <c r="BB147" s="257">
        <f t="shared" si="59"/>
        <v>0</v>
      </c>
      <c r="BC147" s="268"/>
      <c r="BD147" s="257">
        <f t="shared" si="60"/>
        <v>0</v>
      </c>
      <c r="BE147" s="268"/>
      <c r="BF147" s="257">
        <f t="shared" si="52"/>
        <v>0</v>
      </c>
      <c r="BG147" s="256"/>
      <c r="BH147" s="257">
        <f t="shared" si="61"/>
        <v>0</v>
      </c>
      <c r="BI147" s="268"/>
      <c r="BJ147" s="257">
        <f t="shared" si="62"/>
        <v>0</v>
      </c>
      <c r="BK147" s="268"/>
      <c r="BL147" s="257">
        <f t="shared" si="11"/>
        <v>0</v>
      </c>
      <c r="BM147" s="1" t="s">
        <v>616</v>
      </c>
      <c r="BN147" s="1" t="s">
        <v>617</v>
      </c>
      <c r="BO147" s="1" t="s">
        <v>457</v>
      </c>
      <c r="BP147" s="1" t="s">
        <v>618</v>
      </c>
    </row>
    <row r="148" spans="1:68" ht="15.75" customHeight="1">
      <c r="A148" s="250" t="s">
        <v>451</v>
      </c>
      <c r="B148" s="59" t="s">
        <v>363</v>
      </c>
      <c r="C148" s="354" t="s">
        <v>172</v>
      </c>
      <c r="D148" s="424"/>
      <c r="E148" s="357" t="s">
        <v>214</v>
      </c>
      <c r="F148" s="421"/>
      <c r="G148" s="317">
        <v>2024</v>
      </c>
      <c r="H148" s="59" t="s">
        <v>615</v>
      </c>
      <c r="I148" s="315" t="s">
        <v>220</v>
      </c>
      <c r="J148" s="318" t="s">
        <v>217</v>
      </c>
      <c r="K148" s="59" t="s">
        <v>217</v>
      </c>
      <c r="L148" s="59" t="s">
        <v>177</v>
      </c>
      <c r="M148" s="303" t="s">
        <v>598</v>
      </c>
      <c r="N148" s="303">
        <v>1.99</v>
      </c>
      <c r="O148" s="303">
        <v>2.13</v>
      </c>
      <c r="P148" s="303">
        <v>2.27</v>
      </c>
      <c r="Q148" s="303">
        <v>2.27</v>
      </c>
      <c r="R148" s="303">
        <v>2.27</v>
      </c>
      <c r="S148" s="303">
        <v>2.27</v>
      </c>
      <c r="T148" s="303">
        <v>2.27</v>
      </c>
      <c r="U148" s="303">
        <v>2.27</v>
      </c>
      <c r="V148" s="303">
        <v>2.27</v>
      </c>
      <c r="W148" s="303">
        <v>2.27</v>
      </c>
      <c r="X148" s="303">
        <v>2.13</v>
      </c>
      <c r="Y148" s="303">
        <v>2.13</v>
      </c>
      <c r="Z148" s="303">
        <v>2.13</v>
      </c>
      <c r="AA148" s="303">
        <v>2.13</v>
      </c>
      <c r="AB148" s="59">
        <v>0.16</v>
      </c>
      <c r="AC148" s="59">
        <v>0.2</v>
      </c>
      <c r="AD148" s="59">
        <v>0.2</v>
      </c>
      <c r="AE148" s="59">
        <v>0.2</v>
      </c>
      <c r="AF148" s="59">
        <v>0.2</v>
      </c>
      <c r="AG148" s="59">
        <v>0.2</v>
      </c>
      <c r="AH148" s="59">
        <v>0.2</v>
      </c>
      <c r="AI148" s="59">
        <v>0.2</v>
      </c>
      <c r="AJ148" s="59">
        <v>0.2</v>
      </c>
      <c r="AK148" s="59">
        <v>0.16</v>
      </c>
      <c r="AL148" s="59">
        <v>0.16</v>
      </c>
      <c r="AM148" s="59">
        <v>0.16</v>
      </c>
      <c r="AN148" s="59">
        <v>0.16</v>
      </c>
      <c r="AO148" s="255"/>
      <c r="AP148" s="254">
        <f t="shared" si="53"/>
        <v>0</v>
      </c>
      <c r="AQ148" s="270"/>
      <c r="AR148" s="254">
        <f t="shared" si="54"/>
        <v>0</v>
      </c>
      <c r="AS148" s="255"/>
      <c r="AT148" s="254">
        <f t="shared" si="55"/>
        <v>0</v>
      </c>
      <c r="AU148" s="256"/>
      <c r="AV148" s="257">
        <f t="shared" si="56"/>
        <v>0</v>
      </c>
      <c r="AW148" s="382"/>
      <c r="AX148" s="257">
        <f t="shared" si="57"/>
        <v>0</v>
      </c>
      <c r="AY148" s="268"/>
      <c r="AZ148" s="257">
        <f t="shared" si="58"/>
        <v>0</v>
      </c>
      <c r="BA148" s="268"/>
      <c r="BB148" s="257">
        <f t="shared" si="59"/>
        <v>0</v>
      </c>
      <c r="BC148" s="268"/>
      <c r="BD148" s="257">
        <f t="shared" si="60"/>
        <v>0</v>
      </c>
      <c r="BE148" s="268"/>
      <c r="BF148" s="257">
        <f t="shared" si="52"/>
        <v>0</v>
      </c>
      <c r="BG148" s="268"/>
      <c r="BH148" s="257">
        <f t="shared" si="61"/>
        <v>0</v>
      </c>
      <c r="BI148" s="268">
        <v>360</v>
      </c>
      <c r="BJ148" s="257">
        <f t="shared" si="62"/>
        <v>57.6</v>
      </c>
      <c r="BK148" s="268">
        <v>600</v>
      </c>
      <c r="BL148" s="257">
        <f t="shared" si="11"/>
        <v>96</v>
      </c>
      <c r="BM148" s="1" t="s">
        <v>616</v>
      </c>
      <c r="BN148" s="1" t="s">
        <v>617</v>
      </c>
      <c r="BO148" s="1" t="s">
        <v>457</v>
      </c>
      <c r="BP148" s="1" t="s">
        <v>618</v>
      </c>
    </row>
    <row r="149" spans="1:68" ht="15.75" customHeight="1">
      <c r="A149" s="250" t="s">
        <v>451</v>
      </c>
      <c r="B149" s="59" t="s">
        <v>363</v>
      </c>
      <c r="C149" s="354" t="s">
        <v>172</v>
      </c>
      <c r="D149" s="424"/>
      <c r="E149" s="357" t="s">
        <v>214</v>
      </c>
      <c r="F149" s="421"/>
      <c r="G149" s="317">
        <v>2024</v>
      </c>
      <c r="H149" s="59" t="s">
        <v>615</v>
      </c>
      <c r="I149" s="315" t="s">
        <v>220</v>
      </c>
      <c r="J149" s="318" t="s">
        <v>217</v>
      </c>
      <c r="K149" s="59" t="s">
        <v>217</v>
      </c>
      <c r="L149" s="59" t="s">
        <v>177</v>
      </c>
      <c r="M149" s="303" t="s">
        <v>599</v>
      </c>
      <c r="N149" s="303">
        <v>1.99</v>
      </c>
      <c r="O149" s="303">
        <v>2.13</v>
      </c>
      <c r="P149" s="303">
        <v>2.27</v>
      </c>
      <c r="Q149" s="303">
        <v>2.27</v>
      </c>
      <c r="R149" s="303">
        <v>2.27</v>
      </c>
      <c r="S149" s="303">
        <v>2.27</v>
      </c>
      <c r="T149" s="303">
        <v>2.27</v>
      </c>
      <c r="U149" s="303">
        <v>2.27</v>
      </c>
      <c r="V149" s="303">
        <v>2.27</v>
      </c>
      <c r="W149" s="303">
        <v>2.27</v>
      </c>
      <c r="X149" s="303">
        <v>2.13</v>
      </c>
      <c r="Y149" s="303">
        <v>2.13</v>
      </c>
      <c r="Z149" s="303">
        <v>2.13</v>
      </c>
      <c r="AA149" s="303">
        <v>2.13</v>
      </c>
      <c r="AB149" s="59">
        <v>0.16</v>
      </c>
      <c r="AC149" s="59">
        <v>0.2</v>
      </c>
      <c r="AD149" s="59">
        <v>0.2</v>
      </c>
      <c r="AE149" s="59">
        <v>0.2</v>
      </c>
      <c r="AF149" s="59">
        <v>0.2</v>
      </c>
      <c r="AG149" s="59">
        <v>0.2</v>
      </c>
      <c r="AH149" s="59">
        <v>0.2</v>
      </c>
      <c r="AI149" s="59">
        <v>0.2</v>
      </c>
      <c r="AJ149" s="59">
        <v>0.2</v>
      </c>
      <c r="AK149" s="59">
        <v>0.16</v>
      </c>
      <c r="AL149" s="59">
        <v>0.16</v>
      </c>
      <c r="AM149" s="59">
        <v>0.16</v>
      </c>
      <c r="AN149" s="59">
        <v>0.16</v>
      </c>
      <c r="AO149" s="255"/>
      <c r="AP149" s="254">
        <f t="shared" si="53"/>
        <v>0</v>
      </c>
      <c r="AQ149" s="270"/>
      <c r="AR149" s="254">
        <f t="shared" si="54"/>
        <v>0</v>
      </c>
      <c r="AS149" s="255"/>
      <c r="AT149" s="254">
        <f t="shared" si="55"/>
        <v>0</v>
      </c>
      <c r="AU149" s="256"/>
      <c r="AV149" s="257">
        <f t="shared" si="56"/>
        <v>0</v>
      </c>
      <c r="AW149" s="382"/>
      <c r="AX149" s="257">
        <f t="shared" si="57"/>
        <v>0</v>
      </c>
      <c r="AY149" s="268"/>
      <c r="AZ149" s="257">
        <f t="shared" si="58"/>
        <v>0</v>
      </c>
      <c r="BA149" s="268"/>
      <c r="BB149" s="257">
        <f t="shared" si="59"/>
        <v>0</v>
      </c>
      <c r="BC149" s="268"/>
      <c r="BD149" s="257">
        <f t="shared" si="60"/>
        <v>0</v>
      </c>
      <c r="BE149" s="268"/>
      <c r="BF149" s="257">
        <f t="shared" si="52"/>
        <v>0</v>
      </c>
      <c r="BG149" s="268">
        <v>240</v>
      </c>
      <c r="BH149" s="257">
        <f t="shared" si="61"/>
        <v>38.4</v>
      </c>
      <c r="BI149" s="268"/>
      <c r="BJ149" s="257">
        <f t="shared" si="62"/>
        <v>0</v>
      </c>
      <c r="BK149" s="268"/>
      <c r="BL149" s="257">
        <f t="shared" si="11"/>
        <v>0</v>
      </c>
      <c r="BM149" s="1" t="s">
        <v>616</v>
      </c>
      <c r="BN149" s="1" t="s">
        <v>617</v>
      </c>
      <c r="BO149" s="1" t="s">
        <v>457</v>
      </c>
      <c r="BP149" s="1" t="s">
        <v>618</v>
      </c>
    </row>
    <row r="150" spans="1:68" ht="15.75" customHeight="1">
      <c r="A150" s="250" t="s">
        <v>451</v>
      </c>
      <c r="B150" s="59" t="s">
        <v>363</v>
      </c>
      <c r="C150" s="354" t="s">
        <v>172</v>
      </c>
      <c r="D150" s="424"/>
      <c r="E150" s="357"/>
      <c r="F150" s="421"/>
      <c r="G150" s="317">
        <v>2024</v>
      </c>
      <c r="H150" s="59" t="s">
        <v>615</v>
      </c>
      <c r="I150" s="315" t="s">
        <v>220</v>
      </c>
      <c r="J150" s="318" t="s">
        <v>217</v>
      </c>
      <c r="K150" s="59" t="s">
        <v>217</v>
      </c>
      <c r="L150" s="59" t="s">
        <v>177</v>
      </c>
      <c r="M150" s="303" t="s">
        <v>601</v>
      </c>
      <c r="N150" s="303">
        <v>1.99</v>
      </c>
      <c r="O150" s="303">
        <v>2.23</v>
      </c>
      <c r="P150" s="303">
        <v>2.37</v>
      </c>
      <c r="Q150" s="303">
        <v>2.37</v>
      </c>
      <c r="R150" s="303">
        <v>2.37</v>
      </c>
      <c r="S150" s="303">
        <v>2.37</v>
      </c>
      <c r="T150" s="303">
        <v>2.37</v>
      </c>
      <c r="U150" s="303">
        <v>2.37</v>
      </c>
      <c r="V150" s="303">
        <v>2.37</v>
      </c>
      <c r="W150" s="303">
        <v>2.37</v>
      </c>
      <c r="X150" s="303">
        <v>2.23</v>
      </c>
      <c r="Y150" s="303">
        <v>2.23</v>
      </c>
      <c r="Z150" s="303">
        <v>2.23</v>
      </c>
      <c r="AA150" s="303">
        <v>2.23</v>
      </c>
      <c r="AB150" s="59">
        <v>0.16</v>
      </c>
      <c r="AC150" s="59">
        <v>0.2</v>
      </c>
      <c r="AD150" s="59">
        <v>0.2</v>
      </c>
      <c r="AE150" s="59">
        <v>0.2</v>
      </c>
      <c r="AF150" s="59">
        <v>0.2</v>
      </c>
      <c r="AG150" s="59">
        <v>0.2</v>
      </c>
      <c r="AH150" s="59">
        <v>0.2</v>
      </c>
      <c r="AI150" s="59">
        <v>0.2</v>
      </c>
      <c r="AJ150" s="59">
        <v>0.2</v>
      </c>
      <c r="AK150" s="59">
        <v>0.16</v>
      </c>
      <c r="AL150" s="59">
        <v>0.16</v>
      </c>
      <c r="AM150" s="59">
        <v>0.16</v>
      </c>
      <c r="AN150" s="59">
        <v>0.16</v>
      </c>
      <c r="AO150" s="255"/>
      <c r="AP150" s="254">
        <f t="shared" si="53"/>
        <v>0</v>
      </c>
      <c r="AQ150" s="270"/>
      <c r="AR150" s="254">
        <f t="shared" si="54"/>
        <v>0</v>
      </c>
      <c r="AS150" s="255"/>
      <c r="AT150" s="254">
        <f t="shared" si="55"/>
        <v>0</v>
      </c>
      <c r="AU150" s="256"/>
      <c r="AV150" s="257">
        <f t="shared" si="56"/>
        <v>0</v>
      </c>
      <c r="AW150" s="382"/>
      <c r="AX150" s="257">
        <f t="shared" si="57"/>
        <v>0</v>
      </c>
      <c r="AY150" s="268"/>
      <c r="AZ150" s="257">
        <f t="shared" si="58"/>
        <v>0</v>
      </c>
      <c r="BA150" s="268">
        <v>1440</v>
      </c>
      <c r="BB150" s="257">
        <f t="shared" si="59"/>
        <v>288</v>
      </c>
      <c r="BC150" s="268"/>
      <c r="BD150" s="257">
        <f t="shared" si="60"/>
        <v>0</v>
      </c>
      <c r="BE150" s="268">
        <v>1440</v>
      </c>
      <c r="BF150" s="257">
        <f t="shared" si="52"/>
        <v>230.4</v>
      </c>
      <c r="BG150" s="268"/>
      <c r="BH150" s="257">
        <f t="shared" si="61"/>
        <v>0</v>
      </c>
      <c r="BI150" s="268">
        <v>4320</v>
      </c>
      <c r="BJ150" s="257">
        <f t="shared" si="62"/>
        <v>691.2</v>
      </c>
      <c r="BK150" s="268">
        <v>2160</v>
      </c>
      <c r="BL150" s="257">
        <f t="shared" si="11"/>
        <v>345.6</v>
      </c>
      <c r="BM150" s="1" t="s">
        <v>616</v>
      </c>
      <c r="BN150" s="1" t="s">
        <v>617</v>
      </c>
      <c r="BO150" s="1" t="s">
        <v>457</v>
      </c>
      <c r="BP150" s="1" t="s">
        <v>618</v>
      </c>
    </row>
    <row r="151" spans="1:68" ht="15.75" customHeight="1">
      <c r="A151" s="250" t="s">
        <v>451</v>
      </c>
      <c r="B151" s="59" t="s">
        <v>363</v>
      </c>
      <c r="C151" s="354" t="s">
        <v>172</v>
      </c>
      <c r="D151" s="424"/>
      <c r="E151" s="357" t="s">
        <v>214</v>
      </c>
      <c r="F151" s="421"/>
      <c r="G151" s="317">
        <v>2024</v>
      </c>
      <c r="H151" s="59" t="s">
        <v>615</v>
      </c>
      <c r="I151" s="315" t="s">
        <v>220</v>
      </c>
      <c r="J151" s="318" t="s">
        <v>217</v>
      </c>
      <c r="K151" s="59" t="s">
        <v>217</v>
      </c>
      <c r="L151" s="59" t="s">
        <v>177</v>
      </c>
      <c r="M151" s="303" t="s">
        <v>602</v>
      </c>
      <c r="N151" s="303">
        <v>1.99</v>
      </c>
      <c r="O151" s="303">
        <v>2.23</v>
      </c>
      <c r="P151" s="303">
        <v>2.37</v>
      </c>
      <c r="Q151" s="303">
        <v>2.37</v>
      </c>
      <c r="R151" s="303">
        <v>2.37</v>
      </c>
      <c r="S151" s="303">
        <v>2.37</v>
      </c>
      <c r="T151" s="303">
        <v>2.37</v>
      </c>
      <c r="U151" s="303">
        <v>2.37</v>
      </c>
      <c r="V151" s="303">
        <v>2.37</v>
      </c>
      <c r="W151" s="303">
        <v>2.37</v>
      </c>
      <c r="X151" s="303">
        <v>2.23</v>
      </c>
      <c r="Y151" s="303">
        <v>2.23</v>
      </c>
      <c r="Z151" s="303">
        <v>2.23</v>
      </c>
      <c r="AA151" s="303">
        <v>2.23</v>
      </c>
      <c r="AB151" s="59">
        <v>0.16</v>
      </c>
      <c r="AC151" s="59">
        <v>0.2</v>
      </c>
      <c r="AD151" s="59">
        <v>0.2</v>
      </c>
      <c r="AE151" s="59">
        <v>0.2</v>
      </c>
      <c r="AF151" s="59">
        <v>0.2</v>
      </c>
      <c r="AG151" s="59">
        <v>0.2</v>
      </c>
      <c r="AH151" s="59">
        <v>0.2</v>
      </c>
      <c r="AI151" s="59">
        <v>0.2</v>
      </c>
      <c r="AJ151" s="59">
        <v>0.2</v>
      </c>
      <c r="AK151" s="59">
        <v>0.16</v>
      </c>
      <c r="AL151" s="59">
        <v>0.16</v>
      </c>
      <c r="AM151" s="59">
        <v>0.16</v>
      </c>
      <c r="AN151" s="59">
        <v>0.16</v>
      </c>
      <c r="AO151" s="255"/>
      <c r="AP151" s="254">
        <f t="shared" si="53"/>
        <v>0</v>
      </c>
      <c r="AQ151" s="270"/>
      <c r="AR151" s="254">
        <f t="shared" si="54"/>
        <v>0</v>
      </c>
      <c r="AS151" s="255"/>
      <c r="AT151" s="254">
        <f t="shared" si="55"/>
        <v>0</v>
      </c>
      <c r="AU151" s="256"/>
      <c r="AV151" s="257">
        <f t="shared" si="56"/>
        <v>0</v>
      </c>
      <c r="AW151" s="382"/>
      <c r="AX151" s="257">
        <f t="shared" si="57"/>
        <v>0</v>
      </c>
      <c r="AY151" s="268"/>
      <c r="AZ151" s="257">
        <f t="shared" si="58"/>
        <v>0</v>
      </c>
      <c r="BA151" s="268"/>
      <c r="BB151" s="257">
        <f t="shared" si="59"/>
        <v>0</v>
      </c>
      <c r="BC151" s="268"/>
      <c r="BD151" s="257">
        <f t="shared" si="60"/>
        <v>0</v>
      </c>
      <c r="BE151" s="268">
        <v>2880</v>
      </c>
      <c r="BF151" s="257">
        <f t="shared" si="52"/>
        <v>460.8</v>
      </c>
      <c r="BG151" s="268">
        <v>8640</v>
      </c>
      <c r="BH151" s="257">
        <f t="shared" si="61"/>
        <v>1382.4</v>
      </c>
      <c r="BI151" s="268">
        <v>17280</v>
      </c>
      <c r="BJ151" s="257">
        <f t="shared" si="62"/>
        <v>2764.8</v>
      </c>
      <c r="BK151" s="268"/>
      <c r="BL151" s="257">
        <f t="shared" si="11"/>
        <v>0</v>
      </c>
      <c r="BM151" s="1" t="s">
        <v>616</v>
      </c>
      <c r="BN151" s="1" t="s">
        <v>617</v>
      </c>
      <c r="BO151" s="1" t="s">
        <v>457</v>
      </c>
      <c r="BP151" s="1" t="s">
        <v>618</v>
      </c>
    </row>
    <row r="152" spans="1:68" s="14" customFormat="1" ht="15.75" customHeight="1">
      <c r="A152" s="250" t="s">
        <v>451</v>
      </c>
      <c r="B152" s="59" t="s">
        <v>363</v>
      </c>
      <c r="C152" s="354" t="s">
        <v>172</v>
      </c>
      <c r="D152" s="424"/>
      <c r="E152" s="357" t="s">
        <v>214</v>
      </c>
      <c r="F152" s="421"/>
      <c r="G152" s="317">
        <v>2024</v>
      </c>
      <c r="H152" s="59" t="s">
        <v>619</v>
      </c>
      <c r="I152" s="315" t="s">
        <v>357</v>
      </c>
      <c r="J152" s="318" t="s">
        <v>217</v>
      </c>
      <c r="K152" s="59" t="s">
        <v>217</v>
      </c>
      <c r="L152" s="59" t="s">
        <v>177</v>
      </c>
      <c r="M152" s="303" t="s">
        <v>592</v>
      </c>
      <c r="N152" s="303">
        <v>3.35</v>
      </c>
      <c r="O152" s="303">
        <v>3.73</v>
      </c>
      <c r="P152" s="303">
        <v>4.1100000000000003</v>
      </c>
      <c r="Q152" s="303">
        <v>4.1100000000000003</v>
      </c>
      <c r="R152" s="303">
        <v>4.1100000000000003</v>
      </c>
      <c r="S152" s="303">
        <v>4.1100000000000003</v>
      </c>
      <c r="T152" s="303">
        <v>4.1100000000000003</v>
      </c>
      <c r="U152" s="303">
        <v>4.1100000000000003</v>
      </c>
      <c r="V152" s="303">
        <v>4.1100000000000003</v>
      </c>
      <c r="W152" s="303">
        <v>4.1100000000000003</v>
      </c>
      <c r="X152" s="303">
        <v>3.73</v>
      </c>
      <c r="Y152" s="303">
        <v>3.73</v>
      </c>
      <c r="Z152" s="303">
        <v>3.73</v>
      </c>
      <c r="AA152" s="303">
        <v>3.73</v>
      </c>
      <c r="AB152" s="59">
        <v>0.18</v>
      </c>
      <c r="AC152" s="59">
        <v>0.46</v>
      </c>
      <c r="AD152" s="59">
        <v>0.46</v>
      </c>
      <c r="AE152" s="59">
        <v>0.46</v>
      </c>
      <c r="AF152" s="59">
        <v>0.46</v>
      </c>
      <c r="AG152" s="59">
        <v>0.46</v>
      </c>
      <c r="AH152" s="59">
        <v>0.46</v>
      </c>
      <c r="AI152" s="59">
        <v>0.46</v>
      </c>
      <c r="AJ152" s="59">
        <v>0.46</v>
      </c>
      <c r="AK152" s="59">
        <v>0.18</v>
      </c>
      <c r="AL152" s="59">
        <v>0.18</v>
      </c>
      <c r="AM152" s="59">
        <v>0.18</v>
      </c>
      <c r="AN152" s="59">
        <v>0.18</v>
      </c>
      <c r="AO152" s="255"/>
      <c r="AP152" s="254">
        <f t="shared" si="53"/>
        <v>0</v>
      </c>
      <c r="AQ152" s="270">
        <v>12</v>
      </c>
      <c r="AR152" s="254">
        <f t="shared" si="54"/>
        <v>5.5200000000000005</v>
      </c>
      <c r="AS152" s="270"/>
      <c r="AT152" s="254">
        <f t="shared" si="55"/>
        <v>0</v>
      </c>
      <c r="AU152" s="256"/>
      <c r="AV152" s="257">
        <f t="shared" si="56"/>
        <v>0</v>
      </c>
      <c r="AW152" s="382">
        <v>30</v>
      </c>
      <c r="AX152" s="257">
        <f t="shared" si="57"/>
        <v>13.8</v>
      </c>
      <c r="AY152" s="268">
        <v>48</v>
      </c>
      <c r="AZ152" s="257">
        <f t="shared" si="58"/>
        <v>22.080000000000002</v>
      </c>
      <c r="BA152" s="268">
        <v>168</v>
      </c>
      <c r="BB152" s="257">
        <f t="shared" si="59"/>
        <v>77.28</v>
      </c>
      <c r="BC152" s="268">
        <v>3024</v>
      </c>
      <c r="BD152" s="257">
        <f t="shared" si="60"/>
        <v>1391.04</v>
      </c>
      <c r="BE152" s="268">
        <v>1080</v>
      </c>
      <c r="BF152" s="257">
        <f t="shared" si="52"/>
        <v>194.4</v>
      </c>
      <c r="BG152" s="268">
        <v>828</v>
      </c>
      <c r="BH152" s="257">
        <f t="shared" si="61"/>
        <v>149.04</v>
      </c>
      <c r="BI152" s="268">
        <v>840</v>
      </c>
      <c r="BJ152" s="257">
        <f t="shared" si="62"/>
        <v>151.19999999999999</v>
      </c>
      <c r="BK152" s="268">
        <v>750</v>
      </c>
      <c r="BL152" s="257">
        <f t="shared" si="11"/>
        <v>135</v>
      </c>
      <c r="BM152" s="1" t="s">
        <v>605</v>
      </c>
      <c r="BN152" s="1" t="s">
        <v>612</v>
      </c>
      <c r="BO152" s="1" t="s">
        <v>457</v>
      </c>
      <c r="BP152" s="1" t="s">
        <v>620</v>
      </c>
    </row>
    <row r="153" spans="1:68" s="14" customFormat="1" ht="15.75" customHeight="1">
      <c r="A153" s="250" t="s">
        <v>451</v>
      </c>
      <c r="B153" s="59" t="s">
        <v>363</v>
      </c>
      <c r="C153" s="354" t="s">
        <v>172</v>
      </c>
      <c r="D153" s="424"/>
      <c r="E153" s="357" t="s">
        <v>214</v>
      </c>
      <c r="F153" s="421"/>
      <c r="G153" s="317">
        <v>2024</v>
      </c>
      <c r="H153" s="59" t="s">
        <v>619</v>
      </c>
      <c r="I153" s="315" t="s">
        <v>357</v>
      </c>
      <c r="J153" s="318" t="s">
        <v>217</v>
      </c>
      <c r="K153" s="59" t="s">
        <v>217</v>
      </c>
      <c r="L153" s="59" t="s">
        <v>177</v>
      </c>
      <c r="M153" s="303" t="s">
        <v>455</v>
      </c>
      <c r="N153" s="303">
        <v>3.35</v>
      </c>
      <c r="O153" s="303">
        <v>3.73</v>
      </c>
      <c r="P153" s="303">
        <v>4.1100000000000003</v>
      </c>
      <c r="Q153" s="303">
        <v>4.1100000000000003</v>
      </c>
      <c r="R153" s="303">
        <v>4.1100000000000003</v>
      </c>
      <c r="S153" s="303">
        <v>4.1100000000000003</v>
      </c>
      <c r="T153" s="303">
        <v>4.1100000000000003</v>
      </c>
      <c r="U153" s="303">
        <v>4.1100000000000003</v>
      </c>
      <c r="V153" s="303">
        <v>4.1100000000000003</v>
      </c>
      <c r="W153" s="303">
        <v>4.1100000000000003</v>
      </c>
      <c r="X153" s="303">
        <v>3.73</v>
      </c>
      <c r="Y153" s="303">
        <v>3.73</v>
      </c>
      <c r="Z153" s="303">
        <v>3.73</v>
      </c>
      <c r="AA153" s="303">
        <v>3.73</v>
      </c>
      <c r="AB153" s="59">
        <v>0.18</v>
      </c>
      <c r="AC153" s="59">
        <v>0.46</v>
      </c>
      <c r="AD153" s="59">
        <v>0.46</v>
      </c>
      <c r="AE153" s="59">
        <v>0.46</v>
      </c>
      <c r="AF153" s="59">
        <v>0.46</v>
      </c>
      <c r="AG153" s="59">
        <v>0.46</v>
      </c>
      <c r="AH153" s="59">
        <v>0.46</v>
      </c>
      <c r="AI153" s="59">
        <v>0.46</v>
      </c>
      <c r="AJ153" s="59">
        <v>0.46</v>
      </c>
      <c r="AK153" s="59">
        <v>0.18</v>
      </c>
      <c r="AL153" s="59">
        <v>0.18</v>
      </c>
      <c r="AM153" s="59">
        <v>0.18</v>
      </c>
      <c r="AN153" s="59">
        <v>0.18</v>
      </c>
      <c r="AO153" s="255"/>
      <c r="AP153" s="254">
        <f t="shared" si="53"/>
        <v>0</v>
      </c>
      <c r="AQ153" s="270"/>
      <c r="AR153" s="254">
        <f t="shared" si="54"/>
        <v>0</v>
      </c>
      <c r="AS153" s="270"/>
      <c r="AT153" s="254">
        <f t="shared" si="55"/>
        <v>0</v>
      </c>
      <c r="AU153" s="256"/>
      <c r="AV153" s="257">
        <f t="shared" si="56"/>
        <v>0</v>
      </c>
      <c r="AW153" s="382"/>
      <c r="AX153" s="257">
        <f t="shared" si="57"/>
        <v>0</v>
      </c>
      <c r="AY153" s="268">
        <v>12</v>
      </c>
      <c r="AZ153" s="257">
        <f t="shared" si="58"/>
        <v>5.5200000000000005</v>
      </c>
      <c r="BA153" s="268">
        <v>408</v>
      </c>
      <c r="BB153" s="257">
        <f t="shared" si="59"/>
        <v>187.68</v>
      </c>
      <c r="BC153" s="268">
        <v>1476</v>
      </c>
      <c r="BD153" s="257">
        <f t="shared" si="60"/>
        <v>678.96</v>
      </c>
      <c r="BE153" s="268">
        <v>612</v>
      </c>
      <c r="BF153" s="257">
        <f t="shared" si="52"/>
        <v>110.16</v>
      </c>
      <c r="BG153" s="268">
        <v>1568</v>
      </c>
      <c r="BH153" s="257">
        <f t="shared" si="61"/>
        <v>282.24</v>
      </c>
      <c r="BI153" s="268">
        <v>1056</v>
      </c>
      <c r="BJ153" s="257">
        <f t="shared" si="62"/>
        <v>190.07999999999998</v>
      </c>
      <c r="BK153" s="268">
        <v>12</v>
      </c>
      <c r="BL153" s="257">
        <f t="shared" si="11"/>
        <v>2.16</v>
      </c>
      <c r="BM153" s="1" t="s">
        <v>605</v>
      </c>
      <c r="BN153" s="1" t="s">
        <v>612</v>
      </c>
      <c r="BO153" s="1" t="s">
        <v>457</v>
      </c>
      <c r="BP153" s="1" t="s">
        <v>620</v>
      </c>
    </row>
    <row r="154" spans="1:68" s="14" customFormat="1" ht="15.75" customHeight="1">
      <c r="A154" s="250" t="s">
        <v>451</v>
      </c>
      <c r="B154" s="59" t="s">
        <v>363</v>
      </c>
      <c r="C154" s="354" t="s">
        <v>172</v>
      </c>
      <c r="D154" s="424"/>
      <c r="E154" s="357" t="s">
        <v>214</v>
      </c>
      <c r="F154" s="421"/>
      <c r="G154" s="317">
        <v>2024</v>
      </c>
      <c r="H154" s="59" t="s">
        <v>619</v>
      </c>
      <c r="I154" s="315" t="s">
        <v>357</v>
      </c>
      <c r="J154" s="318" t="s">
        <v>217</v>
      </c>
      <c r="K154" s="59" t="s">
        <v>217</v>
      </c>
      <c r="L154" s="59" t="s">
        <v>177</v>
      </c>
      <c r="M154" s="303" t="s">
        <v>595</v>
      </c>
      <c r="N154" s="303">
        <v>3.35</v>
      </c>
      <c r="O154" s="303">
        <v>3.81</v>
      </c>
      <c r="P154" s="303">
        <v>4.1900000000000004</v>
      </c>
      <c r="Q154" s="303">
        <v>4.1900000000000004</v>
      </c>
      <c r="R154" s="303">
        <v>4.1900000000000004</v>
      </c>
      <c r="S154" s="303">
        <v>4.1900000000000004</v>
      </c>
      <c r="T154" s="303">
        <v>4.1900000000000004</v>
      </c>
      <c r="U154" s="303">
        <v>4.1900000000000004</v>
      </c>
      <c r="V154" s="303">
        <v>4.1900000000000004</v>
      </c>
      <c r="W154" s="303">
        <v>4.1900000000000004</v>
      </c>
      <c r="X154" s="303">
        <v>3.81</v>
      </c>
      <c r="Y154" s="303">
        <v>3.81</v>
      </c>
      <c r="Z154" s="303">
        <v>3.81</v>
      </c>
      <c r="AA154" s="303">
        <v>3.81</v>
      </c>
      <c r="AB154" s="59">
        <v>0.18</v>
      </c>
      <c r="AC154" s="59">
        <v>0.46</v>
      </c>
      <c r="AD154" s="59">
        <v>0.46</v>
      </c>
      <c r="AE154" s="59">
        <v>0.46</v>
      </c>
      <c r="AF154" s="59">
        <v>0.46</v>
      </c>
      <c r="AG154" s="59">
        <v>0.46</v>
      </c>
      <c r="AH154" s="59">
        <v>0.46</v>
      </c>
      <c r="AI154" s="59">
        <v>0.46</v>
      </c>
      <c r="AJ154" s="59">
        <v>0.46</v>
      </c>
      <c r="AK154" s="59">
        <v>0.18</v>
      </c>
      <c r="AL154" s="59">
        <v>0.18</v>
      </c>
      <c r="AM154" s="59">
        <v>0.18</v>
      </c>
      <c r="AN154" s="59">
        <v>0.18</v>
      </c>
      <c r="AO154" s="255"/>
      <c r="AP154" s="254">
        <f t="shared" si="53"/>
        <v>0</v>
      </c>
      <c r="AQ154" s="270"/>
      <c r="AR154" s="254">
        <f t="shared" si="54"/>
        <v>0</v>
      </c>
      <c r="AS154" s="270">
        <v>12</v>
      </c>
      <c r="AT154" s="254">
        <f t="shared" si="55"/>
        <v>5.5200000000000005</v>
      </c>
      <c r="AU154" s="256">
        <v>300</v>
      </c>
      <c r="AV154" s="257">
        <f t="shared" si="56"/>
        <v>138</v>
      </c>
      <c r="AW154" s="382">
        <v>648</v>
      </c>
      <c r="AX154" s="257">
        <f t="shared" si="57"/>
        <v>298.08000000000004</v>
      </c>
      <c r="AY154" s="268"/>
      <c r="AZ154" s="257">
        <f t="shared" si="58"/>
        <v>0</v>
      </c>
      <c r="BA154" s="268">
        <v>204</v>
      </c>
      <c r="BB154" s="257">
        <f t="shared" si="59"/>
        <v>93.84</v>
      </c>
      <c r="BC154" s="268">
        <v>2688</v>
      </c>
      <c r="BD154" s="257">
        <f t="shared" si="60"/>
        <v>1236.48</v>
      </c>
      <c r="BE154" s="268">
        <v>600</v>
      </c>
      <c r="BF154" s="257">
        <f t="shared" si="52"/>
        <v>108</v>
      </c>
      <c r="BG154" s="268">
        <v>876</v>
      </c>
      <c r="BH154" s="257">
        <f t="shared" si="61"/>
        <v>157.68</v>
      </c>
      <c r="BI154" s="268">
        <v>3432</v>
      </c>
      <c r="BJ154" s="257">
        <f t="shared" si="62"/>
        <v>617.76</v>
      </c>
      <c r="BK154" s="268">
        <v>768</v>
      </c>
      <c r="BL154" s="257">
        <f t="shared" si="11"/>
        <v>138.24</v>
      </c>
      <c r="BM154" s="1" t="s">
        <v>605</v>
      </c>
      <c r="BN154" s="1" t="s">
        <v>612</v>
      </c>
      <c r="BO154" s="1" t="s">
        <v>457</v>
      </c>
      <c r="BP154" s="1" t="s">
        <v>621</v>
      </c>
    </row>
    <row r="155" spans="1:68" s="14" customFormat="1" ht="15.75" customHeight="1">
      <c r="A155" s="250" t="s">
        <v>451</v>
      </c>
      <c r="B155" s="59" t="s">
        <v>363</v>
      </c>
      <c r="C155" s="354" t="s">
        <v>172</v>
      </c>
      <c r="D155" s="424"/>
      <c r="E155" s="357" t="s">
        <v>214</v>
      </c>
      <c r="F155" s="421"/>
      <c r="G155" s="317">
        <v>2024</v>
      </c>
      <c r="H155" s="59" t="s">
        <v>619</v>
      </c>
      <c r="I155" s="315" t="s">
        <v>357</v>
      </c>
      <c r="J155" s="318" t="s">
        <v>217</v>
      </c>
      <c r="K155" s="59" t="s">
        <v>217</v>
      </c>
      <c r="L155" s="59" t="s">
        <v>177</v>
      </c>
      <c r="M155" s="303" t="s">
        <v>597</v>
      </c>
      <c r="N155" s="303">
        <v>3.35</v>
      </c>
      <c r="O155" s="303">
        <v>3.73</v>
      </c>
      <c r="P155" s="303">
        <v>4.1100000000000003</v>
      </c>
      <c r="Q155" s="303">
        <v>4.1100000000000003</v>
      </c>
      <c r="R155" s="303">
        <v>4.1100000000000003</v>
      </c>
      <c r="S155" s="303">
        <v>4.1100000000000003</v>
      </c>
      <c r="T155" s="303">
        <v>4.1100000000000003</v>
      </c>
      <c r="U155" s="303">
        <v>4.1100000000000003</v>
      </c>
      <c r="V155" s="303">
        <v>4.1100000000000003</v>
      </c>
      <c r="W155" s="303">
        <v>4.1100000000000003</v>
      </c>
      <c r="X155" s="303">
        <v>3.73</v>
      </c>
      <c r="Y155" s="303">
        <v>3.73</v>
      </c>
      <c r="Z155" s="303">
        <v>3.73</v>
      </c>
      <c r="AA155" s="303">
        <v>3.73</v>
      </c>
      <c r="AB155" s="59">
        <v>0.18</v>
      </c>
      <c r="AC155" s="59">
        <v>0.46</v>
      </c>
      <c r="AD155" s="59">
        <v>0.46</v>
      </c>
      <c r="AE155" s="59">
        <v>0.46</v>
      </c>
      <c r="AF155" s="59">
        <v>0.46</v>
      </c>
      <c r="AG155" s="59">
        <v>0.46</v>
      </c>
      <c r="AH155" s="59">
        <v>0.46</v>
      </c>
      <c r="AI155" s="59">
        <v>0.46</v>
      </c>
      <c r="AJ155" s="59">
        <v>0.46</v>
      </c>
      <c r="AK155" s="59">
        <v>0.18</v>
      </c>
      <c r="AL155" s="59">
        <v>0.18</v>
      </c>
      <c r="AM155" s="59">
        <v>0.18</v>
      </c>
      <c r="AN155" s="59">
        <v>0.18</v>
      </c>
      <c r="AO155" s="255"/>
      <c r="AP155" s="254">
        <f t="shared" si="53"/>
        <v>0</v>
      </c>
      <c r="AQ155" s="270"/>
      <c r="AR155" s="254">
        <f t="shared" si="54"/>
        <v>0</v>
      </c>
      <c r="AS155" s="270">
        <v>120</v>
      </c>
      <c r="AT155" s="254">
        <f t="shared" si="55"/>
        <v>55.2</v>
      </c>
      <c r="AU155" s="256"/>
      <c r="AV155" s="257">
        <f t="shared" si="56"/>
        <v>0</v>
      </c>
      <c r="AW155" s="382"/>
      <c r="AX155" s="257">
        <f t="shared" si="57"/>
        <v>0</v>
      </c>
      <c r="AY155" s="268">
        <v>120</v>
      </c>
      <c r="AZ155" s="257">
        <f t="shared" si="58"/>
        <v>55.2</v>
      </c>
      <c r="BA155" s="268">
        <v>240</v>
      </c>
      <c r="BB155" s="257">
        <f t="shared" si="59"/>
        <v>110.4</v>
      </c>
      <c r="BC155" s="268">
        <v>240</v>
      </c>
      <c r="BD155" s="257">
        <f t="shared" si="60"/>
        <v>110.4</v>
      </c>
      <c r="BE155" s="268">
        <v>120</v>
      </c>
      <c r="BF155" s="257">
        <f t="shared" si="52"/>
        <v>21.599999999999998</v>
      </c>
      <c r="BG155" s="256">
        <v>240</v>
      </c>
      <c r="BH155" s="257">
        <f t="shared" si="61"/>
        <v>43.199999999999996</v>
      </c>
      <c r="BI155" s="268"/>
      <c r="BJ155" s="257">
        <f t="shared" si="62"/>
        <v>0</v>
      </c>
      <c r="BK155" s="268">
        <v>120</v>
      </c>
      <c r="BL155" s="257">
        <f t="shared" si="11"/>
        <v>21.599999999999998</v>
      </c>
      <c r="BM155" s="1" t="s">
        <v>605</v>
      </c>
      <c r="BN155" s="1" t="s">
        <v>612</v>
      </c>
      <c r="BO155" s="1" t="s">
        <v>457</v>
      </c>
      <c r="BP155" s="1" t="s">
        <v>621</v>
      </c>
    </row>
    <row r="156" spans="1:68" s="14" customFormat="1" ht="15.75" customHeight="1">
      <c r="A156" s="250" t="s">
        <v>451</v>
      </c>
      <c r="B156" s="59" t="s">
        <v>363</v>
      </c>
      <c r="C156" s="354" t="s">
        <v>172</v>
      </c>
      <c r="D156" s="424"/>
      <c r="E156" s="357" t="s">
        <v>214</v>
      </c>
      <c r="F156" s="421"/>
      <c r="G156" s="317">
        <v>2024</v>
      </c>
      <c r="H156" s="59" t="s">
        <v>619</v>
      </c>
      <c r="I156" s="315" t="s">
        <v>357</v>
      </c>
      <c r="J156" s="318" t="s">
        <v>217</v>
      </c>
      <c r="K156" s="59" t="s">
        <v>217</v>
      </c>
      <c r="L156" s="59" t="s">
        <v>177</v>
      </c>
      <c r="M156" s="303" t="s">
        <v>598</v>
      </c>
      <c r="N156" s="303">
        <v>3.35</v>
      </c>
      <c r="O156" s="303">
        <v>3.73</v>
      </c>
      <c r="P156" s="303">
        <v>4.1100000000000003</v>
      </c>
      <c r="Q156" s="303">
        <v>4.1100000000000003</v>
      </c>
      <c r="R156" s="303">
        <v>4.1100000000000003</v>
      </c>
      <c r="S156" s="303">
        <v>4.1100000000000003</v>
      </c>
      <c r="T156" s="303">
        <v>4.1100000000000003</v>
      </c>
      <c r="U156" s="303">
        <v>4.1100000000000003</v>
      </c>
      <c r="V156" s="303">
        <v>4.1100000000000003</v>
      </c>
      <c r="W156" s="303">
        <v>4.1100000000000003</v>
      </c>
      <c r="X156" s="303">
        <v>3.73</v>
      </c>
      <c r="Y156" s="303">
        <v>3.73</v>
      </c>
      <c r="Z156" s="303">
        <v>3.73</v>
      </c>
      <c r="AA156" s="303">
        <v>3.73</v>
      </c>
      <c r="AB156" s="59">
        <v>0.18</v>
      </c>
      <c r="AC156" s="59">
        <v>0.46</v>
      </c>
      <c r="AD156" s="59">
        <v>0.46</v>
      </c>
      <c r="AE156" s="59">
        <v>0.46</v>
      </c>
      <c r="AF156" s="59">
        <v>0.46</v>
      </c>
      <c r="AG156" s="59">
        <v>0.46</v>
      </c>
      <c r="AH156" s="59">
        <v>0.46</v>
      </c>
      <c r="AI156" s="59">
        <v>0.46</v>
      </c>
      <c r="AJ156" s="59">
        <v>0.46</v>
      </c>
      <c r="AK156" s="59">
        <v>0.18</v>
      </c>
      <c r="AL156" s="59">
        <v>0.18</v>
      </c>
      <c r="AM156" s="59">
        <v>0.18</v>
      </c>
      <c r="AN156" s="59">
        <v>0.18</v>
      </c>
      <c r="AO156" s="255"/>
      <c r="AP156" s="254">
        <f t="shared" si="53"/>
        <v>0</v>
      </c>
      <c r="AQ156" s="270"/>
      <c r="AR156" s="254">
        <f t="shared" si="54"/>
        <v>0</v>
      </c>
      <c r="AS156" s="270"/>
      <c r="AT156" s="254">
        <f t="shared" si="55"/>
        <v>0</v>
      </c>
      <c r="AU156" s="256"/>
      <c r="AV156" s="257">
        <f t="shared" si="56"/>
        <v>0</v>
      </c>
      <c r="AW156" s="382"/>
      <c r="AX156" s="257">
        <f t="shared" si="57"/>
        <v>0</v>
      </c>
      <c r="AY156" s="268"/>
      <c r="AZ156" s="257">
        <f t="shared" si="58"/>
        <v>0</v>
      </c>
      <c r="BA156" s="268">
        <v>24</v>
      </c>
      <c r="BB156" s="257">
        <f t="shared" si="59"/>
        <v>11.040000000000001</v>
      </c>
      <c r="BC156" s="268">
        <v>1080</v>
      </c>
      <c r="BD156" s="257">
        <f t="shared" si="60"/>
        <v>496.8</v>
      </c>
      <c r="BE156" s="268">
        <v>3060</v>
      </c>
      <c r="BF156" s="257">
        <f t="shared" si="52"/>
        <v>550.79999999999995</v>
      </c>
      <c r="BG156" s="268">
        <v>1884</v>
      </c>
      <c r="BH156" s="257">
        <f t="shared" si="61"/>
        <v>339.12</v>
      </c>
      <c r="BI156" s="268">
        <v>7344</v>
      </c>
      <c r="BJ156" s="257">
        <f t="shared" si="62"/>
        <v>1321.9199999999998</v>
      </c>
      <c r="BK156" s="268">
        <v>8208</v>
      </c>
      <c r="BL156" s="257">
        <f t="shared" si="11"/>
        <v>1477.44</v>
      </c>
      <c r="BM156" s="1" t="s">
        <v>605</v>
      </c>
      <c r="BN156" s="1" t="s">
        <v>612</v>
      </c>
      <c r="BO156" s="1" t="s">
        <v>457</v>
      </c>
      <c r="BP156" s="1" t="s">
        <v>621</v>
      </c>
    </row>
    <row r="157" spans="1:68" s="14" customFormat="1" ht="15.75" customHeight="1">
      <c r="A157" s="250" t="s">
        <v>451</v>
      </c>
      <c r="B157" s="59" t="s">
        <v>363</v>
      </c>
      <c r="C157" s="354" t="s">
        <v>172</v>
      </c>
      <c r="D157" s="424"/>
      <c r="E157" s="357" t="s">
        <v>214</v>
      </c>
      <c r="F157" s="421"/>
      <c r="G157" s="317">
        <v>2024</v>
      </c>
      <c r="H157" s="59" t="s">
        <v>619</v>
      </c>
      <c r="I157" s="315" t="s">
        <v>357</v>
      </c>
      <c r="J157" s="318" t="s">
        <v>217</v>
      </c>
      <c r="K157" s="59" t="s">
        <v>217</v>
      </c>
      <c r="L157" s="59" t="s">
        <v>177</v>
      </c>
      <c r="M157" s="303" t="s">
        <v>599</v>
      </c>
      <c r="N157" s="303">
        <v>3.35</v>
      </c>
      <c r="O157" s="303">
        <v>3.73</v>
      </c>
      <c r="P157" s="303">
        <v>4.1100000000000003</v>
      </c>
      <c r="Q157" s="303">
        <v>4.1100000000000003</v>
      </c>
      <c r="R157" s="303">
        <v>4.1100000000000003</v>
      </c>
      <c r="S157" s="303">
        <v>4.1100000000000003</v>
      </c>
      <c r="T157" s="303">
        <v>4.1100000000000003</v>
      </c>
      <c r="U157" s="303">
        <v>4.1100000000000003</v>
      </c>
      <c r="V157" s="303">
        <v>4.1100000000000003</v>
      </c>
      <c r="W157" s="303">
        <v>4.1100000000000003</v>
      </c>
      <c r="X157" s="303">
        <v>3.73</v>
      </c>
      <c r="Y157" s="303">
        <v>3.73</v>
      </c>
      <c r="Z157" s="303">
        <v>3.73</v>
      </c>
      <c r="AA157" s="303">
        <v>3.73</v>
      </c>
      <c r="AB157" s="59">
        <v>0.18</v>
      </c>
      <c r="AC157" s="59">
        <v>0.46</v>
      </c>
      <c r="AD157" s="59">
        <v>0.46</v>
      </c>
      <c r="AE157" s="59">
        <v>0.46</v>
      </c>
      <c r="AF157" s="59">
        <v>0.46</v>
      </c>
      <c r="AG157" s="59">
        <v>0.46</v>
      </c>
      <c r="AH157" s="59">
        <v>0.46</v>
      </c>
      <c r="AI157" s="59">
        <v>0.46</v>
      </c>
      <c r="AJ157" s="59">
        <v>0.46</v>
      </c>
      <c r="AK157" s="59">
        <v>0.18</v>
      </c>
      <c r="AL157" s="59">
        <v>0.18</v>
      </c>
      <c r="AM157" s="59">
        <v>0.18</v>
      </c>
      <c r="AN157" s="59">
        <v>0.18</v>
      </c>
      <c r="AO157" s="255"/>
      <c r="AP157" s="254">
        <f t="shared" si="53"/>
        <v>0</v>
      </c>
      <c r="AQ157" s="270"/>
      <c r="AR157" s="254">
        <f t="shared" si="54"/>
        <v>0</v>
      </c>
      <c r="AS157" s="270"/>
      <c r="AT157" s="254">
        <f t="shared" si="55"/>
        <v>0</v>
      </c>
      <c r="AU157" s="256">
        <v>24</v>
      </c>
      <c r="AV157" s="257">
        <f t="shared" si="56"/>
        <v>11.040000000000001</v>
      </c>
      <c r="AW157" s="382"/>
      <c r="AX157" s="257">
        <f t="shared" si="57"/>
        <v>0</v>
      </c>
      <c r="AY157" s="268"/>
      <c r="AZ157" s="257">
        <f t="shared" si="58"/>
        <v>0</v>
      </c>
      <c r="BA157" s="269"/>
      <c r="BB157" s="257">
        <f t="shared" si="59"/>
        <v>0</v>
      </c>
      <c r="BC157" s="269"/>
      <c r="BD157" s="257">
        <f t="shared" si="60"/>
        <v>0</v>
      </c>
      <c r="BE157" s="269"/>
      <c r="BF157" s="257">
        <f t="shared" si="52"/>
        <v>0</v>
      </c>
      <c r="BG157" s="268"/>
      <c r="BH157" s="257">
        <f t="shared" si="61"/>
        <v>0</v>
      </c>
      <c r="BI157" s="269"/>
      <c r="BJ157" s="257">
        <f t="shared" si="62"/>
        <v>0</v>
      </c>
      <c r="BK157" s="269"/>
      <c r="BL157" s="257">
        <f t="shared" si="11"/>
        <v>0</v>
      </c>
      <c r="BM157" s="1" t="s">
        <v>605</v>
      </c>
      <c r="BN157" s="1" t="s">
        <v>612</v>
      </c>
      <c r="BO157" s="1" t="s">
        <v>457</v>
      </c>
      <c r="BP157" s="1" t="s">
        <v>621</v>
      </c>
    </row>
    <row r="158" spans="1:68" s="14" customFormat="1" ht="15.75" customHeight="1">
      <c r="A158" s="250" t="s">
        <v>451</v>
      </c>
      <c r="B158" s="59" t="s">
        <v>363</v>
      </c>
      <c r="C158" s="354" t="s">
        <v>172</v>
      </c>
      <c r="D158" s="424"/>
      <c r="E158" s="357" t="s">
        <v>214</v>
      </c>
      <c r="F158" s="421"/>
      <c r="G158" s="317">
        <v>2024</v>
      </c>
      <c r="H158" s="59" t="s">
        <v>619</v>
      </c>
      <c r="I158" s="315" t="s">
        <v>357</v>
      </c>
      <c r="J158" s="318" t="s">
        <v>217</v>
      </c>
      <c r="K158" s="59" t="s">
        <v>217</v>
      </c>
      <c r="L158" s="59" t="s">
        <v>177</v>
      </c>
      <c r="M158" s="303" t="s">
        <v>600</v>
      </c>
      <c r="N158" s="303">
        <v>3.35</v>
      </c>
      <c r="O158" s="303">
        <v>3.55</v>
      </c>
      <c r="P158" s="303">
        <v>3.93</v>
      </c>
      <c r="Q158" s="303">
        <v>3.93</v>
      </c>
      <c r="R158" s="303">
        <v>3.93</v>
      </c>
      <c r="S158" s="303">
        <v>3.93</v>
      </c>
      <c r="T158" s="303">
        <v>3.93</v>
      </c>
      <c r="U158" s="303">
        <v>3.93</v>
      </c>
      <c r="V158" s="303">
        <v>3.93</v>
      </c>
      <c r="W158" s="303">
        <v>3.93</v>
      </c>
      <c r="X158" s="303">
        <v>3.55</v>
      </c>
      <c r="Y158" s="303">
        <v>3.55</v>
      </c>
      <c r="Z158" s="303">
        <v>3.55</v>
      </c>
      <c r="AA158" s="303">
        <v>3.55</v>
      </c>
      <c r="AB158" s="59">
        <v>0.18</v>
      </c>
      <c r="AC158" s="59">
        <v>0.46</v>
      </c>
      <c r="AD158" s="59">
        <v>0.46</v>
      </c>
      <c r="AE158" s="59">
        <v>0.46</v>
      </c>
      <c r="AF158" s="59">
        <v>0.46</v>
      </c>
      <c r="AG158" s="59">
        <v>0.46</v>
      </c>
      <c r="AH158" s="59">
        <v>0.46</v>
      </c>
      <c r="AI158" s="59">
        <v>0.46</v>
      </c>
      <c r="AJ158" s="59">
        <v>0.46</v>
      </c>
      <c r="AK158" s="59">
        <v>0.18</v>
      </c>
      <c r="AL158" s="59">
        <v>0.18</v>
      </c>
      <c r="AM158" s="59">
        <v>0.18</v>
      </c>
      <c r="AN158" s="59">
        <v>0.18</v>
      </c>
      <c r="AO158" s="255"/>
      <c r="AP158" s="254">
        <f t="shared" si="53"/>
        <v>0</v>
      </c>
      <c r="AQ158" s="270"/>
      <c r="AR158" s="254">
        <f t="shared" si="54"/>
        <v>0</v>
      </c>
      <c r="AS158" s="270"/>
      <c r="AT158" s="254">
        <f t="shared" si="55"/>
        <v>0</v>
      </c>
      <c r="AU158" s="256"/>
      <c r="AV158" s="257">
        <f t="shared" si="56"/>
        <v>0</v>
      </c>
      <c r="AW158" s="382"/>
      <c r="AX158" s="257">
        <f t="shared" si="57"/>
        <v>0</v>
      </c>
      <c r="AY158" s="268"/>
      <c r="AZ158" s="257">
        <f t="shared" si="58"/>
        <v>0</v>
      </c>
      <c r="BA158" s="269"/>
      <c r="BB158" s="257">
        <f t="shared" si="59"/>
        <v>0</v>
      </c>
      <c r="BC158" s="268">
        <v>1512</v>
      </c>
      <c r="BD158" s="257">
        <f t="shared" si="60"/>
        <v>695.52</v>
      </c>
      <c r="BE158" s="269"/>
      <c r="BF158" s="257">
        <f t="shared" si="52"/>
        <v>0</v>
      </c>
      <c r="BG158" s="268">
        <v>8640</v>
      </c>
      <c r="BH158" s="257">
        <f t="shared" si="61"/>
        <v>1555.2</v>
      </c>
      <c r="BI158" s="269"/>
      <c r="BJ158" s="257">
        <f t="shared" si="62"/>
        <v>0</v>
      </c>
      <c r="BK158" s="269"/>
      <c r="BL158" s="257">
        <f t="shared" si="11"/>
        <v>0</v>
      </c>
      <c r="BM158" s="1" t="s">
        <v>605</v>
      </c>
      <c r="BN158" s="1" t="s">
        <v>612</v>
      </c>
      <c r="BO158" s="1" t="s">
        <v>457</v>
      </c>
      <c r="BP158" s="1" t="s">
        <v>621</v>
      </c>
    </row>
    <row r="159" spans="1:68" s="14" customFormat="1" ht="15.75" customHeight="1">
      <c r="A159" s="250" t="s">
        <v>451</v>
      </c>
      <c r="B159" s="59" t="s">
        <v>363</v>
      </c>
      <c r="C159" s="354" t="s">
        <v>172</v>
      </c>
      <c r="D159" s="424"/>
      <c r="E159" s="357" t="s">
        <v>214</v>
      </c>
      <c r="F159" s="421"/>
      <c r="G159" s="317">
        <v>2024</v>
      </c>
      <c r="H159" s="59" t="s">
        <v>619</v>
      </c>
      <c r="I159" s="315" t="s">
        <v>357</v>
      </c>
      <c r="J159" s="318" t="s">
        <v>217</v>
      </c>
      <c r="K159" s="59" t="s">
        <v>217</v>
      </c>
      <c r="L159" s="59" t="s">
        <v>177</v>
      </c>
      <c r="M159" s="303" t="s">
        <v>602</v>
      </c>
      <c r="N159" s="303">
        <v>3.35</v>
      </c>
      <c r="O159" s="303">
        <v>3.77</v>
      </c>
      <c r="P159" s="303">
        <v>4.1500000000000004</v>
      </c>
      <c r="Q159" s="303">
        <v>4.1500000000000004</v>
      </c>
      <c r="R159" s="303">
        <v>4.1500000000000004</v>
      </c>
      <c r="S159" s="303">
        <v>4.1500000000000004</v>
      </c>
      <c r="T159" s="303">
        <v>4.1500000000000004</v>
      </c>
      <c r="U159" s="303">
        <v>4.1500000000000004</v>
      </c>
      <c r="V159" s="303">
        <v>4.1500000000000004</v>
      </c>
      <c r="W159" s="303">
        <v>4.1500000000000004</v>
      </c>
      <c r="X159" s="303">
        <v>3.77</v>
      </c>
      <c r="Y159" s="303">
        <v>3.77</v>
      </c>
      <c r="Z159" s="303">
        <v>3.77</v>
      </c>
      <c r="AA159" s="303">
        <v>3.77</v>
      </c>
      <c r="AB159" s="59">
        <v>0.18</v>
      </c>
      <c r="AC159" s="59">
        <v>0.46</v>
      </c>
      <c r="AD159" s="59">
        <v>0.46</v>
      </c>
      <c r="AE159" s="59">
        <v>0.46</v>
      </c>
      <c r="AF159" s="59">
        <v>0.46</v>
      </c>
      <c r="AG159" s="59">
        <v>0.46</v>
      </c>
      <c r="AH159" s="59">
        <v>0.46</v>
      </c>
      <c r="AI159" s="59">
        <v>0.46</v>
      </c>
      <c r="AJ159" s="59">
        <v>0.46</v>
      </c>
      <c r="AK159" s="59">
        <v>0.18</v>
      </c>
      <c r="AL159" s="59">
        <v>0.18</v>
      </c>
      <c r="AM159" s="59">
        <v>0.18</v>
      </c>
      <c r="AN159" s="59">
        <v>0.18</v>
      </c>
      <c r="AO159" s="255"/>
      <c r="AP159" s="254">
        <f t="shared" si="53"/>
        <v>0</v>
      </c>
      <c r="AQ159" s="270">
        <v>552</v>
      </c>
      <c r="AR159" s="254">
        <f t="shared" si="54"/>
        <v>253.92000000000002</v>
      </c>
      <c r="AS159" s="270"/>
      <c r="AT159" s="254">
        <f t="shared" si="55"/>
        <v>0</v>
      </c>
      <c r="AU159" s="256"/>
      <c r="AV159" s="257">
        <f t="shared" si="56"/>
        <v>0</v>
      </c>
      <c r="AW159" s="382"/>
      <c r="AX159" s="257">
        <f t="shared" si="57"/>
        <v>0</v>
      </c>
      <c r="AY159" s="268"/>
      <c r="AZ159" s="257">
        <f t="shared" si="58"/>
        <v>0</v>
      </c>
      <c r="BA159" s="269"/>
      <c r="BB159" s="257">
        <f t="shared" si="59"/>
        <v>0</v>
      </c>
      <c r="BC159" s="269"/>
      <c r="BD159" s="257">
        <f t="shared" si="60"/>
        <v>0</v>
      </c>
      <c r="BE159" s="269"/>
      <c r="BF159" s="257">
        <f t="shared" si="52"/>
        <v>0</v>
      </c>
      <c r="BG159" s="268"/>
      <c r="BH159" s="257">
        <f t="shared" si="61"/>
        <v>0</v>
      </c>
      <c r="BI159" s="269"/>
      <c r="BJ159" s="257">
        <f t="shared" si="62"/>
        <v>0</v>
      </c>
      <c r="BK159" s="269"/>
      <c r="BL159" s="257">
        <f t="shared" si="11"/>
        <v>0</v>
      </c>
      <c r="BM159" s="1" t="s">
        <v>605</v>
      </c>
      <c r="BN159" s="1" t="s">
        <v>612</v>
      </c>
      <c r="BO159" s="1" t="s">
        <v>457</v>
      </c>
      <c r="BP159" s="1" t="s">
        <v>621</v>
      </c>
    </row>
    <row r="160" spans="1:68" s="14" customFormat="1" ht="15.75" customHeight="1">
      <c r="A160" s="250" t="s">
        <v>451</v>
      </c>
      <c r="B160" s="59" t="s">
        <v>363</v>
      </c>
      <c r="C160" s="354" t="s">
        <v>172</v>
      </c>
      <c r="D160" s="424"/>
      <c r="E160" s="357" t="s">
        <v>214</v>
      </c>
      <c r="F160" s="421"/>
      <c r="G160" s="317">
        <v>2024</v>
      </c>
      <c r="H160" s="59" t="s">
        <v>622</v>
      </c>
      <c r="I160" s="315" t="s">
        <v>367</v>
      </c>
      <c r="J160" s="318" t="s">
        <v>217</v>
      </c>
      <c r="K160" s="59" t="s">
        <v>217</v>
      </c>
      <c r="L160" s="59" t="s">
        <v>177</v>
      </c>
      <c r="M160" s="303" t="s">
        <v>592</v>
      </c>
      <c r="N160" s="303">
        <v>1.45</v>
      </c>
      <c r="O160" s="303">
        <v>1.5</v>
      </c>
      <c r="P160" s="303">
        <v>1.81</v>
      </c>
      <c r="Q160" s="303">
        <v>1.81</v>
      </c>
      <c r="R160" s="303">
        <v>1.81</v>
      </c>
      <c r="S160" s="303">
        <v>1.81</v>
      </c>
      <c r="T160" s="303">
        <v>1.81</v>
      </c>
      <c r="U160" s="303">
        <v>1.81</v>
      </c>
      <c r="V160" s="303">
        <v>1.81</v>
      </c>
      <c r="W160" s="303">
        <v>1.81</v>
      </c>
      <c r="X160" s="303">
        <v>1.5</v>
      </c>
      <c r="Y160" s="303">
        <v>1.5</v>
      </c>
      <c r="Z160" s="303">
        <v>1.5</v>
      </c>
      <c r="AA160" s="303">
        <v>1.5</v>
      </c>
      <c r="AB160" s="59">
        <v>0.02</v>
      </c>
      <c r="AC160" s="59">
        <v>0.28000000000000003</v>
      </c>
      <c r="AD160" s="59">
        <v>0.28000000000000003</v>
      </c>
      <c r="AE160" s="59">
        <v>0.28000000000000003</v>
      </c>
      <c r="AF160" s="59">
        <v>0.28000000000000003</v>
      </c>
      <c r="AG160" s="59">
        <v>0.28000000000000003</v>
      </c>
      <c r="AH160" s="59">
        <v>0.28000000000000003</v>
      </c>
      <c r="AI160" s="59">
        <v>0.28000000000000003</v>
      </c>
      <c r="AJ160" s="59">
        <v>0.28000000000000003</v>
      </c>
      <c r="AK160" s="59">
        <v>0.02</v>
      </c>
      <c r="AL160" s="59">
        <v>0.02</v>
      </c>
      <c r="AM160" s="59">
        <v>0.02</v>
      </c>
      <c r="AN160" s="59">
        <v>0.02</v>
      </c>
      <c r="AO160" s="255"/>
      <c r="AP160" s="254">
        <f t="shared" si="53"/>
        <v>0</v>
      </c>
      <c r="AQ160" s="270">
        <v>40</v>
      </c>
      <c r="AR160" s="254">
        <f t="shared" si="54"/>
        <v>11.200000000000001</v>
      </c>
      <c r="AS160" s="258"/>
      <c r="AT160" s="254">
        <f t="shared" si="55"/>
        <v>0</v>
      </c>
      <c r="AU160" s="256">
        <v>4922</v>
      </c>
      <c r="AV160" s="257">
        <f t="shared" si="56"/>
        <v>1378.16</v>
      </c>
      <c r="AW160" s="382">
        <v>12452</v>
      </c>
      <c r="AX160" s="257">
        <f t="shared" si="57"/>
        <v>3486.5600000000004</v>
      </c>
      <c r="AY160" s="268">
        <v>1680</v>
      </c>
      <c r="AZ160" s="257">
        <f t="shared" si="58"/>
        <v>470.40000000000003</v>
      </c>
      <c r="BA160" s="268">
        <v>5880</v>
      </c>
      <c r="BB160" s="257">
        <f t="shared" si="59"/>
        <v>1646.4</v>
      </c>
      <c r="BC160" s="268">
        <v>12000</v>
      </c>
      <c r="BD160" s="257">
        <f t="shared" si="60"/>
        <v>3360.0000000000005</v>
      </c>
      <c r="BE160" s="268">
        <v>2400</v>
      </c>
      <c r="BF160" s="257">
        <f t="shared" si="52"/>
        <v>48</v>
      </c>
      <c r="BG160" s="268">
        <v>2640</v>
      </c>
      <c r="BH160" s="257">
        <f t="shared" si="61"/>
        <v>52.800000000000004</v>
      </c>
      <c r="BI160" s="268">
        <v>2520</v>
      </c>
      <c r="BJ160" s="257">
        <f t="shared" si="62"/>
        <v>50.4</v>
      </c>
      <c r="BK160" s="268">
        <v>4698</v>
      </c>
      <c r="BL160" s="257">
        <f t="shared" si="11"/>
        <v>93.960000000000008</v>
      </c>
      <c r="BM160" s="1" t="s">
        <v>608</v>
      </c>
      <c r="BN160" s="1" t="s">
        <v>617</v>
      </c>
      <c r="BO160" s="1" t="s">
        <v>457</v>
      </c>
      <c r="BP160" s="1" t="s">
        <v>623</v>
      </c>
    </row>
    <row r="161" spans="1:68" s="14" customFormat="1" ht="15.75" customHeight="1">
      <c r="A161" s="250" t="s">
        <v>451</v>
      </c>
      <c r="B161" s="59" t="s">
        <v>363</v>
      </c>
      <c r="C161" s="354" t="s">
        <v>172</v>
      </c>
      <c r="D161" s="424"/>
      <c r="E161" s="357" t="s">
        <v>214</v>
      </c>
      <c r="F161" s="421"/>
      <c r="G161" s="317">
        <v>2024</v>
      </c>
      <c r="H161" s="59" t="s">
        <v>622</v>
      </c>
      <c r="I161" s="315" t="s">
        <v>367</v>
      </c>
      <c r="J161" s="318" t="s">
        <v>217</v>
      </c>
      <c r="K161" s="59" t="s">
        <v>217</v>
      </c>
      <c r="L161" s="59" t="s">
        <v>177</v>
      </c>
      <c r="M161" s="303" t="s">
        <v>455</v>
      </c>
      <c r="N161" s="303">
        <v>1.45</v>
      </c>
      <c r="O161" s="303">
        <v>1.5</v>
      </c>
      <c r="P161" s="303">
        <v>1.81</v>
      </c>
      <c r="Q161" s="303">
        <v>1.81</v>
      </c>
      <c r="R161" s="303">
        <v>1.81</v>
      </c>
      <c r="S161" s="303">
        <v>1.81</v>
      </c>
      <c r="T161" s="303">
        <v>1.81</v>
      </c>
      <c r="U161" s="303">
        <v>1.81</v>
      </c>
      <c r="V161" s="303">
        <v>1.81</v>
      </c>
      <c r="W161" s="303">
        <v>1.81</v>
      </c>
      <c r="X161" s="303">
        <v>1.5</v>
      </c>
      <c r="Y161" s="303">
        <v>1.5</v>
      </c>
      <c r="Z161" s="303">
        <v>1.5</v>
      </c>
      <c r="AA161" s="303">
        <v>1.5</v>
      </c>
      <c r="AB161" s="59">
        <v>0.02</v>
      </c>
      <c r="AC161" s="59">
        <v>0.28000000000000003</v>
      </c>
      <c r="AD161" s="59">
        <v>0.28000000000000003</v>
      </c>
      <c r="AE161" s="59">
        <v>0.28000000000000003</v>
      </c>
      <c r="AF161" s="59">
        <v>0.28000000000000003</v>
      </c>
      <c r="AG161" s="59">
        <v>0.28000000000000003</v>
      </c>
      <c r="AH161" s="59">
        <v>0.28000000000000003</v>
      </c>
      <c r="AI161" s="59">
        <v>0.28000000000000003</v>
      </c>
      <c r="AJ161" s="59">
        <v>0.28000000000000003</v>
      </c>
      <c r="AK161" s="59">
        <v>0.02</v>
      </c>
      <c r="AL161" s="59">
        <v>0.02</v>
      </c>
      <c r="AM161" s="59">
        <v>0.02</v>
      </c>
      <c r="AN161" s="59">
        <v>0.02</v>
      </c>
      <c r="AO161" s="255"/>
      <c r="AP161" s="254">
        <f t="shared" si="53"/>
        <v>0</v>
      </c>
      <c r="AQ161" s="270"/>
      <c r="AR161" s="254">
        <f t="shared" si="54"/>
        <v>0</v>
      </c>
      <c r="AS161" s="270"/>
      <c r="AT161" s="254">
        <f t="shared" si="55"/>
        <v>0</v>
      </c>
      <c r="AU161" s="256"/>
      <c r="AV161" s="257">
        <f t="shared" si="56"/>
        <v>0</v>
      </c>
      <c r="AW161" s="382"/>
      <c r="AX161" s="257">
        <f t="shared" si="57"/>
        <v>0</v>
      </c>
      <c r="AY161" s="268">
        <v>120</v>
      </c>
      <c r="AZ161" s="257">
        <f t="shared" si="58"/>
        <v>33.6</v>
      </c>
      <c r="BA161" s="268">
        <v>960</v>
      </c>
      <c r="BB161" s="257">
        <f t="shared" si="59"/>
        <v>268.8</v>
      </c>
      <c r="BC161" s="268">
        <v>1560</v>
      </c>
      <c r="BD161" s="257">
        <f t="shared" si="60"/>
        <v>436.80000000000007</v>
      </c>
      <c r="BE161" s="268">
        <v>1440</v>
      </c>
      <c r="BF161" s="257">
        <f t="shared" si="52"/>
        <v>28.8</v>
      </c>
      <c r="BG161" s="268">
        <v>1560</v>
      </c>
      <c r="BH161" s="257">
        <f t="shared" si="61"/>
        <v>31.2</v>
      </c>
      <c r="BI161" s="268">
        <v>360</v>
      </c>
      <c r="BJ161" s="257">
        <f t="shared" si="62"/>
        <v>7.2</v>
      </c>
      <c r="BK161" s="268">
        <v>480</v>
      </c>
      <c r="BL161" s="257">
        <f t="shared" si="11"/>
        <v>9.6</v>
      </c>
      <c r="BM161" s="1" t="s">
        <v>608</v>
      </c>
      <c r="BN161" s="1" t="s">
        <v>617</v>
      </c>
      <c r="BO161" s="1" t="s">
        <v>457</v>
      </c>
      <c r="BP161" s="1" t="s">
        <v>623</v>
      </c>
    </row>
    <row r="162" spans="1:68" s="14" customFormat="1" ht="15.75" customHeight="1">
      <c r="A162" s="250" t="s">
        <v>451</v>
      </c>
      <c r="B162" s="59" t="s">
        <v>363</v>
      </c>
      <c r="C162" s="354" t="s">
        <v>172</v>
      </c>
      <c r="D162" s="424"/>
      <c r="E162" s="357" t="s">
        <v>214</v>
      </c>
      <c r="F162" s="421"/>
      <c r="G162" s="317">
        <v>2024</v>
      </c>
      <c r="H162" s="59" t="s">
        <v>622</v>
      </c>
      <c r="I162" s="315" t="s">
        <v>367</v>
      </c>
      <c r="J162" s="318" t="s">
        <v>217</v>
      </c>
      <c r="K162" s="59" t="s">
        <v>217</v>
      </c>
      <c r="L162" s="59" t="s">
        <v>177</v>
      </c>
      <c r="M162" s="303" t="s">
        <v>595</v>
      </c>
      <c r="N162" s="303">
        <v>1.45</v>
      </c>
      <c r="O162" s="303">
        <v>1.5</v>
      </c>
      <c r="P162" s="303">
        <v>1.81</v>
      </c>
      <c r="Q162" s="303">
        <v>1.81</v>
      </c>
      <c r="R162" s="303">
        <v>1.81</v>
      </c>
      <c r="S162" s="303">
        <v>1.81</v>
      </c>
      <c r="T162" s="303">
        <v>1.81</v>
      </c>
      <c r="U162" s="303">
        <v>1.81</v>
      </c>
      <c r="V162" s="303">
        <v>1.81</v>
      </c>
      <c r="W162" s="303">
        <v>1.81</v>
      </c>
      <c r="X162" s="303">
        <v>1.5</v>
      </c>
      <c r="Y162" s="303">
        <v>1.5</v>
      </c>
      <c r="Z162" s="303">
        <v>1.5</v>
      </c>
      <c r="AA162" s="303">
        <v>1.5</v>
      </c>
      <c r="AB162" s="59">
        <v>0.02</v>
      </c>
      <c r="AC162" s="59">
        <v>0.28000000000000003</v>
      </c>
      <c r="AD162" s="59">
        <v>0.28000000000000003</v>
      </c>
      <c r="AE162" s="59">
        <v>0.28000000000000003</v>
      </c>
      <c r="AF162" s="59">
        <v>0.28000000000000003</v>
      </c>
      <c r="AG162" s="59">
        <v>0.28000000000000003</v>
      </c>
      <c r="AH162" s="59">
        <v>0.28000000000000003</v>
      </c>
      <c r="AI162" s="59">
        <v>0.28000000000000003</v>
      </c>
      <c r="AJ162" s="59">
        <v>0.28000000000000003</v>
      </c>
      <c r="AK162" s="59">
        <v>0.02</v>
      </c>
      <c r="AL162" s="59">
        <v>0.02</v>
      </c>
      <c r="AM162" s="59">
        <v>0.02</v>
      </c>
      <c r="AN162" s="59">
        <v>0.02</v>
      </c>
      <c r="AO162" s="255"/>
      <c r="AP162" s="254">
        <f t="shared" si="53"/>
        <v>0</v>
      </c>
      <c r="AQ162" s="270"/>
      <c r="AR162" s="254">
        <f t="shared" si="54"/>
        <v>0</v>
      </c>
      <c r="AS162" s="270"/>
      <c r="AT162" s="254">
        <f t="shared" si="55"/>
        <v>0</v>
      </c>
      <c r="AU162" s="256"/>
      <c r="AV162" s="257">
        <f t="shared" si="56"/>
        <v>0</v>
      </c>
      <c r="AW162" s="382">
        <v>19000</v>
      </c>
      <c r="AX162" s="257">
        <f t="shared" si="57"/>
        <v>5320.0000000000009</v>
      </c>
      <c r="AY162" s="268">
        <v>27840</v>
      </c>
      <c r="AZ162" s="257">
        <f t="shared" si="58"/>
        <v>7795.2000000000007</v>
      </c>
      <c r="BA162" s="268">
        <v>37760</v>
      </c>
      <c r="BB162" s="257">
        <f t="shared" si="59"/>
        <v>10572.800000000001</v>
      </c>
      <c r="BC162" s="268">
        <v>31480</v>
      </c>
      <c r="BD162" s="257">
        <f t="shared" si="60"/>
        <v>8814.4000000000015</v>
      </c>
      <c r="BE162" s="268">
        <v>7800</v>
      </c>
      <c r="BF162" s="257">
        <f t="shared" si="52"/>
        <v>156</v>
      </c>
      <c r="BG162" s="268">
        <v>11520</v>
      </c>
      <c r="BH162" s="257">
        <f t="shared" si="61"/>
        <v>230.4</v>
      </c>
      <c r="BI162" s="268">
        <v>17800</v>
      </c>
      <c r="BJ162" s="257">
        <f t="shared" si="62"/>
        <v>356</v>
      </c>
      <c r="BK162" s="268">
        <v>3960</v>
      </c>
      <c r="BL162" s="257">
        <f t="shared" si="11"/>
        <v>79.2</v>
      </c>
      <c r="BM162" s="1" t="s">
        <v>608</v>
      </c>
      <c r="BN162" s="1" t="s">
        <v>617</v>
      </c>
      <c r="BO162" s="1" t="s">
        <v>457</v>
      </c>
      <c r="BP162" s="1" t="s">
        <v>623</v>
      </c>
    </row>
    <row r="163" spans="1:68" s="14" customFormat="1" ht="15.75" customHeight="1">
      <c r="A163" s="250" t="s">
        <v>451</v>
      </c>
      <c r="B163" s="59" t="s">
        <v>363</v>
      </c>
      <c r="C163" s="354" t="s">
        <v>172</v>
      </c>
      <c r="D163" s="424"/>
      <c r="E163" s="357" t="s">
        <v>214</v>
      </c>
      <c r="F163" s="421"/>
      <c r="G163" s="317">
        <v>2024</v>
      </c>
      <c r="H163" s="59" t="s">
        <v>622</v>
      </c>
      <c r="I163" s="315" t="s">
        <v>367</v>
      </c>
      <c r="J163" s="318" t="s">
        <v>217</v>
      </c>
      <c r="K163" s="59" t="s">
        <v>217</v>
      </c>
      <c r="L163" s="59" t="s">
        <v>177</v>
      </c>
      <c r="M163" s="303" t="s">
        <v>597</v>
      </c>
      <c r="N163" s="303">
        <v>1.45</v>
      </c>
      <c r="O163" s="303">
        <v>1.5</v>
      </c>
      <c r="P163" s="303">
        <v>1.81</v>
      </c>
      <c r="Q163" s="303">
        <v>1.81</v>
      </c>
      <c r="R163" s="303">
        <v>1.81</v>
      </c>
      <c r="S163" s="303">
        <v>1.81</v>
      </c>
      <c r="T163" s="303">
        <v>1.81</v>
      </c>
      <c r="U163" s="303">
        <v>1.81</v>
      </c>
      <c r="V163" s="303">
        <v>1.81</v>
      </c>
      <c r="W163" s="303">
        <v>1.81</v>
      </c>
      <c r="X163" s="303">
        <v>1.5</v>
      </c>
      <c r="Y163" s="303">
        <v>1.5</v>
      </c>
      <c r="Z163" s="303">
        <v>1.5</v>
      </c>
      <c r="AA163" s="303">
        <v>1.5</v>
      </c>
      <c r="AB163" s="59">
        <v>0.02</v>
      </c>
      <c r="AC163" s="59">
        <v>0.28000000000000003</v>
      </c>
      <c r="AD163" s="59">
        <v>0.28000000000000003</v>
      </c>
      <c r="AE163" s="59">
        <v>0.28000000000000003</v>
      </c>
      <c r="AF163" s="59">
        <v>0.28000000000000003</v>
      </c>
      <c r="AG163" s="59">
        <v>0.28000000000000003</v>
      </c>
      <c r="AH163" s="59">
        <v>0.28000000000000003</v>
      </c>
      <c r="AI163" s="59">
        <v>0.28000000000000003</v>
      </c>
      <c r="AJ163" s="59">
        <v>0.28000000000000003</v>
      </c>
      <c r="AK163" s="59">
        <v>0.02</v>
      </c>
      <c r="AL163" s="59">
        <v>0.02</v>
      </c>
      <c r="AM163" s="59">
        <v>0.02</v>
      </c>
      <c r="AN163" s="59">
        <v>0.02</v>
      </c>
      <c r="AO163" s="255"/>
      <c r="AP163" s="254">
        <f t="shared" si="53"/>
        <v>0</v>
      </c>
      <c r="AQ163" s="270"/>
      <c r="AR163" s="254">
        <f t="shared" si="54"/>
        <v>0</v>
      </c>
      <c r="AS163" s="270"/>
      <c r="AT163" s="254">
        <f t="shared" si="55"/>
        <v>0</v>
      </c>
      <c r="AU163" s="256"/>
      <c r="AV163" s="257">
        <f t="shared" si="56"/>
        <v>0</v>
      </c>
      <c r="AW163" s="382"/>
      <c r="AX163" s="257">
        <f t="shared" si="57"/>
        <v>0</v>
      </c>
      <c r="AY163" s="268"/>
      <c r="AZ163" s="257">
        <f t="shared" si="58"/>
        <v>0</v>
      </c>
      <c r="BA163" s="269"/>
      <c r="BB163" s="257">
        <f t="shared" si="59"/>
        <v>0</v>
      </c>
      <c r="BC163" s="269"/>
      <c r="BD163" s="257">
        <f t="shared" si="60"/>
        <v>0</v>
      </c>
      <c r="BE163" s="268"/>
      <c r="BF163" s="257">
        <f t="shared" si="52"/>
        <v>0</v>
      </c>
      <c r="BG163" s="268"/>
      <c r="BH163" s="257">
        <f t="shared" si="61"/>
        <v>0</v>
      </c>
      <c r="BI163" s="268"/>
      <c r="BJ163" s="257">
        <f t="shared" si="62"/>
        <v>0</v>
      </c>
      <c r="BK163" s="268"/>
      <c r="BL163" s="257">
        <f t="shared" si="11"/>
        <v>0</v>
      </c>
      <c r="BM163" s="1" t="s">
        <v>608</v>
      </c>
      <c r="BN163" s="1" t="s">
        <v>617</v>
      </c>
      <c r="BO163" s="1" t="s">
        <v>457</v>
      </c>
      <c r="BP163" s="1" t="s">
        <v>623</v>
      </c>
    </row>
    <row r="164" spans="1:68" s="14" customFormat="1" ht="15.75" customHeight="1">
      <c r="A164" s="250" t="s">
        <v>451</v>
      </c>
      <c r="B164" s="59" t="s">
        <v>363</v>
      </c>
      <c r="C164" s="354" t="s">
        <v>172</v>
      </c>
      <c r="D164" s="424"/>
      <c r="E164" s="357" t="s">
        <v>214</v>
      </c>
      <c r="F164" s="421"/>
      <c r="G164" s="317">
        <v>2024</v>
      </c>
      <c r="H164" s="59" t="s">
        <v>622</v>
      </c>
      <c r="I164" s="315" t="s">
        <v>367</v>
      </c>
      <c r="J164" s="318" t="s">
        <v>217</v>
      </c>
      <c r="K164" s="59" t="s">
        <v>217</v>
      </c>
      <c r="L164" s="59" t="s">
        <v>177</v>
      </c>
      <c r="M164" s="303" t="s">
        <v>598</v>
      </c>
      <c r="N164" s="303">
        <v>1.45</v>
      </c>
      <c r="O164" s="303">
        <v>1.5</v>
      </c>
      <c r="P164" s="303">
        <v>1.81</v>
      </c>
      <c r="Q164" s="303">
        <v>1.81</v>
      </c>
      <c r="R164" s="303">
        <v>1.81</v>
      </c>
      <c r="S164" s="303">
        <v>1.81</v>
      </c>
      <c r="T164" s="303">
        <v>1.81</v>
      </c>
      <c r="U164" s="303">
        <v>1.81</v>
      </c>
      <c r="V164" s="303">
        <v>1.81</v>
      </c>
      <c r="W164" s="303">
        <v>1.81</v>
      </c>
      <c r="X164" s="303">
        <v>1.5</v>
      </c>
      <c r="Y164" s="303">
        <v>1.5</v>
      </c>
      <c r="Z164" s="303">
        <v>1.5</v>
      </c>
      <c r="AA164" s="303">
        <v>1.5</v>
      </c>
      <c r="AB164" s="59">
        <v>0.02</v>
      </c>
      <c r="AC164" s="59">
        <v>0.28000000000000003</v>
      </c>
      <c r="AD164" s="59">
        <v>0.28000000000000003</v>
      </c>
      <c r="AE164" s="59">
        <v>0.28000000000000003</v>
      </c>
      <c r="AF164" s="59">
        <v>0.28000000000000003</v>
      </c>
      <c r="AG164" s="59">
        <v>0.28000000000000003</v>
      </c>
      <c r="AH164" s="59">
        <v>0.28000000000000003</v>
      </c>
      <c r="AI164" s="59">
        <v>0.28000000000000003</v>
      </c>
      <c r="AJ164" s="59">
        <v>0.28000000000000003</v>
      </c>
      <c r="AK164" s="59">
        <v>0.02</v>
      </c>
      <c r="AL164" s="59">
        <v>0.02</v>
      </c>
      <c r="AM164" s="59">
        <v>0.02</v>
      </c>
      <c r="AN164" s="59">
        <v>0.02</v>
      </c>
      <c r="AO164" s="255"/>
      <c r="AP164" s="254">
        <f t="shared" si="53"/>
        <v>0</v>
      </c>
      <c r="AQ164" s="270"/>
      <c r="AR164" s="254">
        <f t="shared" si="54"/>
        <v>0</v>
      </c>
      <c r="AS164" s="270"/>
      <c r="AT164" s="254">
        <f t="shared" si="55"/>
        <v>0</v>
      </c>
      <c r="AU164" s="256"/>
      <c r="AV164" s="257">
        <f t="shared" si="56"/>
        <v>0</v>
      </c>
      <c r="AW164" s="382"/>
      <c r="AX164" s="257">
        <f t="shared" si="57"/>
        <v>0</v>
      </c>
      <c r="AY164" s="268"/>
      <c r="AZ164" s="257">
        <f t="shared" si="58"/>
        <v>0</v>
      </c>
      <c r="BA164" s="269"/>
      <c r="BB164" s="257">
        <f t="shared" si="59"/>
        <v>0</v>
      </c>
      <c r="BC164" s="269"/>
      <c r="BD164" s="257">
        <f t="shared" si="60"/>
        <v>0</v>
      </c>
      <c r="BE164" s="268">
        <v>600</v>
      </c>
      <c r="BF164" s="257">
        <f t="shared" si="52"/>
        <v>12</v>
      </c>
      <c r="BG164" s="268">
        <v>9960</v>
      </c>
      <c r="BH164" s="257">
        <f t="shared" si="61"/>
        <v>199.20000000000002</v>
      </c>
      <c r="BI164" s="268">
        <v>4680</v>
      </c>
      <c r="BJ164" s="257">
        <f t="shared" si="62"/>
        <v>93.600000000000009</v>
      </c>
      <c r="BK164" s="268">
        <v>9120</v>
      </c>
      <c r="BL164" s="257">
        <f t="shared" si="11"/>
        <v>182.4</v>
      </c>
      <c r="BM164" s="1" t="s">
        <v>608</v>
      </c>
      <c r="BN164" s="1" t="s">
        <v>617</v>
      </c>
      <c r="BO164" s="1" t="s">
        <v>457</v>
      </c>
      <c r="BP164" s="1" t="s">
        <v>623</v>
      </c>
    </row>
    <row r="165" spans="1:68" s="14" customFormat="1" ht="15.75" customHeight="1">
      <c r="A165" s="250" t="s">
        <v>451</v>
      </c>
      <c r="B165" s="59" t="s">
        <v>363</v>
      </c>
      <c r="C165" s="354" t="s">
        <v>172</v>
      </c>
      <c r="D165" s="424"/>
      <c r="E165" s="357" t="s">
        <v>214</v>
      </c>
      <c r="F165" s="421"/>
      <c r="G165" s="317">
        <v>2024</v>
      </c>
      <c r="H165" s="59" t="s">
        <v>622</v>
      </c>
      <c r="I165" s="315" t="s">
        <v>367</v>
      </c>
      <c r="J165" s="318" t="s">
        <v>217</v>
      </c>
      <c r="K165" s="59" t="s">
        <v>217</v>
      </c>
      <c r="L165" s="59" t="s">
        <v>177</v>
      </c>
      <c r="M165" s="303" t="s">
        <v>599</v>
      </c>
      <c r="N165" s="303">
        <v>1.45</v>
      </c>
      <c r="O165" s="303">
        <v>1.5</v>
      </c>
      <c r="P165" s="303">
        <v>1.81</v>
      </c>
      <c r="Q165" s="303">
        <v>1.81</v>
      </c>
      <c r="R165" s="303">
        <v>1.81</v>
      </c>
      <c r="S165" s="303">
        <v>1.81</v>
      </c>
      <c r="T165" s="303">
        <v>1.81</v>
      </c>
      <c r="U165" s="303">
        <v>1.81</v>
      </c>
      <c r="V165" s="303">
        <v>1.81</v>
      </c>
      <c r="W165" s="303">
        <v>1.81</v>
      </c>
      <c r="X165" s="303">
        <v>1.5</v>
      </c>
      <c r="Y165" s="303">
        <v>1.5</v>
      </c>
      <c r="Z165" s="303">
        <v>1.5</v>
      </c>
      <c r="AA165" s="303">
        <v>1.5</v>
      </c>
      <c r="AB165" s="59">
        <v>0.02</v>
      </c>
      <c r="AC165" s="59">
        <v>0.28000000000000003</v>
      </c>
      <c r="AD165" s="59">
        <v>0.28000000000000003</v>
      </c>
      <c r="AE165" s="59">
        <v>0.28000000000000003</v>
      </c>
      <c r="AF165" s="59">
        <v>0.28000000000000003</v>
      </c>
      <c r="AG165" s="59">
        <v>0.28000000000000003</v>
      </c>
      <c r="AH165" s="59">
        <v>0.28000000000000003</v>
      </c>
      <c r="AI165" s="59">
        <v>0.28000000000000003</v>
      </c>
      <c r="AJ165" s="59">
        <v>0.28000000000000003</v>
      </c>
      <c r="AK165" s="59">
        <v>0.02</v>
      </c>
      <c r="AL165" s="59">
        <v>0.02</v>
      </c>
      <c r="AM165" s="59">
        <v>0.02</v>
      </c>
      <c r="AN165" s="59">
        <v>0.02</v>
      </c>
      <c r="AO165" s="255"/>
      <c r="AP165" s="254">
        <f t="shared" si="53"/>
        <v>0</v>
      </c>
      <c r="AQ165" s="270"/>
      <c r="AR165" s="254">
        <f t="shared" si="54"/>
        <v>0</v>
      </c>
      <c r="AS165" s="270"/>
      <c r="AT165" s="254">
        <f t="shared" si="55"/>
        <v>0</v>
      </c>
      <c r="AU165" s="256"/>
      <c r="AV165" s="257">
        <f t="shared" si="56"/>
        <v>0</v>
      </c>
      <c r="AW165" s="382"/>
      <c r="AX165" s="257">
        <f t="shared" si="57"/>
        <v>0</v>
      </c>
      <c r="AY165" s="268"/>
      <c r="AZ165" s="257">
        <f t="shared" si="58"/>
        <v>0</v>
      </c>
      <c r="BA165" s="269"/>
      <c r="BB165" s="257">
        <f t="shared" si="59"/>
        <v>0</v>
      </c>
      <c r="BC165" s="269"/>
      <c r="BD165" s="257">
        <f t="shared" si="60"/>
        <v>0</v>
      </c>
      <c r="BE165" s="269"/>
      <c r="BF165" s="257">
        <f t="shared" si="52"/>
        <v>0</v>
      </c>
      <c r="BG165" s="269"/>
      <c r="BH165" s="257">
        <f t="shared" si="61"/>
        <v>0</v>
      </c>
      <c r="BI165" s="268">
        <v>840</v>
      </c>
      <c r="BJ165" s="257">
        <f t="shared" si="62"/>
        <v>16.8</v>
      </c>
      <c r="BK165" s="268">
        <v>360</v>
      </c>
      <c r="BL165" s="257">
        <f t="shared" si="11"/>
        <v>7.2</v>
      </c>
      <c r="BM165" s="1" t="s">
        <v>608</v>
      </c>
      <c r="BN165" s="1" t="s">
        <v>617</v>
      </c>
      <c r="BO165" s="1" t="s">
        <v>457</v>
      </c>
      <c r="BP165" s="1" t="s">
        <v>623</v>
      </c>
    </row>
    <row r="166" spans="1:68" s="14" customFormat="1" ht="15.75" customHeight="1">
      <c r="A166" s="250" t="s">
        <v>451</v>
      </c>
      <c r="B166" s="59" t="s">
        <v>363</v>
      </c>
      <c r="C166" s="354" t="s">
        <v>172</v>
      </c>
      <c r="D166" s="424"/>
      <c r="E166" s="357" t="s">
        <v>214</v>
      </c>
      <c r="F166" s="421"/>
      <c r="G166" s="317">
        <v>2024</v>
      </c>
      <c r="H166" s="59" t="s">
        <v>622</v>
      </c>
      <c r="I166" s="315" t="s">
        <v>367</v>
      </c>
      <c r="J166" s="318" t="s">
        <v>217</v>
      </c>
      <c r="K166" s="59" t="s">
        <v>217</v>
      </c>
      <c r="L166" s="59" t="s">
        <v>177</v>
      </c>
      <c r="M166" s="303" t="s">
        <v>601</v>
      </c>
      <c r="N166" s="303">
        <v>1.45</v>
      </c>
      <c r="O166" s="303">
        <v>1.6</v>
      </c>
      <c r="P166" s="303">
        <v>1.91</v>
      </c>
      <c r="Q166" s="303">
        <v>1.91</v>
      </c>
      <c r="R166" s="303">
        <v>1.91</v>
      </c>
      <c r="S166" s="303">
        <v>1.91</v>
      </c>
      <c r="T166" s="303">
        <v>1.91</v>
      </c>
      <c r="U166" s="303">
        <v>1.91</v>
      </c>
      <c r="V166" s="303">
        <v>1.91</v>
      </c>
      <c r="W166" s="303">
        <v>1.91</v>
      </c>
      <c r="X166" s="303">
        <v>1.6</v>
      </c>
      <c r="Y166" s="303">
        <v>1.6</v>
      </c>
      <c r="Z166" s="303">
        <v>1.6</v>
      </c>
      <c r="AA166" s="303">
        <v>1.6</v>
      </c>
      <c r="AB166" s="59">
        <v>0.02</v>
      </c>
      <c r="AC166" s="59">
        <v>0.28000000000000003</v>
      </c>
      <c r="AD166" s="59">
        <v>0.28000000000000003</v>
      </c>
      <c r="AE166" s="59">
        <v>0.28000000000000003</v>
      </c>
      <c r="AF166" s="59">
        <v>0.28000000000000003</v>
      </c>
      <c r="AG166" s="59">
        <v>0.28000000000000003</v>
      </c>
      <c r="AH166" s="59">
        <v>0.28000000000000003</v>
      </c>
      <c r="AI166" s="59">
        <v>0.28000000000000003</v>
      </c>
      <c r="AJ166" s="59">
        <v>0.28000000000000003</v>
      </c>
      <c r="AK166" s="59">
        <v>0.02</v>
      </c>
      <c r="AL166" s="59">
        <v>0.02</v>
      </c>
      <c r="AM166" s="59">
        <v>0.02</v>
      </c>
      <c r="AN166" s="59">
        <v>0.02</v>
      </c>
      <c r="AO166" s="255"/>
      <c r="AP166" s="254">
        <f t="shared" si="53"/>
        <v>0</v>
      </c>
      <c r="AQ166" s="270"/>
      <c r="AR166" s="254">
        <f t="shared" si="54"/>
        <v>0</v>
      </c>
      <c r="AS166" s="270"/>
      <c r="AT166" s="254">
        <f t="shared" si="55"/>
        <v>0</v>
      </c>
      <c r="AU166" s="256"/>
      <c r="AV166" s="257">
        <f t="shared" si="56"/>
        <v>0</v>
      </c>
      <c r="AW166" s="382"/>
      <c r="AX166" s="257">
        <f t="shared" si="57"/>
        <v>0</v>
      </c>
      <c r="AY166" s="268"/>
      <c r="AZ166" s="257">
        <f t="shared" si="58"/>
        <v>0</v>
      </c>
      <c r="BA166" s="268">
        <v>480</v>
      </c>
      <c r="BB166" s="257">
        <f t="shared" si="59"/>
        <v>134.4</v>
      </c>
      <c r="BC166" s="268">
        <v>1920</v>
      </c>
      <c r="BD166" s="257">
        <f t="shared" si="60"/>
        <v>537.6</v>
      </c>
      <c r="BE166" s="269"/>
      <c r="BF166" s="257">
        <f t="shared" si="52"/>
        <v>0</v>
      </c>
      <c r="BG166" s="268">
        <v>3840</v>
      </c>
      <c r="BH166" s="257">
        <f t="shared" si="61"/>
        <v>76.8</v>
      </c>
      <c r="BI166" s="268">
        <v>3360</v>
      </c>
      <c r="BJ166" s="257">
        <f t="shared" si="62"/>
        <v>67.2</v>
      </c>
      <c r="BK166" s="268">
        <v>9120</v>
      </c>
      <c r="BL166" s="257">
        <f t="shared" si="11"/>
        <v>182.4</v>
      </c>
      <c r="BM166" s="1" t="s">
        <v>608</v>
      </c>
      <c r="BN166" s="1" t="s">
        <v>617</v>
      </c>
      <c r="BO166" s="1" t="s">
        <v>457</v>
      </c>
      <c r="BP166" s="1" t="s">
        <v>623</v>
      </c>
    </row>
    <row r="167" spans="1:68" s="14" customFormat="1" ht="15.75" customHeight="1">
      <c r="A167" s="250" t="s">
        <v>451</v>
      </c>
      <c r="B167" s="59" t="s">
        <v>363</v>
      </c>
      <c r="C167" s="354" t="s">
        <v>172</v>
      </c>
      <c r="D167" s="424"/>
      <c r="E167" s="357" t="s">
        <v>214</v>
      </c>
      <c r="F167" s="421"/>
      <c r="G167" s="317">
        <v>2024</v>
      </c>
      <c r="H167" s="59" t="s">
        <v>622</v>
      </c>
      <c r="I167" s="315" t="s">
        <v>367</v>
      </c>
      <c r="J167" s="318" t="s">
        <v>217</v>
      </c>
      <c r="K167" s="59" t="s">
        <v>217</v>
      </c>
      <c r="L167" s="59" t="s">
        <v>177</v>
      </c>
      <c r="M167" s="303" t="s">
        <v>602</v>
      </c>
      <c r="N167" s="303">
        <v>1.45</v>
      </c>
      <c r="O167" s="303">
        <v>1.6</v>
      </c>
      <c r="P167" s="303">
        <v>1.91</v>
      </c>
      <c r="Q167" s="303">
        <v>1.91</v>
      </c>
      <c r="R167" s="303">
        <v>1.91</v>
      </c>
      <c r="S167" s="303">
        <v>1.91</v>
      </c>
      <c r="T167" s="303">
        <v>1.91</v>
      </c>
      <c r="U167" s="303">
        <v>1.91</v>
      </c>
      <c r="V167" s="303">
        <v>1.91</v>
      </c>
      <c r="W167" s="303">
        <v>1.91</v>
      </c>
      <c r="X167" s="303">
        <v>1.6</v>
      </c>
      <c r="Y167" s="303">
        <v>1.6</v>
      </c>
      <c r="Z167" s="303">
        <v>1.6</v>
      </c>
      <c r="AA167" s="303">
        <v>1.6</v>
      </c>
      <c r="AB167" s="59">
        <v>0.02</v>
      </c>
      <c r="AC167" s="59">
        <v>0.28000000000000003</v>
      </c>
      <c r="AD167" s="59">
        <v>0.28000000000000003</v>
      </c>
      <c r="AE167" s="59">
        <v>0.28000000000000003</v>
      </c>
      <c r="AF167" s="59">
        <v>0.28000000000000003</v>
      </c>
      <c r="AG167" s="59">
        <v>0.28000000000000003</v>
      </c>
      <c r="AH167" s="59">
        <v>0.28000000000000003</v>
      </c>
      <c r="AI167" s="59">
        <v>0.28000000000000003</v>
      </c>
      <c r="AJ167" s="59">
        <v>0.28000000000000003</v>
      </c>
      <c r="AK167" s="59">
        <v>0.02</v>
      </c>
      <c r="AL167" s="59">
        <v>0.02</v>
      </c>
      <c r="AM167" s="59">
        <v>0.02</v>
      </c>
      <c r="AN167" s="59">
        <v>0.02</v>
      </c>
      <c r="AO167" s="255"/>
      <c r="AP167" s="254">
        <f t="shared" si="53"/>
        <v>0</v>
      </c>
      <c r="AQ167" s="270"/>
      <c r="AR167" s="254">
        <f t="shared" si="54"/>
        <v>0</v>
      </c>
      <c r="AS167" s="270"/>
      <c r="AT167" s="254">
        <f t="shared" si="55"/>
        <v>0</v>
      </c>
      <c r="AU167" s="256"/>
      <c r="AV167" s="257">
        <f t="shared" si="56"/>
        <v>0</v>
      </c>
      <c r="AW167" s="382"/>
      <c r="AX167" s="257">
        <f t="shared" si="57"/>
        <v>0</v>
      </c>
      <c r="AY167" s="268"/>
      <c r="AZ167" s="257">
        <f t="shared" si="58"/>
        <v>0</v>
      </c>
      <c r="BA167" s="269"/>
      <c r="BB167" s="257">
        <f t="shared" si="59"/>
        <v>0</v>
      </c>
      <c r="BC167" s="269"/>
      <c r="BD167" s="257">
        <f t="shared" si="60"/>
        <v>0</v>
      </c>
      <c r="BE167" s="268">
        <v>96000</v>
      </c>
      <c r="BF167" s="257">
        <f t="shared" si="52"/>
        <v>1920</v>
      </c>
      <c r="BG167" s="269"/>
      <c r="BH167" s="257">
        <f t="shared" si="61"/>
        <v>0</v>
      </c>
      <c r="BI167" s="268">
        <v>33600</v>
      </c>
      <c r="BJ167" s="257">
        <f t="shared" si="62"/>
        <v>672</v>
      </c>
      <c r="BK167" s="269"/>
      <c r="BL167" s="257">
        <f t="shared" si="11"/>
        <v>0</v>
      </c>
      <c r="BM167" s="1" t="s">
        <v>608</v>
      </c>
      <c r="BN167" s="1" t="s">
        <v>617</v>
      </c>
      <c r="BO167" s="1" t="s">
        <v>457</v>
      </c>
      <c r="BP167" s="1" t="s">
        <v>623</v>
      </c>
    </row>
    <row r="168" spans="1:68" s="14" customFormat="1" ht="15.75" customHeight="1">
      <c r="A168" s="250"/>
      <c r="B168" s="59"/>
      <c r="C168" s="354"/>
      <c r="D168" s="424"/>
      <c r="E168" s="357"/>
      <c r="F168" s="421"/>
      <c r="G168" s="317"/>
      <c r="H168" s="59"/>
      <c r="I168" s="315"/>
      <c r="J168" s="318"/>
      <c r="K168" s="59"/>
      <c r="L168" s="59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  <c r="X168" s="303"/>
      <c r="Y168" s="303"/>
      <c r="Z168" s="303"/>
      <c r="AA168" s="303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255"/>
      <c r="AP168" s="254">
        <f t="shared" si="53"/>
        <v>0</v>
      </c>
      <c r="AQ168" s="270"/>
      <c r="AR168" s="254">
        <f t="shared" si="54"/>
        <v>0</v>
      </c>
      <c r="AS168" s="270"/>
      <c r="AT168" s="254">
        <f t="shared" si="55"/>
        <v>0</v>
      </c>
      <c r="AU168" s="256"/>
      <c r="AV168" s="257">
        <f t="shared" si="56"/>
        <v>0</v>
      </c>
      <c r="AW168" s="382"/>
      <c r="AX168" s="257">
        <f t="shared" si="57"/>
        <v>0</v>
      </c>
      <c r="AY168" s="268"/>
      <c r="AZ168" s="257">
        <f t="shared" si="58"/>
        <v>0</v>
      </c>
      <c r="BA168" s="269"/>
      <c r="BB168" s="257">
        <f t="shared" si="59"/>
        <v>0</v>
      </c>
      <c r="BC168" s="269"/>
      <c r="BD168" s="257">
        <f t="shared" si="60"/>
        <v>0</v>
      </c>
      <c r="BE168" s="269"/>
      <c r="BF168" s="257">
        <f t="shared" si="52"/>
        <v>0</v>
      </c>
      <c r="BG168" s="269"/>
      <c r="BH168" s="257">
        <f t="shared" si="61"/>
        <v>0</v>
      </c>
      <c r="BI168" s="269"/>
      <c r="BJ168" s="257">
        <f t="shared" si="62"/>
        <v>0</v>
      </c>
      <c r="BK168" s="269"/>
      <c r="BL168" s="257">
        <f t="shared" si="11"/>
        <v>0</v>
      </c>
      <c r="BM168" s="1"/>
      <c r="BN168" s="1"/>
      <c r="BO168" s="1"/>
      <c r="BP168" s="1"/>
    </row>
    <row r="169" spans="1:68" s="14" customFormat="1" ht="15.75" customHeight="1" thickBot="1">
      <c r="A169" s="250"/>
      <c r="B169" s="59"/>
      <c r="C169" s="354"/>
      <c r="D169" s="425"/>
      <c r="E169" s="358"/>
      <c r="F169" s="421"/>
      <c r="G169" s="317"/>
      <c r="H169" s="59"/>
      <c r="I169" s="315"/>
      <c r="J169" s="318"/>
      <c r="K169" s="59"/>
      <c r="L169" s="59"/>
      <c r="M169" s="303"/>
      <c r="N169" s="303"/>
      <c r="O169" s="303"/>
      <c r="P169" s="303"/>
      <c r="Q169" s="303"/>
      <c r="R169" s="303"/>
      <c r="S169" s="303"/>
      <c r="T169" s="303"/>
      <c r="U169" s="303"/>
      <c r="V169" s="303"/>
      <c r="W169" s="303"/>
      <c r="X169" s="303"/>
      <c r="Y169" s="303"/>
      <c r="Z169" s="303"/>
      <c r="AA169" s="303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255"/>
      <c r="AP169" s="254">
        <f t="shared" si="53"/>
        <v>0</v>
      </c>
      <c r="AQ169" s="270"/>
      <c r="AR169" s="254">
        <f t="shared" si="54"/>
        <v>0</v>
      </c>
      <c r="AS169" s="258"/>
      <c r="AT169" s="254">
        <f t="shared" si="55"/>
        <v>0</v>
      </c>
      <c r="AU169" s="256"/>
      <c r="AV169" s="257">
        <f t="shared" si="56"/>
        <v>0</v>
      </c>
      <c r="AW169" s="382"/>
      <c r="AX169" s="257">
        <f t="shared" si="57"/>
        <v>0</v>
      </c>
      <c r="AY169" s="268"/>
      <c r="AZ169" s="257">
        <f t="shared" si="58"/>
        <v>0</v>
      </c>
      <c r="BA169" s="269"/>
      <c r="BB169" s="257">
        <f t="shared" si="59"/>
        <v>0</v>
      </c>
      <c r="BC169" s="269"/>
      <c r="BD169" s="257">
        <f t="shared" si="60"/>
        <v>0</v>
      </c>
      <c r="BE169" s="269"/>
      <c r="BF169" s="257">
        <f t="shared" si="52"/>
        <v>0</v>
      </c>
      <c r="BG169" s="60"/>
      <c r="BH169" s="257">
        <f t="shared" si="61"/>
        <v>0</v>
      </c>
      <c r="BI169" s="269"/>
      <c r="BJ169" s="257">
        <f t="shared" si="62"/>
        <v>0</v>
      </c>
      <c r="BK169" s="269"/>
      <c r="BL169" s="257">
        <f t="shared" si="11"/>
        <v>0</v>
      </c>
      <c r="BM169" s="1"/>
      <c r="BN169" s="1"/>
      <c r="BO169" s="1"/>
      <c r="BP169" s="1"/>
    </row>
    <row r="170" spans="1:68" ht="19.5" customHeight="1">
      <c r="A170" s="250" t="s">
        <v>451</v>
      </c>
      <c r="B170" s="59" t="s">
        <v>221</v>
      </c>
      <c r="C170" s="354" t="s">
        <v>172</v>
      </c>
      <c r="D170" s="475" t="s">
        <v>222</v>
      </c>
      <c r="E170" s="359" t="s">
        <v>173</v>
      </c>
      <c r="F170" s="421" t="s">
        <v>75</v>
      </c>
      <c r="G170" s="351" t="s">
        <v>228</v>
      </c>
      <c r="H170" s="323" t="s">
        <v>231</v>
      </c>
      <c r="I170" s="324" t="s">
        <v>183</v>
      </c>
      <c r="J170" s="325" t="s">
        <v>230</v>
      </c>
      <c r="K170" s="323" t="s">
        <v>208</v>
      </c>
      <c r="L170" s="323" t="s">
        <v>177</v>
      </c>
      <c r="M170" s="303" t="s">
        <v>624</v>
      </c>
      <c r="N170" s="303">
        <v>10.4</v>
      </c>
      <c r="O170" s="303">
        <v>10.199999999999999</v>
      </c>
      <c r="P170" s="303">
        <v>10.199999999999999</v>
      </c>
      <c r="Q170" s="303">
        <v>10.199999999999999</v>
      </c>
      <c r="R170" s="303">
        <v>10.199999999999999</v>
      </c>
      <c r="S170" s="303">
        <v>10.199999999999999</v>
      </c>
      <c r="T170" s="303">
        <v>10.199999999999999</v>
      </c>
      <c r="U170" s="303">
        <v>10.199999999999999</v>
      </c>
      <c r="V170" s="303">
        <v>10.199999999999999</v>
      </c>
      <c r="W170" s="303">
        <v>10.199999999999999</v>
      </c>
      <c r="X170" s="303">
        <v>10.199999999999999</v>
      </c>
      <c r="Y170" s="303">
        <v>10.199999999999999</v>
      </c>
      <c r="Z170" s="303">
        <v>10.199999999999999</v>
      </c>
      <c r="AA170" s="303">
        <v>10.199999999999999</v>
      </c>
      <c r="AB170" s="304">
        <v>0.3</v>
      </c>
      <c r="AC170" s="304">
        <v>0.3</v>
      </c>
      <c r="AD170" s="304">
        <v>0.3</v>
      </c>
      <c r="AE170" s="304">
        <v>0.3</v>
      </c>
      <c r="AF170" s="304">
        <v>0.3</v>
      </c>
      <c r="AG170" s="304">
        <v>0.3</v>
      </c>
      <c r="AH170" s="304">
        <v>0.3</v>
      </c>
      <c r="AI170" s="304">
        <v>0.3</v>
      </c>
      <c r="AJ170" s="304">
        <v>0.3</v>
      </c>
      <c r="AK170" s="304">
        <v>0.3</v>
      </c>
      <c r="AL170" s="304">
        <v>0.3</v>
      </c>
      <c r="AM170" s="304">
        <v>0.3</v>
      </c>
      <c r="AN170" s="304">
        <v>0.3</v>
      </c>
      <c r="AO170" s="260">
        <v>9430</v>
      </c>
      <c r="AP170" s="254">
        <f t="shared" si="0"/>
        <v>2829</v>
      </c>
      <c r="AQ170" s="260">
        <v>80</v>
      </c>
      <c r="AR170" s="254">
        <f t="shared" si="1"/>
        <v>24</v>
      </c>
      <c r="AS170" s="260">
        <v>240</v>
      </c>
      <c r="AT170" s="254">
        <f t="shared" si="2"/>
        <v>72</v>
      </c>
      <c r="AU170" s="256">
        <v>40</v>
      </c>
      <c r="AV170" s="257">
        <f t="shared" si="3"/>
        <v>12</v>
      </c>
      <c r="AW170" s="380"/>
      <c r="AX170" s="257">
        <f t="shared" si="4"/>
        <v>0</v>
      </c>
      <c r="AY170" s="268"/>
      <c r="AZ170" s="257">
        <f t="shared" si="5"/>
        <v>0</v>
      </c>
      <c r="BA170" s="256"/>
      <c r="BB170" s="257">
        <f t="shared" si="6"/>
        <v>0</v>
      </c>
      <c r="BC170" s="268"/>
      <c r="BD170" s="257">
        <f t="shared" si="7"/>
        <v>0</v>
      </c>
      <c r="BE170" s="274"/>
      <c r="BF170" s="257">
        <f t="shared" si="52"/>
        <v>0</v>
      </c>
      <c r="BG170" s="261"/>
      <c r="BH170" s="257">
        <f t="shared" si="61"/>
        <v>0</v>
      </c>
      <c r="BI170" s="274"/>
      <c r="BJ170" s="257">
        <f t="shared" si="10"/>
        <v>0</v>
      </c>
      <c r="BK170" s="274"/>
      <c r="BL170" s="257">
        <f t="shared" si="11"/>
        <v>0</v>
      </c>
      <c r="BM170" s="1" t="s">
        <v>625</v>
      </c>
      <c r="BO170" s="1" t="s">
        <v>457</v>
      </c>
      <c r="BP170" s="1" t="s">
        <v>626</v>
      </c>
    </row>
    <row r="171" spans="1:68" ht="16.5" customHeight="1">
      <c r="A171" s="250" t="s">
        <v>451</v>
      </c>
      <c r="B171" s="59" t="s">
        <v>221</v>
      </c>
      <c r="C171" s="354" t="s">
        <v>172</v>
      </c>
      <c r="D171" s="476"/>
      <c r="E171" s="359" t="s">
        <v>173</v>
      </c>
      <c r="F171" s="421"/>
      <c r="G171" s="351" t="s">
        <v>228</v>
      </c>
      <c r="H171" s="323" t="s">
        <v>231</v>
      </c>
      <c r="I171" s="324" t="s">
        <v>190</v>
      </c>
      <c r="J171" s="325" t="s">
        <v>230</v>
      </c>
      <c r="K171" s="323" t="s">
        <v>208</v>
      </c>
      <c r="L171" s="323" t="s">
        <v>177</v>
      </c>
      <c r="M171" s="303" t="s">
        <v>624</v>
      </c>
      <c r="N171" s="303">
        <v>5.58</v>
      </c>
      <c r="O171" s="303">
        <v>5.3</v>
      </c>
      <c r="P171" s="303">
        <v>5.3</v>
      </c>
      <c r="Q171" s="303">
        <v>5.3</v>
      </c>
      <c r="R171" s="303">
        <v>5.3</v>
      </c>
      <c r="S171" s="303">
        <v>5.3</v>
      </c>
      <c r="T171" s="303">
        <v>5.3</v>
      </c>
      <c r="U171" s="303">
        <v>5.3</v>
      </c>
      <c r="V171" s="303">
        <v>5.3</v>
      </c>
      <c r="W171" s="303">
        <v>5.3</v>
      </c>
      <c r="X171" s="303">
        <v>5.3</v>
      </c>
      <c r="Y171" s="303">
        <v>5.3</v>
      </c>
      <c r="Z171" s="303">
        <v>5.3</v>
      </c>
      <c r="AA171" s="303">
        <v>5.3</v>
      </c>
      <c r="AB171" s="304">
        <v>0</v>
      </c>
      <c r="AC171" s="304">
        <v>0</v>
      </c>
      <c r="AD171" s="304">
        <v>0</v>
      </c>
      <c r="AE171" s="304">
        <v>0</v>
      </c>
      <c r="AF171" s="304">
        <v>0</v>
      </c>
      <c r="AG171" s="304">
        <v>0</v>
      </c>
      <c r="AH171" s="304">
        <v>0</v>
      </c>
      <c r="AI171" s="304">
        <v>0</v>
      </c>
      <c r="AJ171" s="304">
        <v>0</v>
      </c>
      <c r="AK171" s="304">
        <v>0</v>
      </c>
      <c r="AL171" s="304">
        <v>0</v>
      </c>
      <c r="AM171" s="304">
        <v>0</v>
      </c>
      <c r="AN171" s="304">
        <v>0</v>
      </c>
      <c r="AO171" s="260">
        <v>1920</v>
      </c>
      <c r="AP171" s="254">
        <f t="shared" si="0"/>
        <v>0</v>
      </c>
      <c r="AQ171" s="260">
        <v>200</v>
      </c>
      <c r="AR171" s="254">
        <f t="shared" si="1"/>
        <v>0</v>
      </c>
      <c r="AS171" s="260">
        <v>240</v>
      </c>
      <c r="AT171" s="254">
        <f t="shared" si="2"/>
        <v>0</v>
      </c>
      <c r="AU171" s="256"/>
      <c r="AV171" s="257">
        <f t="shared" si="3"/>
        <v>0</v>
      </c>
      <c r="AW171" s="380"/>
      <c r="AX171" s="257">
        <f t="shared" si="4"/>
        <v>0</v>
      </c>
      <c r="AY171" s="268"/>
      <c r="AZ171" s="257">
        <f t="shared" si="5"/>
        <v>0</v>
      </c>
      <c r="BA171" s="256"/>
      <c r="BB171" s="257">
        <f t="shared" si="6"/>
        <v>0</v>
      </c>
      <c r="BC171" s="268"/>
      <c r="BD171" s="257">
        <f t="shared" si="7"/>
        <v>0</v>
      </c>
      <c r="BE171" s="268"/>
      <c r="BF171" s="257">
        <f t="shared" si="52"/>
        <v>0</v>
      </c>
      <c r="BG171" s="256"/>
      <c r="BH171" s="257">
        <f t="shared" si="9"/>
        <v>0</v>
      </c>
      <c r="BI171" s="268"/>
      <c r="BJ171" s="257">
        <f t="shared" si="10"/>
        <v>0</v>
      </c>
      <c r="BK171" s="268"/>
      <c r="BL171" s="257">
        <f t="shared" si="11"/>
        <v>0</v>
      </c>
      <c r="BM171" s="1" t="s">
        <v>627</v>
      </c>
      <c r="BO171" s="1" t="s">
        <v>457</v>
      </c>
      <c r="BP171" s="1" t="s">
        <v>628</v>
      </c>
    </row>
    <row r="172" spans="1:68" ht="16.5" customHeight="1">
      <c r="A172" s="250" t="s">
        <v>451</v>
      </c>
      <c r="B172" s="59" t="s">
        <v>221</v>
      </c>
      <c r="C172" s="354" t="s">
        <v>172</v>
      </c>
      <c r="D172" s="476"/>
      <c r="E172" s="359" t="s">
        <v>173</v>
      </c>
      <c r="F172" s="421"/>
      <c r="G172" s="351" t="s">
        <v>232</v>
      </c>
      <c r="H172" s="323" t="s">
        <v>231</v>
      </c>
      <c r="I172" s="324" t="s">
        <v>183</v>
      </c>
      <c r="J172" s="325" t="s">
        <v>233</v>
      </c>
      <c r="K172" s="323" t="s">
        <v>227</v>
      </c>
      <c r="L172" s="323" t="s">
        <v>177</v>
      </c>
      <c r="M172" s="303" t="s">
        <v>624</v>
      </c>
      <c r="N172" s="303">
        <v>10.6</v>
      </c>
      <c r="O172" s="303">
        <v>10.199999999999999</v>
      </c>
      <c r="P172" s="303">
        <v>10.199999999999999</v>
      </c>
      <c r="Q172" s="303">
        <v>10.199999999999999</v>
      </c>
      <c r="R172" s="303">
        <v>10.199999999999999</v>
      </c>
      <c r="S172" s="303">
        <v>10.199999999999999</v>
      </c>
      <c r="T172" s="303">
        <v>10.199999999999999</v>
      </c>
      <c r="U172" s="303">
        <v>10.199999999999999</v>
      </c>
      <c r="V172" s="303">
        <v>10.199999999999999</v>
      </c>
      <c r="W172" s="303">
        <v>10.199999999999999</v>
      </c>
      <c r="X172" s="303">
        <v>10.199999999999999</v>
      </c>
      <c r="Y172" s="303">
        <v>10.199999999999999</v>
      </c>
      <c r="Z172" s="303">
        <v>10.199999999999999</v>
      </c>
      <c r="AA172" s="303">
        <v>10.199999999999999</v>
      </c>
      <c r="AB172" s="304">
        <v>0.3</v>
      </c>
      <c r="AC172" s="304">
        <v>0.3</v>
      </c>
      <c r="AD172" s="304">
        <v>0.3</v>
      </c>
      <c r="AE172" s="304">
        <v>0.3</v>
      </c>
      <c r="AF172" s="304">
        <v>0.3</v>
      </c>
      <c r="AG172" s="304">
        <v>0.3</v>
      </c>
      <c r="AH172" s="304">
        <v>0.3</v>
      </c>
      <c r="AI172" s="304">
        <v>0.3</v>
      </c>
      <c r="AJ172" s="304">
        <v>0.3</v>
      </c>
      <c r="AK172" s="304">
        <v>0.3</v>
      </c>
      <c r="AL172" s="304">
        <v>0.3</v>
      </c>
      <c r="AM172" s="304">
        <v>0.3</v>
      </c>
      <c r="AN172" s="304">
        <v>0.3</v>
      </c>
      <c r="AO172" s="260"/>
      <c r="AP172" s="254">
        <f t="shared" si="0"/>
        <v>0</v>
      </c>
      <c r="AQ172" s="260"/>
      <c r="AR172" s="254">
        <f t="shared" si="1"/>
        <v>0</v>
      </c>
      <c r="AS172" s="261"/>
      <c r="AT172" s="254">
        <f t="shared" si="2"/>
        <v>0</v>
      </c>
      <c r="AU172" s="256"/>
      <c r="AV172" s="257">
        <f t="shared" si="3"/>
        <v>0</v>
      </c>
      <c r="AW172" s="383"/>
      <c r="AX172" s="257">
        <f t="shared" si="4"/>
        <v>0</v>
      </c>
      <c r="AY172" s="389"/>
      <c r="AZ172" s="257">
        <f t="shared" si="5"/>
        <v>0</v>
      </c>
      <c r="BA172" s="260"/>
      <c r="BB172" s="257">
        <f t="shared" si="6"/>
        <v>0</v>
      </c>
      <c r="BC172" s="260"/>
      <c r="BD172" s="257">
        <f t="shared" si="7"/>
        <v>0</v>
      </c>
      <c r="BE172" s="274"/>
      <c r="BF172" s="257">
        <f t="shared" si="52"/>
        <v>0</v>
      </c>
      <c r="BG172" s="260"/>
      <c r="BH172" s="257">
        <f t="shared" si="9"/>
        <v>0</v>
      </c>
      <c r="BI172" s="260"/>
      <c r="BJ172" s="257">
        <f t="shared" si="10"/>
        <v>0</v>
      </c>
      <c r="BK172" s="274"/>
      <c r="BL172" s="257">
        <f t="shared" si="11"/>
        <v>0</v>
      </c>
      <c r="BM172" s="1" t="s">
        <v>629</v>
      </c>
      <c r="BO172" s="1" t="s">
        <v>457</v>
      </c>
      <c r="BP172" s="1" t="s">
        <v>630</v>
      </c>
    </row>
    <row r="173" spans="1:68" ht="16.5" customHeight="1">
      <c r="A173" s="250" t="s">
        <v>451</v>
      </c>
      <c r="B173" s="59" t="s">
        <v>221</v>
      </c>
      <c r="C173" s="354" t="s">
        <v>172</v>
      </c>
      <c r="D173" s="476"/>
      <c r="E173" s="359" t="s">
        <v>173</v>
      </c>
      <c r="F173" s="421"/>
      <c r="G173" s="351" t="s">
        <v>232</v>
      </c>
      <c r="H173" s="323" t="s">
        <v>231</v>
      </c>
      <c r="I173" s="324" t="s">
        <v>190</v>
      </c>
      <c r="J173" s="325" t="s">
        <v>233</v>
      </c>
      <c r="K173" s="323" t="s">
        <v>227</v>
      </c>
      <c r="L173" s="323" t="s">
        <v>177</v>
      </c>
      <c r="M173" s="303" t="s">
        <v>624</v>
      </c>
      <c r="N173" s="303">
        <v>4.08</v>
      </c>
      <c r="O173" s="303">
        <v>3.6</v>
      </c>
      <c r="P173" s="303">
        <v>3.6</v>
      </c>
      <c r="Q173" s="303">
        <v>3.6</v>
      </c>
      <c r="R173" s="303">
        <v>3.6</v>
      </c>
      <c r="S173" s="303">
        <v>3.6</v>
      </c>
      <c r="T173" s="303">
        <v>3.6</v>
      </c>
      <c r="U173" s="303">
        <v>3.6</v>
      </c>
      <c r="V173" s="303">
        <v>3.6</v>
      </c>
      <c r="W173" s="303">
        <v>3.6</v>
      </c>
      <c r="X173" s="303">
        <v>3.6</v>
      </c>
      <c r="Y173" s="303">
        <v>3.6</v>
      </c>
      <c r="Z173" s="303">
        <v>3.6</v>
      </c>
      <c r="AA173" s="303">
        <v>3.6</v>
      </c>
      <c r="AB173" s="304">
        <v>0.3</v>
      </c>
      <c r="AC173" s="304">
        <v>0.3</v>
      </c>
      <c r="AD173" s="304">
        <v>0.3</v>
      </c>
      <c r="AE173" s="304">
        <v>0.3</v>
      </c>
      <c r="AF173" s="304">
        <v>0.3</v>
      </c>
      <c r="AG173" s="304">
        <v>0.3</v>
      </c>
      <c r="AH173" s="304">
        <v>0.3</v>
      </c>
      <c r="AI173" s="304">
        <v>0.3</v>
      </c>
      <c r="AJ173" s="304">
        <v>0.3</v>
      </c>
      <c r="AK173" s="304">
        <v>0.3</v>
      </c>
      <c r="AL173" s="304">
        <v>0.3</v>
      </c>
      <c r="AM173" s="304">
        <v>0.3</v>
      </c>
      <c r="AN173" s="304">
        <v>0.3</v>
      </c>
      <c r="AO173" s="260"/>
      <c r="AP173" s="254">
        <f t="shared" si="0"/>
        <v>0</v>
      </c>
      <c r="AQ173" s="260"/>
      <c r="AR173" s="254">
        <f t="shared" si="1"/>
        <v>0</v>
      </c>
      <c r="AS173" s="261"/>
      <c r="AT173" s="254">
        <f t="shared" si="2"/>
        <v>0</v>
      </c>
      <c r="AU173" s="256"/>
      <c r="AV173" s="257">
        <f t="shared" si="3"/>
        <v>0</v>
      </c>
      <c r="AW173" s="383"/>
      <c r="AX173" s="257">
        <f t="shared" si="4"/>
        <v>0</v>
      </c>
      <c r="AY173" s="389"/>
      <c r="AZ173" s="257">
        <f t="shared" si="5"/>
        <v>0</v>
      </c>
      <c r="BA173" s="260"/>
      <c r="BB173" s="257">
        <f t="shared" si="6"/>
        <v>0</v>
      </c>
      <c r="BC173" s="260"/>
      <c r="BD173" s="257">
        <f t="shared" si="7"/>
        <v>0</v>
      </c>
      <c r="BE173" s="274"/>
      <c r="BF173" s="257">
        <f t="shared" si="52"/>
        <v>0</v>
      </c>
      <c r="BG173" s="260"/>
      <c r="BH173" s="257">
        <f t="shared" si="9"/>
        <v>0</v>
      </c>
      <c r="BI173" s="260"/>
      <c r="BJ173" s="257">
        <f t="shared" si="10"/>
        <v>0</v>
      </c>
      <c r="BK173" s="274"/>
      <c r="BL173" s="257">
        <f t="shared" si="11"/>
        <v>0</v>
      </c>
      <c r="BM173" s="1" t="s">
        <v>631</v>
      </c>
      <c r="BO173" s="1" t="s">
        <v>457</v>
      </c>
      <c r="BP173" s="1" t="s">
        <v>632</v>
      </c>
    </row>
    <row r="174" spans="1:68" ht="16.5" customHeight="1">
      <c r="A174" s="250" t="s">
        <v>451</v>
      </c>
      <c r="B174" s="59" t="s">
        <v>221</v>
      </c>
      <c r="C174" s="354" t="s">
        <v>172</v>
      </c>
      <c r="D174" s="476"/>
      <c r="E174" s="359" t="s">
        <v>173</v>
      </c>
      <c r="F174" s="421"/>
      <c r="G174" s="351" t="s">
        <v>232</v>
      </c>
      <c r="H174" s="323" t="s">
        <v>231</v>
      </c>
      <c r="I174" s="324" t="s">
        <v>183</v>
      </c>
      <c r="J174" s="325" t="s">
        <v>233</v>
      </c>
      <c r="K174" s="323" t="s">
        <v>234</v>
      </c>
      <c r="L174" s="323" t="s">
        <v>177</v>
      </c>
      <c r="M174" s="303" t="s">
        <v>624</v>
      </c>
      <c r="N174" s="303">
        <v>10.4</v>
      </c>
      <c r="O174" s="303">
        <v>13.1</v>
      </c>
      <c r="P174" s="303">
        <v>13.1</v>
      </c>
      <c r="Q174" s="303">
        <v>13.1</v>
      </c>
      <c r="R174" s="303">
        <v>13.1</v>
      </c>
      <c r="S174" s="303">
        <v>13.1</v>
      </c>
      <c r="T174" s="303">
        <v>13.1</v>
      </c>
      <c r="U174" s="303">
        <v>13.1</v>
      </c>
      <c r="V174" s="303">
        <v>13.1</v>
      </c>
      <c r="W174" s="303">
        <v>13.1</v>
      </c>
      <c r="X174" s="303">
        <v>13.1</v>
      </c>
      <c r="Y174" s="303">
        <v>13.1</v>
      </c>
      <c r="Z174" s="303">
        <v>13.1</v>
      </c>
      <c r="AA174" s="303">
        <v>13.1</v>
      </c>
      <c r="AB174" s="304">
        <v>2.7</v>
      </c>
      <c r="AC174" s="304">
        <v>2.7</v>
      </c>
      <c r="AD174" s="304">
        <v>2.7</v>
      </c>
      <c r="AE174" s="304">
        <v>2.7</v>
      </c>
      <c r="AF174" s="304">
        <v>2.7</v>
      </c>
      <c r="AG174" s="304">
        <v>2.7</v>
      </c>
      <c r="AH174" s="304">
        <v>2.7</v>
      </c>
      <c r="AI174" s="304">
        <v>2.7</v>
      </c>
      <c r="AJ174" s="304">
        <v>2.7</v>
      </c>
      <c r="AK174" s="304">
        <v>2.7</v>
      </c>
      <c r="AL174" s="304">
        <v>2.7</v>
      </c>
      <c r="AM174" s="304">
        <v>2.7</v>
      </c>
      <c r="AN174" s="304">
        <v>2.7</v>
      </c>
      <c r="AO174" s="260"/>
      <c r="AP174" s="254">
        <f t="shared" si="0"/>
        <v>0</v>
      </c>
      <c r="AQ174" s="262"/>
      <c r="AR174" s="254">
        <f t="shared" si="1"/>
        <v>0</v>
      </c>
      <c r="AS174" s="261"/>
      <c r="AT174" s="254">
        <f t="shared" si="2"/>
        <v>0</v>
      </c>
      <c r="AU174" s="256"/>
      <c r="AV174" s="257">
        <f t="shared" si="3"/>
        <v>0</v>
      </c>
      <c r="AW174" s="383"/>
      <c r="AX174" s="257">
        <f t="shared" si="4"/>
        <v>0</v>
      </c>
      <c r="AY174" s="389"/>
      <c r="AZ174" s="257">
        <f t="shared" si="5"/>
        <v>0</v>
      </c>
      <c r="BA174" s="260"/>
      <c r="BB174" s="257">
        <f t="shared" si="6"/>
        <v>0</v>
      </c>
      <c r="BC174" s="260"/>
      <c r="BD174" s="257">
        <f t="shared" si="7"/>
        <v>0</v>
      </c>
      <c r="BE174" s="274"/>
      <c r="BF174" s="257">
        <f t="shared" si="52"/>
        <v>0</v>
      </c>
      <c r="BG174" s="260"/>
      <c r="BH174" s="257">
        <f t="shared" si="9"/>
        <v>0</v>
      </c>
      <c r="BI174" s="260"/>
      <c r="BJ174" s="257">
        <f t="shared" si="10"/>
        <v>0</v>
      </c>
      <c r="BK174" s="274"/>
      <c r="BL174" s="257">
        <f t="shared" si="11"/>
        <v>0</v>
      </c>
      <c r="BM174" s="1" t="s">
        <v>633</v>
      </c>
      <c r="BO174" s="1" t="s">
        <v>457</v>
      </c>
      <c r="BP174" s="1" t="s">
        <v>634</v>
      </c>
    </row>
    <row r="175" spans="1:68" ht="15" customHeight="1">
      <c r="A175" s="250" t="s">
        <v>451</v>
      </c>
      <c r="B175" s="59" t="s">
        <v>221</v>
      </c>
      <c r="C175" s="354" t="s">
        <v>172</v>
      </c>
      <c r="D175" s="476"/>
      <c r="E175" s="359" t="s">
        <v>173</v>
      </c>
      <c r="F175" s="421"/>
      <c r="G175" s="351" t="s">
        <v>232</v>
      </c>
      <c r="H175" s="323" t="s">
        <v>231</v>
      </c>
      <c r="I175" s="324" t="s">
        <v>190</v>
      </c>
      <c r="J175" s="325" t="s">
        <v>233</v>
      </c>
      <c r="K175" s="323" t="s">
        <v>234</v>
      </c>
      <c r="L175" s="323" t="s">
        <v>177</v>
      </c>
      <c r="M175" s="303" t="s">
        <v>624</v>
      </c>
      <c r="N175" s="303">
        <v>4.08</v>
      </c>
      <c r="O175" s="303">
        <v>3.6</v>
      </c>
      <c r="P175" s="303">
        <v>3.6</v>
      </c>
      <c r="Q175" s="303">
        <v>3.6</v>
      </c>
      <c r="R175" s="303">
        <v>3.6</v>
      </c>
      <c r="S175" s="303">
        <v>3.6</v>
      </c>
      <c r="T175" s="303">
        <v>3.6</v>
      </c>
      <c r="U175" s="303">
        <v>3.6</v>
      </c>
      <c r="V175" s="303">
        <v>3.6</v>
      </c>
      <c r="W175" s="303">
        <v>3.6</v>
      </c>
      <c r="X175" s="303">
        <v>3.6</v>
      </c>
      <c r="Y175" s="303">
        <v>3.6</v>
      </c>
      <c r="Z175" s="303">
        <v>3.6</v>
      </c>
      <c r="AA175" s="303">
        <v>3.6</v>
      </c>
      <c r="AB175" s="304">
        <v>0.3</v>
      </c>
      <c r="AC175" s="304">
        <v>0.3</v>
      </c>
      <c r="AD175" s="304">
        <v>0.3</v>
      </c>
      <c r="AE175" s="304">
        <v>0.3</v>
      </c>
      <c r="AF175" s="304">
        <v>0.3</v>
      </c>
      <c r="AG175" s="304">
        <v>0.3</v>
      </c>
      <c r="AH175" s="304">
        <v>0.3</v>
      </c>
      <c r="AI175" s="304">
        <v>0.3</v>
      </c>
      <c r="AJ175" s="304">
        <v>0.3</v>
      </c>
      <c r="AK175" s="304">
        <v>0.3</v>
      </c>
      <c r="AL175" s="304">
        <v>0.3</v>
      </c>
      <c r="AM175" s="304">
        <v>0.3</v>
      </c>
      <c r="AN175" s="304">
        <v>0.3</v>
      </c>
      <c r="AO175" s="260"/>
      <c r="AP175" s="254">
        <f t="shared" si="0"/>
        <v>0</v>
      </c>
      <c r="AQ175" s="262"/>
      <c r="AR175" s="254">
        <f t="shared" si="1"/>
        <v>0</v>
      </c>
      <c r="AS175" s="261"/>
      <c r="AT175" s="254">
        <f t="shared" si="2"/>
        <v>0</v>
      </c>
      <c r="AU175" s="256"/>
      <c r="AV175" s="257">
        <f t="shared" si="3"/>
        <v>0</v>
      </c>
      <c r="AW175" s="383"/>
      <c r="AX175" s="257">
        <f t="shared" si="4"/>
        <v>0</v>
      </c>
      <c r="AY175" s="389"/>
      <c r="AZ175" s="257">
        <f t="shared" si="5"/>
        <v>0</v>
      </c>
      <c r="BA175" s="260"/>
      <c r="BB175" s="257">
        <f t="shared" si="6"/>
        <v>0</v>
      </c>
      <c r="BC175" s="260"/>
      <c r="BD175" s="257">
        <f t="shared" si="7"/>
        <v>0</v>
      </c>
      <c r="BE175" s="274"/>
      <c r="BF175" s="257">
        <f t="shared" si="52"/>
        <v>0</v>
      </c>
      <c r="BG175" s="260"/>
      <c r="BH175" s="257">
        <f t="shared" si="9"/>
        <v>0</v>
      </c>
      <c r="BI175" s="260"/>
      <c r="BJ175" s="257">
        <f t="shared" si="10"/>
        <v>0</v>
      </c>
      <c r="BK175" s="260"/>
      <c r="BL175" s="257">
        <f t="shared" si="11"/>
        <v>0</v>
      </c>
      <c r="BM175" s="1" t="s">
        <v>635</v>
      </c>
      <c r="BO175" s="1" t="s">
        <v>457</v>
      </c>
      <c r="BP175" s="1" t="s">
        <v>636</v>
      </c>
    </row>
    <row r="176" spans="1:68" ht="15" customHeight="1">
      <c r="A176" s="250" t="s">
        <v>451</v>
      </c>
      <c r="B176" s="59" t="s">
        <v>221</v>
      </c>
      <c r="C176" s="354" t="s">
        <v>172</v>
      </c>
      <c r="D176" s="476"/>
      <c r="E176" s="359" t="s">
        <v>173</v>
      </c>
      <c r="F176" s="421"/>
      <c r="G176" s="351" t="s">
        <v>232</v>
      </c>
      <c r="H176" s="323" t="s">
        <v>231</v>
      </c>
      <c r="I176" s="324" t="s">
        <v>190</v>
      </c>
      <c r="J176" s="325" t="s">
        <v>233</v>
      </c>
      <c r="K176" s="323" t="s">
        <v>637</v>
      </c>
      <c r="L176" s="323" t="s">
        <v>177</v>
      </c>
      <c r="M176" s="303" t="s">
        <v>624</v>
      </c>
      <c r="N176" s="303">
        <v>4.08</v>
      </c>
      <c r="O176" s="303">
        <v>3.6</v>
      </c>
      <c r="P176" s="303">
        <v>3.6</v>
      </c>
      <c r="Q176" s="303">
        <v>3.6</v>
      </c>
      <c r="R176" s="303">
        <v>3.6</v>
      </c>
      <c r="S176" s="303">
        <v>3.6</v>
      </c>
      <c r="T176" s="303">
        <v>3.6</v>
      </c>
      <c r="U176" s="303">
        <v>3.6</v>
      </c>
      <c r="V176" s="303">
        <v>3.6</v>
      </c>
      <c r="W176" s="303">
        <v>3.6</v>
      </c>
      <c r="X176" s="303">
        <v>3.6</v>
      </c>
      <c r="Y176" s="303">
        <v>3.6</v>
      </c>
      <c r="Z176" s="303">
        <v>3.6</v>
      </c>
      <c r="AA176" s="303">
        <v>3.6</v>
      </c>
      <c r="AB176" s="304">
        <v>0.3</v>
      </c>
      <c r="AC176" s="304">
        <v>0.3</v>
      </c>
      <c r="AD176" s="304">
        <v>0.3</v>
      </c>
      <c r="AE176" s="304">
        <v>0.3</v>
      </c>
      <c r="AF176" s="304">
        <v>0.3</v>
      </c>
      <c r="AG176" s="304">
        <v>0.3</v>
      </c>
      <c r="AH176" s="304">
        <v>0.3</v>
      </c>
      <c r="AI176" s="304">
        <v>0.3</v>
      </c>
      <c r="AJ176" s="304">
        <v>0.3</v>
      </c>
      <c r="AK176" s="304">
        <v>0.3</v>
      </c>
      <c r="AL176" s="304">
        <v>0.3</v>
      </c>
      <c r="AM176" s="304">
        <v>0.3</v>
      </c>
      <c r="AN176" s="304">
        <v>0.3</v>
      </c>
      <c r="AO176" s="260"/>
      <c r="AP176" s="254">
        <f t="shared" ref="AP176:AP178" si="63">AC176*AO176</f>
        <v>0</v>
      </c>
      <c r="AQ176" s="262"/>
      <c r="AR176" s="254">
        <f t="shared" ref="AR176:AR178" si="64">AD176*AQ176</f>
        <v>0</v>
      </c>
      <c r="AS176" s="261"/>
      <c r="AT176" s="254">
        <f t="shared" ref="AT176:AT178" si="65">AE176*AS176</f>
        <v>0</v>
      </c>
      <c r="AU176" s="256"/>
      <c r="AV176" s="257">
        <f t="shared" ref="AV176:AV178" si="66">AF176*AU176</f>
        <v>0</v>
      </c>
      <c r="AW176" s="383"/>
      <c r="AX176" s="257">
        <f t="shared" ref="AX176:AX178" si="67">AG176*AW176</f>
        <v>0</v>
      </c>
      <c r="AY176" s="389"/>
      <c r="AZ176" s="257">
        <f t="shared" ref="AZ176:AZ178" si="68">AH176*AY176</f>
        <v>0</v>
      </c>
      <c r="BA176" s="260"/>
      <c r="BB176" s="257">
        <f t="shared" ref="BB176:BB178" si="69">AI176*BA176</f>
        <v>0</v>
      </c>
      <c r="BC176" s="260"/>
      <c r="BD176" s="257">
        <f t="shared" ref="BD176:BD178" si="70">AJ176*BC176</f>
        <v>0</v>
      </c>
      <c r="BE176" s="274"/>
      <c r="BF176" s="257">
        <f t="shared" ref="BF176:BF178" si="71">AK176*BE176</f>
        <v>0</v>
      </c>
      <c r="BG176" s="260"/>
      <c r="BH176" s="257">
        <f t="shared" ref="BH176:BH178" si="72">AL176*BG176</f>
        <v>0</v>
      </c>
      <c r="BI176" s="260"/>
      <c r="BJ176" s="257">
        <f t="shared" ref="BJ176:BJ178" si="73">AM176*BI176</f>
        <v>0</v>
      </c>
      <c r="BK176" s="274"/>
      <c r="BL176" s="257">
        <f t="shared" ref="BL176:BL178" si="74">AN176*BK176</f>
        <v>0</v>
      </c>
      <c r="BM176" s="1" t="s">
        <v>638</v>
      </c>
      <c r="BO176" s="1" t="s">
        <v>457</v>
      </c>
      <c r="BP176" s="1" t="s">
        <v>639</v>
      </c>
    </row>
    <row r="177" spans="1:68" ht="16.5" customHeight="1">
      <c r="A177" s="250" t="s">
        <v>451</v>
      </c>
      <c r="B177" s="59" t="s">
        <v>221</v>
      </c>
      <c r="C177" s="354" t="s">
        <v>172</v>
      </c>
      <c r="D177" s="476"/>
      <c r="E177" s="359" t="s">
        <v>173</v>
      </c>
      <c r="F177" s="421"/>
      <c r="G177" s="351" t="s">
        <v>232</v>
      </c>
      <c r="H177" s="323" t="s">
        <v>231</v>
      </c>
      <c r="I177" s="324" t="s">
        <v>183</v>
      </c>
      <c r="J177" s="325" t="s">
        <v>233</v>
      </c>
      <c r="K177" s="323" t="s">
        <v>235</v>
      </c>
      <c r="L177" s="323" t="s">
        <v>177</v>
      </c>
      <c r="M177" s="303" t="s">
        <v>624</v>
      </c>
      <c r="N177" s="303">
        <v>10.9</v>
      </c>
      <c r="O177" s="303">
        <v>12.1</v>
      </c>
      <c r="P177" s="303">
        <v>12.1</v>
      </c>
      <c r="Q177" s="303">
        <v>12.1</v>
      </c>
      <c r="R177" s="303">
        <v>12.1</v>
      </c>
      <c r="S177" s="303">
        <v>12.1</v>
      </c>
      <c r="T177" s="303">
        <v>12.1</v>
      </c>
      <c r="U177" s="303">
        <v>12.1</v>
      </c>
      <c r="V177" s="303">
        <v>12.1</v>
      </c>
      <c r="W177" s="303">
        <v>12.1</v>
      </c>
      <c r="X177" s="303">
        <v>12.1</v>
      </c>
      <c r="Y177" s="303">
        <v>12.1</v>
      </c>
      <c r="Z177" s="303">
        <v>12.1</v>
      </c>
      <c r="AA177" s="303">
        <v>12.1</v>
      </c>
      <c r="AB177" s="304">
        <v>1.2</v>
      </c>
      <c r="AC177" s="304">
        <v>1.2</v>
      </c>
      <c r="AD177" s="304">
        <v>1.2</v>
      </c>
      <c r="AE177" s="304">
        <v>1.2</v>
      </c>
      <c r="AF177" s="304">
        <v>1.2</v>
      </c>
      <c r="AG177" s="304">
        <v>1.2</v>
      </c>
      <c r="AH177" s="304">
        <v>1.2</v>
      </c>
      <c r="AI177" s="304">
        <v>1.2</v>
      </c>
      <c r="AJ177" s="304">
        <v>1.2</v>
      </c>
      <c r="AK177" s="304">
        <v>1.2</v>
      </c>
      <c r="AL177" s="304">
        <v>1.2</v>
      </c>
      <c r="AM177" s="304">
        <v>1.2</v>
      </c>
      <c r="AN177" s="304">
        <v>1.2</v>
      </c>
      <c r="AO177" s="260"/>
      <c r="AP177" s="254">
        <f t="shared" si="63"/>
        <v>0</v>
      </c>
      <c r="AQ177" s="262"/>
      <c r="AR177" s="254">
        <f t="shared" si="64"/>
        <v>0</v>
      </c>
      <c r="AS177" s="261"/>
      <c r="AT177" s="254">
        <f t="shared" si="65"/>
        <v>0</v>
      </c>
      <c r="AU177" s="256"/>
      <c r="AV177" s="257">
        <f t="shared" si="66"/>
        <v>0</v>
      </c>
      <c r="AW177" s="383"/>
      <c r="AX177" s="257">
        <f t="shared" si="67"/>
        <v>0</v>
      </c>
      <c r="AY177" s="389"/>
      <c r="AZ177" s="257">
        <f t="shared" si="68"/>
        <v>0</v>
      </c>
      <c r="BA177" s="260"/>
      <c r="BB177" s="257">
        <f t="shared" si="69"/>
        <v>0</v>
      </c>
      <c r="BC177" s="260"/>
      <c r="BD177" s="257">
        <f t="shared" si="70"/>
        <v>0</v>
      </c>
      <c r="BE177" s="274"/>
      <c r="BF177" s="257">
        <f t="shared" si="71"/>
        <v>0</v>
      </c>
      <c r="BG177" s="260"/>
      <c r="BH177" s="257">
        <f t="shared" si="72"/>
        <v>0</v>
      </c>
      <c r="BI177" s="260"/>
      <c r="BJ177" s="257">
        <f t="shared" si="73"/>
        <v>0</v>
      </c>
      <c r="BK177" s="274"/>
      <c r="BL177" s="257">
        <f t="shared" si="74"/>
        <v>0</v>
      </c>
      <c r="BM177" s="1" t="s">
        <v>640</v>
      </c>
      <c r="BO177" s="1" t="s">
        <v>457</v>
      </c>
      <c r="BP177" s="1" t="s">
        <v>641</v>
      </c>
    </row>
    <row r="178" spans="1:68" ht="16.5" customHeight="1">
      <c r="A178" s="250" t="s">
        <v>451</v>
      </c>
      <c r="B178" s="59" t="s">
        <v>221</v>
      </c>
      <c r="C178" s="354" t="s">
        <v>172</v>
      </c>
      <c r="D178" s="476"/>
      <c r="E178" s="359" t="s">
        <v>173</v>
      </c>
      <c r="F178" s="421"/>
      <c r="G178" s="351" t="s">
        <v>232</v>
      </c>
      <c r="H178" s="323" t="s">
        <v>231</v>
      </c>
      <c r="I178" s="324" t="s">
        <v>190</v>
      </c>
      <c r="J178" s="325" t="s">
        <v>233</v>
      </c>
      <c r="K178" s="323" t="s">
        <v>235</v>
      </c>
      <c r="L178" s="323" t="s">
        <v>177</v>
      </c>
      <c r="M178" s="303" t="s">
        <v>624</v>
      </c>
      <c r="N178" s="303">
        <v>5.58</v>
      </c>
      <c r="O178" s="303">
        <v>5.3</v>
      </c>
      <c r="P178" s="303">
        <v>5.3</v>
      </c>
      <c r="Q178" s="303">
        <v>5.3</v>
      </c>
      <c r="R178" s="303">
        <v>5.3</v>
      </c>
      <c r="S178" s="303">
        <v>5.3</v>
      </c>
      <c r="T178" s="303">
        <v>5.3</v>
      </c>
      <c r="U178" s="303">
        <v>5.3</v>
      </c>
      <c r="V178" s="303">
        <v>5.3</v>
      </c>
      <c r="W178" s="303">
        <v>5.3</v>
      </c>
      <c r="X178" s="303">
        <v>5.3</v>
      </c>
      <c r="Y178" s="303">
        <v>5.3</v>
      </c>
      <c r="Z178" s="303">
        <v>5.3</v>
      </c>
      <c r="AA178" s="303">
        <v>5.3</v>
      </c>
      <c r="AB178" s="304">
        <v>0</v>
      </c>
      <c r="AC178" s="304">
        <v>0</v>
      </c>
      <c r="AD178" s="304">
        <v>0</v>
      </c>
      <c r="AE178" s="304">
        <v>0</v>
      </c>
      <c r="AF178" s="304">
        <v>0</v>
      </c>
      <c r="AG178" s="304">
        <v>0</v>
      </c>
      <c r="AH178" s="304">
        <v>0</v>
      </c>
      <c r="AI178" s="304">
        <v>0</v>
      </c>
      <c r="AJ178" s="304">
        <v>0</v>
      </c>
      <c r="AK178" s="304">
        <v>0</v>
      </c>
      <c r="AL178" s="304">
        <v>0</v>
      </c>
      <c r="AM178" s="304">
        <v>0</v>
      </c>
      <c r="AN178" s="304">
        <v>0</v>
      </c>
      <c r="AO178" s="260"/>
      <c r="AP178" s="254">
        <f t="shared" si="63"/>
        <v>0</v>
      </c>
      <c r="AQ178" s="262"/>
      <c r="AR178" s="254">
        <f t="shared" si="64"/>
        <v>0</v>
      </c>
      <c r="AS178" s="261"/>
      <c r="AT178" s="254">
        <f t="shared" si="65"/>
        <v>0</v>
      </c>
      <c r="AU178" s="256"/>
      <c r="AV178" s="257">
        <f t="shared" si="66"/>
        <v>0</v>
      </c>
      <c r="AW178" s="383"/>
      <c r="AX178" s="257">
        <f t="shared" si="67"/>
        <v>0</v>
      </c>
      <c r="AY178" s="389"/>
      <c r="AZ178" s="257">
        <f t="shared" si="68"/>
        <v>0</v>
      </c>
      <c r="BA178" s="260"/>
      <c r="BB178" s="257">
        <f t="shared" si="69"/>
        <v>0</v>
      </c>
      <c r="BC178" s="260"/>
      <c r="BD178" s="257">
        <f t="shared" si="70"/>
        <v>0</v>
      </c>
      <c r="BE178" s="274"/>
      <c r="BF178" s="257">
        <f t="shared" si="71"/>
        <v>0</v>
      </c>
      <c r="BG178" s="260"/>
      <c r="BH178" s="257">
        <f t="shared" si="72"/>
        <v>0</v>
      </c>
      <c r="BI178" s="260"/>
      <c r="BJ178" s="257">
        <f t="shared" si="73"/>
        <v>0</v>
      </c>
      <c r="BK178" s="274"/>
      <c r="BL178" s="257">
        <f t="shared" si="74"/>
        <v>0</v>
      </c>
      <c r="BM178" s="1" t="s">
        <v>642</v>
      </c>
      <c r="BO178" s="1" t="s">
        <v>457</v>
      </c>
      <c r="BP178" s="1" t="s">
        <v>643</v>
      </c>
    </row>
    <row r="179" spans="1:68" ht="16.5" customHeight="1">
      <c r="A179" s="250" t="s">
        <v>451</v>
      </c>
      <c r="C179" s="354"/>
      <c r="D179" s="476"/>
      <c r="E179" s="359"/>
      <c r="F179" s="421"/>
      <c r="G179" s="317"/>
      <c r="H179" s="323"/>
      <c r="I179" s="327"/>
      <c r="J179" s="331"/>
      <c r="K179" s="323"/>
      <c r="L179" s="32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303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260"/>
      <c r="AP179" s="254">
        <f t="shared" ref="AP179:AP255" si="75">AC179*AO179</f>
        <v>0</v>
      </c>
      <c r="AQ179" s="260"/>
      <c r="AR179" s="254">
        <f t="shared" ref="AR179:AR255" si="76">AD179*AQ179</f>
        <v>0</v>
      </c>
      <c r="AS179" s="261"/>
      <c r="AT179" s="254">
        <f t="shared" ref="AT179:AT255" si="77">AE179*AS179</f>
        <v>0</v>
      </c>
      <c r="AU179" s="256"/>
      <c r="AV179" s="257">
        <f t="shared" ref="AV179:AV255" si="78">AF179*AU179</f>
        <v>0</v>
      </c>
      <c r="AW179" s="382"/>
      <c r="AX179" s="257">
        <f t="shared" ref="AX179:AX255" si="79">AG179*AW179</f>
        <v>0</v>
      </c>
      <c r="AY179" s="268"/>
      <c r="AZ179" s="257">
        <f t="shared" ref="AZ179:AZ255" si="80">AH179*AY179</f>
        <v>0</v>
      </c>
      <c r="BA179" s="268"/>
      <c r="BB179" s="257">
        <f t="shared" ref="BB179:BB255" si="81">AI179*BA179</f>
        <v>0</v>
      </c>
      <c r="BC179" s="268"/>
      <c r="BD179" s="257">
        <f t="shared" ref="BD179:BD255" si="82">AJ179*BC179</f>
        <v>0</v>
      </c>
      <c r="BE179" s="268"/>
      <c r="BF179" s="257">
        <f t="shared" ref="BF179:BF255" si="83">AK179*BE179</f>
        <v>0</v>
      </c>
      <c r="BG179" s="59"/>
      <c r="BH179" s="257">
        <f t="shared" ref="BH179:BH255" si="84">AL179*BG179</f>
        <v>0</v>
      </c>
      <c r="BI179" s="268"/>
      <c r="BJ179" s="257">
        <f t="shared" ref="BJ179:BJ255" si="85">AM179*BI179</f>
        <v>0</v>
      </c>
      <c r="BK179" s="268"/>
      <c r="BL179" s="257">
        <f t="shared" ref="BL179:BL255" si="86">AN179*BK179</f>
        <v>0</v>
      </c>
    </row>
    <row r="180" spans="1:68" ht="16.5" customHeight="1">
      <c r="A180" s="250" t="s">
        <v>451</v>
      </c>
      <c r="C180" s="354"/>
      <c r="D180" s="476"/>
      <c r="E180" s="359"/>
      <c r="F180" s="421"/>
      <c r="G180" s="352"/>
      <c r="H180" s="333"/>
      <c r="I180" s="333"/>
      <c r="J180" s="334"/>
      <c r="K180" s="333"/>
      <c r="L180" s="333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  <c r="X180" s="303"/>
      <c r="Y180" s="303"/>
      <c r="Z180" s="303"/>
      <c r="AA180" s="303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260"/>
      <c r="AP180" s="254">
        <f t="shared" si="75"/>
        <v>0</v>
      </c>
      <c r="AQ180" s="260"/>
      <c r="AR180" s="254">
        <f t="shared" si="76"/>
        <v>0</v>
      </c>
      <c r="AS180" s="261"/>
      <c r="AT180" s="254">
        <f t="shared" si="77"/>
        <v>0</v>
      </c>
      <c r="AU180" s="256"/>
      <c r="AV180" s="257">
        <f t="shared" si="78"/>
        <v>0</v>
      </c>
      <c r="AW180" s="382"/>
      <c r="AX180" s="257">
        <f t="shared" si="79"/>
        <v>0</v>
      </c>
      <c r="AY180" s="268"/>
      <c r="AZ180" s="257">
        <f t="shared" si="80"/>
        <v>0</v>
      </c>
      <c r="BA180" s="268"/>
      <c r="BB180" s="257">
        <f t="shared" si="81"/>
        <v>0</v>
      </c>
      <c r="BC180" s="268"/>
      <c r="BD180" s="257">
        <f t="shared" si="82"/>
        <v>0</v>
      </c>
      <c r="BE180" s="268"/>
      <c r="BF180" s="257">
        <f t="shared" si="83"/>
        <v>0</v>
      </c>
      <c r="BG180" s="59"/>
      <c r="BH180" s="257">
        <f t="shared" si="84"/>
        <v>0</v>
      </c>
      <c r="BI180" s="268"/>
      <c r="BJ180" s="257">
        <f t="shared" si="85"/>
        <v>0</v>
      </c>
      <c r="BK180" s="268"/>
      <c r="BL180" s="257">
        <f t="shared" si="86"/>
        <v>0</v>
      </c>
    </row>
    <row r="181" spans="1:68" ht="16.5" customHeight="1">
      <c r="A181" s="250" t="s">
        <v>451</v>
      </c>
      <c r="C181" s="354"/>
      <c r="D181" s="476"/>
      <c r="E181" s="359"/>
      <c r="F181" s="421"/>
      <c r="G181" s="352"/>
      <c r="H181" s="333"/>
      <c r="I181" s="333"/>
      <c r="J181" s="334"/>
      <c r="K181" s="333"/>
      <c r="L181" s="333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  <c r="X181" s="303"/>
      <c r="Y181" s="303"/>
      <c r="Z181" s="303"/>
      <c r="AA181" s="303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260"/>
      <c r="AP181" s="254">
        <f t="shared" si="75"/>
        <v>0</v>
      </c>
      <c r="AQ181" s="260"/>
      <c r="AR181" s="254">
        <f t="shared" si="76"/>
        <v>0</v>
      </c>
      <c r="AS181" s="261"/>
      <c r="AT181" s="254">
        <f t="shared" si="77"/>
        <v>0</v>
      </c>
      <c r="AU181" s="256"/>
      <c r="AV181" s="257">
        <f t="shared" si="78"/>
        <v>0</v>
      </c>
      <c r="AW181" s="382"/>
      <c r="AX181" s="257">
        <f t="shared" si="79"/>
        <v>0</v>
      </c>
      <c r="AY181" s="268"/>
      <c r="AZ181" s="257">
        <f t="shared" si="80"/>
        <v>0</v>
      </c>
      <c r="BA181" s="268"/>
      <c r="BB181" s="257">
        <f t="shared" si="81"/>
        <v>0</v>
      </c>
      <c r="BC181" s="268"/>
      <c r="BD181" s="257">
        <f t="shared" si="82"/>
        <v>0</v>
      </c>
      <c r="BE181" s="268"/>
      <c r="BF181" s="257">
        <f t="shared" si="83"/>
        <v>0</v>
      </c>
      <c r="BG181" s="59"/>
      <c r="BH181" s="257">
        <f t="shared" si="84"/>
        <v>0</v>
      </c>
      <c r="BI181" s="268"/>
      <c r="BJ181" s="257">
        <f t="shared" si="85"/>
        <v>0</v>
      </c>
      <c r="BK181" s="268"/>
      <c r="BL181" s="257">
        <f t="shared" si="86"/>
        <v>0</v>
      </c>
    </row>
    <row r="182" spans="1:68" ht="15" customHeight="1">
      <c r="A182" s="250" t="s">
        <v>451</v>
      </c>
      <c r="C182" s="354"/>
      <c r="D182" s="476"/>
      <c r="E182" s="359"/>
      <c r="F182" s="421" t="s">
        <v>188</v>
      </c>
      <c r="G182" s="319"/>
      <c r="H182" s="298"/>
      <c r="I182" s="298"/>
      <c r="J182" s="299"/>
      <c r="K182" s="298"/>
      <c r="L182" s="298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255"/>
      <c r="AP182" s="254">
        <f t="shared" si="75"/>
        <v>0</v>
      </c>
      <c r="AQ182" s="255"/>
      <c r="AR182" s="254">
        <f t="shared" si="76"/>
        <v>0</v>
      </c>
      <c r="AS182" s="255"/>
      <c r="AT182" s="254">
        <f t="shared" si="77"/>
        <v>0</v>
      </c>
      <c r="AU182" s="256"/>
      <c r="AV182" s="257">
        <f t="shared" si="78"/>
        <v>0</v>
      </c>
      <c r="AW182" s="382"/>
      <c r="AX182" s="257">
        <f t="shared" si="79"/>
        <v>0</v>
      </c>
      <c r="AY182" s="268"/>
      <c r="AZ182" s="257">
        <f t="shared" si="80"/>
        <v>0</v>
      </c>
      <c r="BA182" s="268"/>
      <c r="BB182" s="257">
        <f t="shared" si="81"/>
        <v>0</v>
      </c>
      <c r="BC182" s="268"/>
      <c r="BD182" s="257">
        <f t="shared" si="82"/>
        <v>0</v>
      </c>
      <c r="BE182" s="268"/>
      <c r="BF182" s="257">
        <f t="shared" si="83"/>
        <v>0</v>
      </c>
      <c r="BG182" s="59"/>
      <c r="BH182" s="257">
        <f t="shared" si="84"/>
        <v>0</v>
      </c>
      <c r="BI182" s="268"/>
      <c r="BJ182" s="257">
        <f t="shared" si="85"/>
        <v>0</v>
      </c>
      <c r="BK182" s="268"/>
      <c r="BL182" s="257">
        <f t="shared" si="86"/>
        <v>0</v>
      </c>
    </row>
    <row r="183" spans="1:68" ht="15" customHeight="1">
      <c r="A183" s="250" t="s">
        <v>451</v>
      </c>
      <c r="C183" s="354"/>
      <c r="D183" s="476"/>
      <c r="E183" s="359"/>
      <c r="F183" s="421"/>
      <c r="G183" s="59"/>
      <c r="H183" s="298"/>
      <c r="I183" s="298"/>
      <c r="J183" s="299"/>
      <c r="K183" s="298"/>
      <c r="L183" s="298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3"/>
      <c r="Y183" s="303"/>
      <c r="Z183" s="303"/>
      <c r="AA183" s="303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255"/>
      <c r="AP183" s="254">
        <f t="shared" si="75"/>
        <v>0</v>
      </c>
      <c r="AQ183" s="255"/>
      <c r="AR183" s="254">
        <f t="shared" si="76"/>
        <v>0</v>
      </c>
      <c r="AS183" s="255"/>
      <c r="AT183" s="254">
        <f t="shared" si="77"/>
        <v>0</v>
      </c>
      <c r="AU183" s="256"/>
      <c r="AV183" s="257">
        <f t="shared" si="78"/>
        <v>0</v>
      </c>
      <c r="AW183" s="382"/>
      <c r="AX183" s="257">
        <f t="shared" si="79"/>
        <v>0</v>
      </c>
      <c r="AY183" s="268"/>
      <c r="AZ183" s="257">
        <f t="shared" si="80"/>
        <v>0</v>
      </c>
      <c r="BA183" s="268"/>
      <c r="BB183" s="257">
        <f t="shared" si="81"/>
        <v>0</v>
      </c>
      <c r="BC183" s="268"/>
      <c r="BD183" s="257">
        <f t="shared" si="82"/>
        <v>0</v>
      </c>
      <c r="BE183" s="268"/>
      <c r="BF183" s="257">
        <f t="shared" si="83"/>
        <v>0</v>
      </c>
      <c r="BG183" s="59"/>
      <c r="BH183" s="257">
        <f t="shared" si="84"/>
        <v>0</v>
      </c>
      <c r="BI183" s="268"/>
      <c r="BJ183" s="257">
        <f t="shared" si="85"/>
        <v>0</v>
      </c>
      <c r="BK183" s="268"/>
      <c r="BL183" s="257">
        <f t="shared" si="86"/>
        <v>0</v>
      </c>
    </row>
    <row r="184" spans="1:68" ht="15" customHeight="1">
      <c r="A184" s="250" t="s">
        <v>451</v>
      </c>
      <c r="C184" s="354"/>
      <c r="D184" s="476"/>
      <c r="E184" s="359"/>
      <c r="F184" s="421"/>
      <c r="G184" s="59"/>
      <c r="H184" s="298"/>
      <c r="I184" s="298"/>
      <c r="J184" s="299"/>
      <c r="K184" s="298"/>
      <c r="L184" s="298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303"/>
      <c r="AA184" s="303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255"/>
      <c r="AP184" s="254">
        <f t="shared" si="75"/>
        <v>0</v>
      </c>
      <c r="AQ184" s="255"/>
      <c r="AR184" s="254">
        <f t="shared" si="76"/>
        <v>0</v>
      </c>
      <c r="AS184" s="255"/>
      <c r="AT184" s="254">
        <f t="shared" si="77"/>
        <v>0</v>
      </c>
      <c r="AU184" s="256"/>
      <c r="AV184" s="257">
        <f t="shared" si="78"/>
        <v>0</v>
      </c>
      <c r="AW184" s="382"/>
      <c r="AX184" s="257">
        <f t="shared" si="79"/>
        <v>0</v>
      </c>
      <c r="AY184" s="268"/>
      <c r="AZ184" s="257">
        <f t="shared" si="80"/>
        <v>0</v>
      </c>
      <c r="BA184" s="268"/>
      <c r="BB184" s="257">
        <f t="shared" si="81"/>
        <v>0</v>
      </c>
      <c r="BC184" s="268"/>
      <c r="BD184" s="257">
        <f t="shared" si="82"/>
        <v>0</v>
      </c>
      <c r="BE184" s="268"/>
      <c r="BF184" s="257">
        <f t="shared" si="83"/>
        <v>0</v>
      </c>
      <c r="BG184" s="59"/>
      <c r="BH184" s="257">
        <f t="shared" si="84"/>
        <v>0</v>
      </c>
      <c r="BI184" s="268"/>
      <c r="BJ184" s="257">
        <f t="shared" si="85"/>
        <v>0</v>
      </c>
      <c r="BK184" s="268"/>
      <c r="BL184" s="257">
        <f t="shared" si="86"/>
        <v>0</v>
      </c>
    </row>
    <row r="185" spans="1:68" ht="15" customHeight="1">
      <c r="A185" s="250" t="s">
        <v>451</v>
      </c>
      <c r="C185" s="354"/>
      <c r="D185" s="476"/>
      <c r="E185" s="359"/>
      <c r="F185" s="421"/>
      <c r="G185" s="59"/>
      <c r="H185" s="59"/>
      <c r="I185" s="59"/>
      <c r="J185" s="302"/>
      <c r="K185" s="59"/>
      <c r="L185" s="59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303"/>
      <c r="AA185" s="303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255"/>
      <c r="AP185" s="254">
        <f t="shared" si="75"/>
        <v>0</v>
      </c>
      <c r="AQ185" s="255"/>
      <c r="AR185" s="254">
        <f t="shared" si="76"/>
        <v>0</v>
      </c>
      <c r="AS185" s="255"/>
      <c r="AT185" s="254">
        <f t="shared" si="77"/>
        <v>0</v>
      </c>
      <c r="AU185" s="256"/>
      <c r="AV185" s="257">
        <f t="shared" si="78"/>
        <v>0</v>
      </c>
      <c r="AW185" s="382"/>
      <c r="AX185" s="257">
        <f t="shared" si="79"/>
        <v>0</v>
      </c>
      <c r="AY185" s="268"/>
      <c r="AZ185" s="257">
        <f t="shared" si="80"/>
        <v>0</v>
      </c>
      <c r="BA185" s="268"/>
      <c r="BB185" s="257">
        <f t="shared" si="81"/>
        <v>0</v>
      </c>
      <c r="BC185" s="268"/>
      <c r="BD185" s="257">
        <f t="shared" si="82"/>
        <v>0</v>
      </c>
      <c r="BE185" s="268"/>
      <c r="BF185" s="257">
        <f t="shared" si="83"/>
        <v>0</v>
      </c>
      <c r="BG185" s="59"/>
      <c r="BH185" s="257">
        <f t="shared" si="84"/>
        <v>0</v>
      </c>
      <c r="BI185" s="268"/>
      <c r="BJ185" s="257">
        <f t="shared" si="85"/>
        <v>0</v>
      </c>
      <c r="BK185" s="268"/>
      <c r="BL185" s="257">
        <f t="shared" si="86"/>
        <v>0</v>
      </c>
    </row>
    <row r="186" spans="1:68" ht="15" customHeight="1">
      <c r="A186" s="250" t="s">
        <v>451</v>
      </c>
      <c r="B186" s="59" t="s">
        <v>221</v>
      </c>
      <c r="C186" s="354" t="s">
        <v>172</v>
      </c>
      <c r="D186" s="476"/>
      <c r="E186" s="359" t="s">
        <v>173</v>
      </c>
      <c r="F186" s="421" t="s">
        <v>252</v>
      </c>
      <c r="G186" s="317">
        <v>2020</v>
      </c>
      <c r="H186" s="335" t="s">
        <v>368</v>
      </c>
      <c r="I186" s="332" t="s">
        <v>249</v>
      </c>
      <c r="J186" s="331">
        <v>15</v>
      </c>
      <c r="K186" s="335" t="s">
        <v>369</v>
      </c>
      <c r="L186" s="298" t="s">
        <v>344</v>
      </c>
      <c r="M186" s="303" t="s">
        <v>541</v>
      </c>
      <c r="N186" s="303">
        <v>8.6</v>
      </c>
      <c r="O186" s="303">
        <v>13.6</v>
      </c>
      <c r="P186" s="303">
        <v>13.6</v>
      </c>
      <c r="Q186" s="303">
        <v>13.6</v>
      </c>
      <c r="R186" s="303">
        <v>13.6</v>
      </c>
      <c r="S186" s="303">
        <v>13.6</v>
      </c>
      <c r="T186" s="303">
        <v>13.6</v>
      </c>
      <c r="U186" s="303">
        <v>13.6</v>
      </c>
      <c r="V186" s="303">
        <v>13.6</v>
      </c>
      <c r="W186" s="303">
        <v>13.6</v>
      </c>
      <c r="X186" s="303">
        <v>13.6</v>
      </c>
      <c r="Y186" s="303">
        <v>13.6</v>
      </c>
      <c r="Z186" s="303">
        <v>13.6</v>
      </c>
      <c r="AA186" s="303">
        <v>13.6</v>
      </c>
      <c r="AB186" s="304">
        <v>5</v>
      </c>
      <c r="AC186" s="304">
        <v>5</v>
      </c>
      <c r="AD186" s="304">
        <v>5</v>
      </c>
      <c r="AE186" s="304">
        <v>5</v>
      </c>
      <c r="AF186" s="304">
        <v>5</v>
      </c>
      <c r="AG186" s="304">
        <v>5</v>
      </c>
      <c r="AH186" s="304">
        <v>5</v>
      </c>
      <c r="AI186" s="304">
        <v>5</v>
      </c>
      <c r="AJ186" s="304">
        <v>5</v>
      </c>
      <c r="AK186" s="304">
        <v>5</v>
      </c>
      <c r="AL186" s="304">
        <v>5</v>
      </c>
      <c r="AM186" s="304">
        <v>5</v>
      </c>
      <c r="AN186" s="304">
        <v>5</v>
      </c>
      <c r="AO186" s="255">
        <v>4920</v>
      </c>
      <c r="AP186" s="254">
        <f t="shared" si="75"/>
        <v>24600</v>
      </c>
      <c r="AQ186" s="255">
        <v>160</v>
      </c>
      <c r="AR186" s="254">
        <f t="shared" si="76"/>
        <v>800</v>
      </c>
      <c r="AS186" s="255">
        <v>120</v>
      </c>
      <c r="AT186" s="254">
        <f t="shared" si="77"/>
        <v>600</v>
      </c>
      <c r="AU186" s="256">
        <v>240</v>
      </c>
      <c r="AV186" s="257">
        <f t="shared" si="78"/>
        <v>1200</v>
      </c>
      <c r="AW186" s="381">
        <v>160</v>
      </c>
      <c r="AX186" s="257">
        <f t="shared" si="79"/>
        <v>800</v>
      </c>
      <c r="AY186" s="388">
        <v>200</v>
      </c>
      <c r="AZ186" s="257">
        <f t="shared" si="80"/>
        <v>1000</v>
      </c>
      <c r="BA186" s="255">
        <v>40</v>
      </c>
      <c r="BB186" s="257">
        <f t="shared" si="81"/>
        <v>200</v>
      </c>
      <c r="BC186" s="255">
        <v>80</v>
      </c>
      <c r="BD186" s="257">
        <f t="shared" si="82"/>
        <v>400</v>
      </c>
      <c r="BE186" s="255">
        <v>120</v>
      </c>
      <c r="BF186" s="257">
        <f t="shared" si="83"/>
        <v>600</v>
      </c>
      <c r="BG186" s="255">
        <v>40</v>
      </c>
      <c r="BH186" s="257">
        <f t="shared" si="84"/>
        <v>200</v>
      </c>
      <c r="BI186" s="255">
        <v>80</v>
      </c>
      <c r="BJ186" s="257">
        <f t="shared" si="85"/>
        <v>400</v>
      </c>
      <c r="BK186" s="255">
        <v>40</v>
      </c>
      <c r="BL186" s="257">
        <f t="shared" si="86"/>
        <v>200</v>
      </c>
      <c r="BM186" s="1" t="s">
        <v>644</v>
      </c>
      <c r="BO186" s="1" t="s">
        <v>457</v>
      </c>
      <c r="BP186" s="1" t="s">
        <v>645</v>
      </c>
    </row>
    <row r="187" spans="1:68" ht="15" customHeight="1">
      <c r="A187" s="250" t="s">
        <v>451</v>
      </c>
      <c r="B187" s="59" t="s">
        <v>221</v>
      </c>
      <c r="C187" s="354" t="s">
        <v>172</v>
      </c>
      <c r="D187" s="476"/>
      <c r="E187" s="359" t="s">
        <v>173</v>
      </c>
      <c r="F187" s="421"/>
      <c r="G187" s="317">
        <v>2020</v>
      </c>
      <c r="H187" s="335" t="s">
        <v>368</v>
      </c>
      <c r="I187" s="332" t="s">
        <v>175</v>
      </c>
      <c r="J187" s="331">
        <v>15</v>
      </c>
      <c r="K187" s="335" t="s">
        <v>369</v>
      </c>
      <c r="L187" s="323" t="s">
        <v>344</v>
      </c>
      <c r="M187" s="303" t="s">
        <v>541</v>
      </c>
      <c r="N187" s="303">
        <v>4.9000000000000004</v>
      </c>
      <c r="O187" s="303">
        <v>6.4</v>
      </c>
      <c r="P187" s="303">
        <v>6.4</v>
      </c>
      <c r="Q187" s="303">
        <v>6.4</v>
      </c>
      <c r="R187" s="303">
        <v>6.4</v>
      </c>
      <c r="S187" s="303">
        <v>6.4</v>
      </c>
      <c r="T187" s="303">
        <v>6.4</v>
      </c>
      <c r="U187" s="303">
        <v>6.4</v>
      </c>
      <c r="V187" s="303">
        <v>6.4</v>
      </c>
      <c r="W187" s="303">
        <v>6.4</v>
      </c>
      <c r="X187" s="303">
        <v>6.4</v>
      </c>
      <c r="Y187" s="303">
        <v>6.4</v>
      </c>
      <c r="Z187" s="303">
        <v>6.4</v>
      </c>
      <c r="AA187" s="303">
        <v>6.4</v>
      </c>
      <c r="AB187" s="304">
        <v>1.5</v>
      </c>
      <c r="AC187" s="304">
        <v>1.5</v>
      </c>
      <c r="AD187" s="304">
        <v>1.5</v>
      </c>
      <c r="AE187" s="304">
        <v>1.5</v>
      </c>
      <c r="AF187" s="304">
        <v>1.5</v>
      </c>
      <c r="AG187" s="304">
        <v>1.5</v>
      </c>
      <c r="AH187" s="304">
        <v>1.5</v>
      </c>
      <c r="AI187" s="304">
        <v>1.5</v>
      </c>
      <c r="AJ187" s="304">
        <v>1.5</v>
      </c>
      <c r="AK187" s="304">
        <v>1.5</v>
      </c>
      <c r="AL187" s="304">
        <v>1.5</v>
      </c>
      <c r="AM187" s="304">
        <v>1.5</v>
      </c>
      <c r="AN187" s="304">
        <v>1.5</v>
      </c>
      <c r="AO187" s="263"/>
      <c r="AP187" s="254">
        <f t="shared" si="75"/>
        <v>0</v>
      </c>
      <c r="AQ187" s="263"/>
      <c r="AR187" s="254">
        <f t="shared" si="76"/>
        <v>0</v>
      </c>
      <c r="AS187" s="261"/>
      <c r="AT187" s="254">
        <f t="shared" si="77"/>
        <v>0</v>
      </c>
      <c r="AU187" s="256"/>
      <c r="AV187" s="257">
        <f t="shared" si="78"/>
        <v>0</v>
      </c>
      <c r="AW187" s="384"/>
      <c r="AX187" s="257">
        <f t="shared" si="79"/>
        <v>0</v>
      </c>
      <c r="AY187" s="389"/>
      <c r="AZ187" s="257">
        <f t="shared" si="80"/>
        <v>0</v>
      </c>
      <c r="BA187" s="263"/>
      <c r="BB187" s="257">
        <f t="shared" si="81"/>
        <v>0</v>
      </c>
      <c r="BC187" s="263"/>
      <c r="BD187" s="257">
        <f t="shared" si="82"/>
        <v>0</v>
      </c>
      <c r="BE187" s="274"/>
      <c r="BF187" s="257">
        <f t="shared" si="83"/>
        <v>0</v>
      </c>
      <c r="BG187" s="263"/>
      <c r="BH187" s="257">
        <f t="shared" si="84"/>
        <v>0</v>
      </c>
      <c r="BI187" s="263"/>
      <c r="BJ187" s="257">
        <f t="shared" si="85"/>
        <v>0</v>
      </c>
      <c r="BK187" s="274"/>
      <c r="BL187" s="257">
        <f t="shared" si="86"/>
        <v>0</v>
      </c>
      <c r="BM187" s="1" t="s">
        <v>646</v>
      </c>
      <c r="BO187" s="1" t="s">
        <v>457</v>
      </c>
      <c r="BP187" s="1" t="s">
        <v>647</v>
      </c>
    </row>
    <row r="188" spans="1:68" ht="16.5" customHeight="1">
      <c r="A188" s="250" t="s">
        <v>451</v>
      </c>
      <c r="B188" s="59" t="s">
        <v>221</v>
      </c>
      <c r="C188" s="354" t="s">
        <v>172</v>
      </c>
      <c r="D188" s="476"/>
      <c r="E188" s="359" t="s">
        <v>173</v>
      </c>
      <c r="F188" s="421"/>
      <c r="G188" s="317">
        <v>2022</v>
      </c>
      <c r="H188" s="336" t="s">
        <v>374</v>
      </c>
      <c r="I188" s="332" t="s">
        <v>249</v>
      </c>
      <c r="J188" s="331">
        <v>14</v>
      </c>
      <c r="K188" s="335" t="s">
        <v>369</v>
      </c>
      <c r="L188" s="323" t="s">
        <v>344</v>
      </c>
      <c r="M188" s="303" t="s">
        <v>558</v>
      </c>
      <c r="N188" s="303">
        <v>8.9</v>
      </c>
      <c r="O188" s="303">
        <v>10.199999999999999</v>
      </c>
      <c r="P188" s="303">
        <v>10.199999999999999</v>
      </c>
      <c r="Q188" s="303">
        <v>10.199999999999999</v>
      </c>
      <c r="R188" s="303">
        <v>10.199999999999999</v>
      </c>
      <c r="S188" s="303">
        <v>10.199999999999999</v>
      </c>
      <c r="T188" s="303">
        <v>10.199999999999999</v>
      </c>
      <c r="U188" s="303">
        <v>10.199999999999999</v>
      </c>
      <c r="V188" s="303">
        <v>10.199999999999999</v>
      </c>
      <c r="W188" s="303">
        <v>10.199999999999999</v>
      </c>
      <c r="X188" s="303">
        <v>10.199999999999999</v>
      </c>
      <c r="Y188" s="303">
        <v>10.199999999999999</v>
      </c>
      <c r="Z188" s="303">
        <v>10.199999999999999</v>
      </c>
      <c r="AA188" s="303">
        <v>10.199999999999999</v>
      </c>
      <c r="AB188" s="304">
        <v>1.3</v>
      </c>
      <c r="AC188" s="304">
        <v>1.3</v>
      </c>
      <c r="AD188" s="304">
        <v>1.3</v>
      </c>
      <c r="AE188" s="304">
        <v>1.3</v>
      </c>
      <c r="AF188" s="304">
        <v>1.3</v>
      </c>
      <c r="AG188" s="304">
        <v>1.3</v>
      </c>
      <c r="AH188" s="304">
        <v>1.3</v>
      </c>
      <c r="AI188" s="304">
        <v>1.3</v>
      </c>
      <c r="AJ188" s="304">
        <v>1.3</v>
      </c>
      <c r="AK188" s="304">
        <v>1.3</v>
      </c>
      <c r="AL188" s="304">
        <v>1.3</v>
      </c>
      <c r="AM188" s="304">
        <v>1.3</v>
      </c>
      <c r="AN188" s="304">
        <v>1.3</v>
      </c>
      <c r="AO188" s="265">
        <v>3663</v>
      </c>
      <c r="AP188" s="254">
        <f t="shared" ref="AP188:AP202" si="87">AC188*AO188</f>
        <v>4761.9000000000005</v>
      </c>
      <c r="AQ188" s="265">
        <v>5343</v>
      </c>
      <c r="AR188" s="254">
        <f t="shared" ref="AR188:AR202" si="88">AD188*AQ188</f>
        <v>6945.9000000000005</v>
      </c>
      <c r="AS188" s="265">
        <v>1760</v>
      </c>
      <c r="AT188" s="254">
        <f t="shared" ref="AT188:AT202" si="89">AE188*AS188</f>
        <v>2288</v>
      </c>
      <c r="AU188" s="265">
        <v>2269</v>
      </c>
      <c r="AV188" s="257">
        <f t="shared" ref="AV188:AV202" si="90">AF188*AU188</f>
        <v>2949.7000000000003</v>
      </c>
      <c r="AW188" s="385">
        <v>3880</v>
      </c>
      <c r="AX188" s="257">
        <f t="shared" ref="AX188:AX202" si="91">AG188*AW188</f>
        <v>5044</v>
      </c>
      <c r="AY188" s="390">
        <v>440</v>
      </c>
      <c r="AZ188" s="257">
        <f t="shared" ref="AZ188:AZ202" si="92">AH188*AY188</f>
        <v>572</v>
      </c>
      <c r="BA188" s="265">
        <v>240</v>
      </c>
      <c r="BB188" s="257">
        <f t="shared" ref="BB188:BB202" si="93">AI188*BA188</f>
        <v>312</v>
      </c>
      <c r="BC188" s="265">
        <v>319</v>
      </c>
      <c r="BD188" s="257">
        <f t="shared" ref="BD188:BD202" si="94">AJ188*BC188</f>
        <v>414.7</v>
      </c>
      <c r="BE188" s="265">
        <v>860</v>
      </c>
      <c r="BF188" s="257">
        <f t="shared" ref="BF188:BF202" si="95">AK188*BE188</f>
        <v>1118</v>
      </c>
      <c r="BG188" s="265">
        <v>240</v>
      </c>
      <c r="BH188" s="257">
        <f t="shared" ref="BH188:BH202" si="96">AL188*BG188</f>
        <v>312</v>
      </c>
      <c r="BI188" s="265">
        <v>40</v>
      </c>
      <c r="BJ188" s="257">
        <f t="shared" ref="BJ188:BJ202" si="97">AM188*BI188</f>
        <v>52</v>
      </c>
      <c r="BK188" s="265">
        <v>40</v>
      </c>
      <c r="BL188" s="257">
        <f t="shared" ref="BL188:BL202" si="98">AN188*BK188</f>
        <v>52</v>
      </c>
      <c r="BM188" s="1" t="s">
        <v>648</v>
      </c>
      <c r="BO188" s="1" t="s">
        <v>457</v>
      </c>
      <c r="BP188" s="1" t="s">
        <v>649</v>
      </c>
    </row>
    <row r="189" spans="1:68" ht="16.5" customHeight="1">
      <c r="A189" s="250" t="s">
        <v>451</v>
      </c>
      <c r="B189" s="59" t="s">
        <v>221</v>
      </c>
      <c r="C189" s="354" t="s">
        <v>172</v>
      </c>
      <c r="D189" s="476"/>
      <c r="E189" s="359" t="s">
        <v>173</v>
      </c>
      <c r="F189" s="421"/>
      <c r="G189" s="317">
        <v>2023</v>
      </c>
      <c r="H189" s="323" t="s">
        <v>377</v>
      </c>
      <c r="I189" s="332" t="s">
        <v>249</v>
      </c>
      <c r="J189" s="331">
        <v>16</v>
      </c>
      <c r="K189" s="323" t="s">
        <v>378</v>
      </c>
      <c r="L189" s="323" t="s">
        <v>344</v>
      </c>
      <c r="M189" s="303" t="s">
        <v>558</v>
      </c>
      <c r="N189" s="303">
        <v>8.6</v>
      </c>
      <c r="O189" s="303">
        <v>10.8</v>
      </c>
      <c r="P189" s="303">
        <v>10.8</v>
      </c>
      <c r="Q189" s="303">
        <v>10.8</v>
      </c>
      <c r="R189" s="303">
        <v>10.8</v>
      </c>
      <c r="S189" s="303">
        <v>10.8</v>
      </c>
      <c r="T189" s="303">
        <v>10.8</v>
      </c>
      <c r="U189" s="303">
        <v>10.8</v>
      </c>
      <c r="V189" s="303">
        <v>10.8</v>
      </c>
      <c r="W189" s="303">
        <v>10.8</v>
      </c>
      <c r="X189" s="303">
        <v>10.8</v>
      </c>
      <c r="Y189" s="303">
        <v>10.8</v>
      </c>
      <c r="Z189" s="303">
        <v>10.8</v>
      </c>
      <c r="AA189" s="303">
        <v>10.8</v>
      </c>
      <c r="AB189" s="304">
        <v>1.4</v>
      </c>
      <c r="AC189" s="304">
        <v>1.4</v>
      </c>
      <c r="AD189" s="304">
        <v>1.4</v>
      </c>
      <c r="AE189" s="304">
        <v>1.4</v>
      </c>
      <c r="AF189" s="304">
        <v>1.4</v>
      </c>
      <c r="AG189" s="304">
        <v>1.4</v>
      </c>
      <c r="AH189" s="304">
        <v>1.4</v>
      </c>
      <c r="AI189" s="304">
        <v>1.4</v>
      </c>
      <c r="AJ189" s="304">
        <v>1.4</v>
      </c>
      <c r="AK189" s="304">
        <v>1.4</v>
      </c>
      <c r="AL189" s="304">
        <v>1.4</v>
      </c>
      <c r="AM189" s="304">
        <v>1.4</v>
      </c>
      <c r="AN189" s="304">
        <v>1.4</v>
      </c>
      <c r="AO189" s="265">
        <v>7560</v>
      </c>
      <c r="AP189" s="254">
        <f t="shared" si="87"/>
        <v>10584</v>
      </c>
      <c r="AQ189" s="265">
        <v>5079</v>
      </c>
      <c r="AR189" s="254">
        <f t="shared" si="88"/>
        <v>7110.5999999999995</v>
      </c>
      <c r="AS189" s="265">
        <v>3920</v>
      </c>
      <c r="AT189" s="254">
        <f t="shared" si="89"/>
        <v>5488</v>
      </c>
      <c r="AU189" s="265">
        <v>3679</v>
      </c>
      <c r="AV189" s="257">
        <f t="shared" si="90"/>
        <v>5150.5999999999995</v>
      </c>
      <c r="AW189" s="385">
        <v>2360</v>
      </c>
      <c r="AX189" s="257">
        <f t="shared" si="91"/>
        <v>3304</v>
      </c>
      <c r="AY189" s="390">
        <v>1360</v>
      </c>
      <c r="AZ189" s="257">
        <f t="shared" si="92"/>
        <v>1903.9999999999998</v>
      </c>
      <c r="BA189" s="265">
        <v>320</v>
      </c>
      <c r="BB189" s="257">
        <f t="shared" si="93"/>
        <v>448</v>
      </c>
      <c r="BC189" s="265">
        <v>2120</v>
      </c>
      <c r="BD189" s="257">
        <f t="shared" si="94"/>
        <v>2968</v>
      </c>
      <c r="BE189" s="265">
        <v>120</v>
      </c>
      <c r="BF189" s="257">
        <f t="shared" si="95"/>
        <v>168</v>
      </c>
      <c r="BG189" s="265"/>
      <c r="BH189" s="257">
        <f t="shared" si="96"/>
        <v>0</v>
      </c>
      <c r="BI189" s="265">
        <v>80</v>
      </c>
      <c r="BJ189" s="257">
        <f t="shared" si="97"/>
        <v>112</v>
      </c>
      <c r="BK189" s="265">
        <v>80</v>
      </c>
      <c r="BL189" s="257">
        <f t="shared" si="98"/>
        <v>112</v>
      </c>
      <c r="BM189" s="1" t="s">
        <v>650</v>
      </c>
      <c r="BO189" s="1" t="s">
        <v>457</v>
      </c>
      <c r="BP189" s="1" t="s">
        <v>651</v>
      </c>
    </row>
    <row r="190" spans="1:68" ht="16.5" customHeight="1">
      <c r="A190" s="250" t="s">
        <v>451</v>
      </c>
      <c r="B190" s="59" t="s">
        <v>221</v>
      </c>
      <c r="C190" s="354" t="s">
        <v>172</v>
      </c>
      <c r="D190" s="476"/>
      <c r="E190" s="359" t="s">
        <v>173</v>
      </c>
      <c r="F190" s="421"/>
      <c r="G190" s="317">
        <v>2023</v>
      </c>
      <c r="H190" s="323" t="s">
        <v>377</v>
      </c>
      <c r="I190" s="327" t="s">
        <v>249</v>
      </c>
      <c r="J190" s="331">
        <v>16</v>
      </c>
      <c r="K190" s="323" t="s">
        <v>379</v>
      </c>
      <c r="L190" s="323" t="s">
        <v>344</v>
      </c>
      <c r="M190" s="303" t="s">
        <v>558</v>
      </c>
      <c r="N190" s="303">
        <v>9</v>
      </c>
      <c r="O190" s="303">
        <v>11.2</v>
      </c>
      <c r="P190" s="303">
        <v>11.2</v>
      </c>
      <c r="Q190" s="303">
        <v>11.2</v>
      </c>
      <c r="R190" s="303">
        <v>11.2</v>
      </c>
      <c r="S190" s="303">
        <v>11.2</v>
      </c>
      <c r="T190" s="303">
        <v>11.2</v>
      </c>
      <c r="U190" s="303">
        <v>11.2</v>
      </c>
      <c r="V190" s="303">
        <v>11.2</v>
      </c>
      <c r="W190" s="303">
        <v>11.2</v>
      </c>
      <c r="X190" s="303">
        <v>11.2</v>
      </c>
      <c r="Y190" s="303">
        <v>11.2</v>
      </c>
      <c r="Z190" s="303">
        <v>11.2</v>
      </c>
      <c r="AA190" s="303">
        <v>11.2</v>
      </c>
      <c r="AB190" s="304">
        <v>1.8</v>
      </c>
      <c r="AC190" s="304">
        <v>1.8</v>
      </c>
      <c r="AD190" s="304">
        <v>1.8</v>
      </c>
      <c r="AE190" s="304">
        <v>1.8</v>
      </c>
      <c r="AF190" s="304">
        <v>1.8</v>
      </c>
      <c r="AG190" s="304">
        <v>1.8</v>
      </c>
      <c r="AH190" s="304">
        <v>1.8</v>
      </c>
      <c r="AI190" s="304">
        <v>1.8</v>
      </c>
      <c r="AJ190" s="304">
        <v>1.8</v>
      </c>
      <c r="AK190" s="304">
        <v>1.8</v>
      </c>
      <c r="AL190" s="304">
        <v>1.8</v>
      </c>
      <c r="AM190" s="304">
        <v>1.8</v>
      </c>
      <c r="AN190" s="304">
        <v>1.8</v>
      </c>
      <c r="AO190" s="265"/>
      <c r="AP190" s="254">
        <f t="shared" si="87"/>
        <v>0</v>
      </c>
      <c r="AQ190" s="265"/>
      <c r="AR190" s="254">
        <f t="shared" si="88"/>
        <v>0</v>
      </c>
      <c r="AS190" s="261"/>
      <c r="AT190" s="254">
        <f t="shared" si="89"/>
        <v>0</v>
      </c>
      <c r="AU190" s="256"/>
      <c r="AV190" s="257">
        <f t="shared" si="90"/>
        <v>0</v>
      </c>
      <c r="AW190" s="385"/>
      <c r="AX190" s="257">
        <f t="shared" si="91"/>
        <v>0</v>
      </c>
      <c r="AY190" s="389"/>
      <c r="AZ190" s="257">
        <f t="shared" si="92"/>
        <v>0</v>
      </c>
      <c r="BA190" s="265"/>
      <c r="BB190" s="257">
        <f t="shared" si="93"/>
        <v>0</v>
      </c>
      <c r="BC190" s="265"/>
      <c r="BD190" s="257">
        <f t="shared" si="94"/>
        <v>0</v>
      </c>
      <c r="BE190" s="274"/>
      <c r="BF190" s="257">
        <f t="shared" si="95"/>
        <v>0</v>
      </c>
      <c r="BG190" s="265"/>
      <c r="BH190" s="257">
        <f t="shared" si="96"/>
        <v>0</v>
      </c>
      <c r="BI190" s="265"/>
      <c r="BJ190" s="257">
        <f t="shared" si="97"/>
        <v>0</v>
      </c>
      <c r="BK190" s="265"/>
      <c r="BL190" s="257">
        <f t="shared" si="98"/>
        <v>0</v>
      </c>
      <c r="BM190" s="1" t="s">
        <v>652</v>
      </c>
      <c r="BO190" s="1" t="s">
        <v>457</v>
      </c>
      <c r="BP190" s="1" t="s">
        <v>653</v>
      </c>
    </row>
    <row r="191" spans="1:68" ht="16.5" customHeight="1">
      <c r="A191" s="250" t="s">
        <v>451</v>
      </c>
      <c r="B191" s="59" t="s">
        <v>221</v>
      </c>
      <c r="C191" s="354" t="s">
        <v>172</v>
      </c>
      <c r="D191" s="476"/>
      <c r="E191" s="359" t="s">
        <v>173</v>
      </c>
      <c r="F191" s="421"/>
      <c r="G191" s="317">
        <v>2024</v>
      </c>
      <c r="H191" s="323" t="s">
        <v>380</v>
      </c>
      <c r="I191" s="327" t="s">
        <v>249</v>
      </c>
      <c r="J191" s="331">
        <v>16</v>
      </c>
      <c r="K191" s="323" t="s">
        <v>335</v>
      </c>
      <c r="L191" s="323" t="s">
        <v>382</v>
      </c>
      <c r="M191" s="303" t="s">
        <v>654</v>
      </c>
      <c r="N191" s="303">
        <v>8.6</v>
      </c>
      <c r="O191" s="303">
        <v>8.8000000000000007</v>
      </c>
      <c r="P191" s="303">
        <v>10.8</v>
      </c>
      <c r="Q191" s="303">
        <v>10.8</v>
      </c>
      <c r="R191" s="303">
        <v>10.8</v>
      </c>
      <c r="S191" s="303">
        <v>10.8</v>
      </c>
      <c r="T191" s="303">
        <v>10.8</v>
      </c>
      <c r="U191" s="303">
        <v>10.8</v>
      </c>
      <c r="V191" s="303">
        <v>10.8</v>
      </c>
      <c r="W191" s="303">
        <v>10.8</v>
      </c>
      <c r="X191" s="303">
        <v>10.8</v>
      </c>
      <c r="Y191" s="303">
        <v>10.8</v>
      </c>
      <c r="Z191" s="303">
        <v>8.8000000000000007</v>
      </c>
      <c r="AA191" s="303">
        <v>8.8000000000000007</v>
      </c>
      <c r="AB191" s="59">
        <v>1.6</v>
      </c>
      <c r="AC191" s="59">
        <v>2.2000000000000002</v>
      </c>
      <c r="AD191" s="59">
        <v>2.2000000000000002</v>
      </c>
      <c r="AE191" s="59">
        <v>2.2000000000000002</v>
      </c>
      <c r="AF191" s="59">
        <v>2.2000000000000002</v>
      </c>
      <c r="AG191" s="59">
        <v>2.2000000000000002</v>
      </c>
      <c r="AH191" s="59">
        <v>2.2000000000000002</v>
      </c>
      <c r="AI191" s="59">
        <v>2.2000000000000002</v>
      </c>
      <c r="AJ191" s="59">
        <v>2.2000000000000002</v>
      </c>
      <c r="AK191" s="59">
        <v>2.2000000000000002</v>
      </c>
      <c r="AL191" s="59">
        <v>2.2000000000000002</v>
      </c>
      <c r="AM191" s="59">
        <v>1.6</v>
      </c>
      <c r="AN191" s="59">
        <v>1.6</v>
      </c>
      <c r="AO191" s="265">
        <v>7196</v>
      </c>
      <c r="AP191" s="254">
        <f t="shared" si="87"/>
        <v>15831.2</v>
      </c>
      <c r="AQ191" s="265">
        <v>11794</v>
      </c>
      <c r="AR191" s="254">
        <f t="shared" si="88"/>
        <v>25946.800000000003</v>
      </c>
      <c r="AS191" s="261">
        <v>3179</v>
      </c>
      <c r="AT191" s="254">
        <f t="shared" si="89"/>
        <v>6993.8</v>
      </c>
      <c r="AU191" s="256">
        <v>4796</v>
      </c>
      <c r="AV191" s="257">
        <f t="shared" si="90"/>
        <v>10551.2</v>
      </c>
      <c r="AW191" s="382">
        <v>22436</v>
      </c>
      <c r="AX191" s="257">
        <f t="shared" si="91"/>
        <v>49359.200000000004</v>
      </c>
      <c r="AY191" s="268">
        <v>14356</v>
      </c>
      <c r="AZ191" s="257">
        <f t="shared" si="92"/>
        <v>31583.200000000004</v>
      </c>
      <c r="BA191" s="270">
        <v>23329</v>
      </c>
      <c r="BB191" s="257">
        <f t="shared" si="93"/>
        <v>51323.8</v>
      </c>
      <c r="BC191" s="270">
        <v>15396</v>
      </c>
      <c r="BD191" s="257">
        <f t="shared" si="94"/>
        <v>33871.200000000004</v>
      </c>
      <c r="BE191" s="270">
        <v>19796</v>
      </c>
      <c r="BF191" s="257">
        <f t="shared" si="95"/>
        <v>43551.200000000004</v>
      </c>
      <c r="BG191" s="270">
        <v>22990</v>
      </c>
      <c r="BH191" s="257">
        <f t="shared" si="96"/>
        <v>50578.000000000007</v>
      </c>
      <c r="BI191" s="268">
        <v>23585</v>
      </c>
      <c r="BJ191" s="257">
        <f t="shared" si="97"/>
        <v>37736</v>
      </c>
      <c r="BK191" s="268">
        <v>11959</v>
      </c>
      <c r="BL191" s="257">
        <f t="shared" si="98"/>
        <v>19134.400000000001</v>
      </c>
      <c r="BM191" s="1" t="s">
        <v>655</v>
      </c>
      <c r="BO191" s="1" t="s">
        <v>457</v>
      </c>
      <c r="BP191" s="1" t="s">
        <v>656</v>
      </c>
    </row>
    <row r="192" spans="1:68" ht="15" customHeight="1">
      <c r="A192" s="250" t="s">
        <v>451</v>
      </c>
      <c r="B192" s="59" t="s">
        <v>221</v>
      </c>
      <c r="C192" s="354" t="s">
        <v>172</v>
      </c>
      <c r="D192" s="476"/>
      <c r="E192" s="359" t="s">
        <v>173</v>
      </c>
      <c r="F192" s="421"/>
      <c r="G192" s="317">
        <v>2024</v>
      </c>
      <c r="H192" s="323" t="s">
        <v>380</v>
      </c>
      <c r="I192" s="327" t="s">
        <v>249</v>
      </c>
      <c r="J192" s="331">
        <v>16</v>
      </c>
      <c r="K192" s="323" t="s">
        <v>384</v>
      </c>
      <c r="L192" s="323" t="s">
        <v>382</v>
      </c>
      <c r="M192" s="303" t="s">
        <v>654</v>
      </c>
      <c r="N192" s="303">
        <v>9</v>
      </c>
      <c r="O192" s="303">
        <v>11.6</v>
      </c>
      <c r="P192" s="303">
        <v>11.6</v>
      </c>
      <c r="Q192" s="303">
        <v>11.6</v>
      </c>
      <c r="R192" s="303">
        <v>11.6</v>
      </c>
      <c r="S192" s="303">
        <v>11.6</v>
      </c>
      <c r="T192" s="303">
        <v>11.6</v>
      </c>
      <c r="U192" s="303">
        <v>11.6</v>
      </c>
      <c r="V192" s="303">
        <v>11.6</v>
      </c>
      <c r="W192" s="303">
        <v>11.6</v>
      </c>
      <c r="X192" s="303">
        <v>11.6</v>
      </c>
      <c r="Y192" s="303">
        <v>11.6</v>
      </c>
      <c r="Z192" s="303">
        <v>11.6</v>
      </c>
      <c r="AA192" s="303">
        <v>11.6</v>
      </c>
      <c r="AB192" s="59">
        <v>2.6</v>
      </c>
      <c r="AC192" s="59">
        <v>2.6</v>
      </c>
      <c r="AD192" s="59">
        <v>2.6</v>
      </c>
      <c r="AE192" s="59">
        <v>2.6</v>
      </c>
      <c r="AF192" s="59">
        <v>2.6</v>
      </c>
      <c r="AG192" s="59">
        <v>2.6</v>
      </c>
      <c r="AH192" s="59">
        <v>2.6</v>
      </c>
      <c r="AI192" s="59">
        <v>2.6</v>
      </c>
      <c r="AJ192" s="59">
        <v>2.6</v>
      </c>
      <c r="AK192" s="59">
        <v>2.6</v>
      </c>
      <c r="AL192" s="59">
        <v>2.6</v>
      </c>
      <c r="AM192" s="59">
        <v>2.6</v>
      </c>
      <c r="AN192" s="59">
        <v>2.6</v>
      </c>
      <c r="AO192" s="265">
        <v>3029</v>
      </c>
      <c r="AP192" s="254">
        <f t="shared" si="87"/>
        <v>7875.4000000000005</v>
      </c>
      <c r="AQ192" s="265">
        <v>4505</v>
      </c>
      <c r="AR192" s="254">
        <f t="shared" si="88"/>
        <v>11713</v>
      </c>
      <c r="AS192" s="265">
        <v>1120</v>
      </c>
      <c r="AT192" s="254">
        <f t="shared" si="89"/>
        <v>2912</v>
      </c>
      <c r="AU192" s="265">
        <v>3156</v>
      </c>
      <c r="AV192" s="257">
        <f t="shared" si="90"/>
        <v>8205.6</v>
      </c>
      <c r="AW192" s="385">
        <v>5117</v>
      </c>
      <c r="AX192" s="257">
        <f t="shared" si="91"/>
        <v>13304.2</v>
      </c>
      <c r="AY192" s="268">
        <v>1314</v>
      </c>
      <c r="AZ192" s="257">
        <f t="shared" si="92"/>
        <v>3416.4</v>
      </c>
      <c r="BA192" s="270">
        <v>2559</v>
      </c>
      <c r="BB192" s="257">
        <f t="shared" si="93"/>
        <v>6653.4000000000005</v>
      </c>
      <c r="BC192" s="268">
        <v>4970</v>
      </c>
      <c r="BD192" s="257">
        <f t="shared" si="94"/>
        <v>12922</v>
      </c>
      <c r="BE192" s="268">
        <v>2513</v>
      </c>
      <c r="BF192" s="257">
        <f t="shared" si="95"/>
        <v>6533.8</v>
      </c>
      <c r="BG192" s="268">
        <v>1496</v>
      </c>
      <c r="BH192" s="257">
        <f t="shared" si="96"/>
        <v>3889.6</v>
      </c>
      <c r="BI192" s="268">
        <v>2510</v>
      </c>
      <c r="BJ192" s="257">
        <f t="shared" si="97"/>
        <v>6526</v>
      </c>
      <c r="BK192" s="268">
        <v>1877</v>
      </c>
      <c r="BL192" s="257">
        <f t="shared" si="98"/>
        <v>4880.2</v>
      </c>
      <c r="BM192" s="1" t="s">
        <v>657</v>
      </c>
      <c r="BO192" s="1" t="s">
        <v>457</v>
      </c>
      <c r="BP192" s="1" t="s">
        <v>658</v>
      </c>
    </row>
    <row r="193" spans="1:68" ht="15" customHeight="1">
      <c r="A193" s="250" t="s">
        <v>451</v>
      </c>
      <c r="B193" s="59" t="s">
        <v>221</v>
      </c>
      <c r="C193" s="354" t="s">
        <v>172</v>
      </c>
      <c r="D193" s="476"/>
      <c r="E193" s="359" t="s">
        <v>173</v>
      </c>
      <c r="F193" s="421"/>
      <c r="G193" s="317">
        <v>2025</v>
      </c>
      <c r="H193" s="323" t="s">
        <v>659</v>
      </c>
      <c r="I193" s="327" t="s">
        <v>249</v>
      </c>
      <c r="J193" s="331">
        <v>14</v>
      </c>
      <c r="K193" s="323" t="s">
        <v>335</v>
      </c>
      <c r="L193" s="323" t="s">
        <v>344</v>
      </c>
      <c r="M193" s="303" t="s">
        <v>558</v>
      </c>
      <c r="N193" s="303">
        <v>7.4</v>
      </c>
      <c r="O193" s="303">
        <v>8.6999999999999993</v>
      </c>
      <c r="P193" s="303">
        <v>9.5500000000000007</v>
      </c>
      <c r="Q193" s="303">
        <v>9.5500000000000007</v>
      </c>
      <c r="R193" s="303">
        <v>9.5500000000000007</v>
      </c>
      <c r="S193" s="303">
        <v>9.5500000000000007</v>
      </c>
      <c r="T193" s="303">
        <v>9.5500000000000007</v>
      </c>
      <c r="U193" s="303">
        <v>9.5500000000000007</v>
      </c>
      <c r="V193" s="303">
        <v>9.5500000000000007</v>
      </c>
      <c r="W193" s="303">
        <v>9.5500000000000007</v>
      </c>
      <c r="X193" s="303">
        <v>9.4</v>
      </c>
      <c r="Y193" s="303">
        <v>9.4</v>
      </c>
      <c r="Z193" s="303">
        <v>8.6999999999999993</v>
      </c>
      <c r="AA193" s="303">
        <v>8.6999999999999993</v>
      </c>
      <c r="AB193" s="59">
        <v>1.6</v>
      </c>
      <c r="AC193" s="59">
        <v>2.15</v>
      </c>
      <c r="AD193" s="59">
        <v>2.15</v>
      </c>
      <c r="AE193" s="59">
        <v>2.15</v>
      </c>
      <c r="AF193" s="59">
        <v>2.15</v>
      </c>
      <c r="AG193" s="59">
        <v>2.15</v>
      </c>
      <c r="AH193" s="59">
        <v>2.15</v>
      </c>
      <c r="AI193" s="59">
        <v>2.15</v>
      </c>
      <c r="AJ193" s="59">
        <v>2.15</v>
      </c>
      <c r="AK193" s="59">
        <v>2.2000000000000002</v>
      </c>
      <c r="AL193" s="59">
        <v>2.2000000000000002</v>
      </c>
      <c r="AM193" s="59">
        <v>1.6</v>
      </c>
      <c r="AN193" s="59">
        <v>1.6</v>
      </c>
      <c r="AO193" s="265"/>
      <c r="AP193" s="254">
        <f t="shared" si="87"/>
        <v>0</v>
      </c>
      <c r="AQ193" s="265"/>
      <c r="AR193" s="254">
        <f t="shared" si="88"/>
        <v>0</v>
      </c>
      <c r="AS193" s="265"/>
      <c r="AT193" s="254">
        <f t="shared" si="89"/>
        <v>0</v>
      </c>
      <c r="AU193" s="265"/>
      <c r="AV193" s="257">
        <f t="shared" si="90"/>
        <v>0</v>
      </c>
      <c r="AW193" s="385">
        <v>3760</v>
      </c>
      <c r="AX193" s="257">
        <f t="shared" si="91"/>
        <v>8084</v>
      </c>
      <c r="AY193" s="390">
        <v>9040</v>
      </c>
      <c r="AZ193" s="257">
        <f t="shared" si="92"/>
        <v>19436</v>
      </c>
      <c r="BA193" s="265">
        <v>10200</v>
      </c>
      <c r="BB193" s="257">
        <f t="shared" si="93"/>
        <v>21930</v>
      </c>
      <c r="BC193" s="265">
        <v>11119</v>
      </c>
      <c r="BD193" s="257">
        <f t="shared" si="94"/>
        <v>23905.85</v>
      </c>
      <c r="BE193" s="265">
        <v>9679</v>
      </c>
      <c r="BF193" s="257">
        <f t="shared" si="95"/>
        <v>21293.800000000003</v>
      </c>
      <c r="BG193" s="265">
        <v>21286</v>
      </c>
      <c r="BH193" s="257">
        <f t="shared" si="96"/>
        <v>46829.200000000004</v>
      </c>
      <c r="BI193" s="390">
        <v>24759</v>
      </c>
      <c r="BJ193" s="257">
        <f t="shared" si="97"/>
        <v>39614.400000000001</v>
      </c>
      <c r="BK193" s="390">
        <v>17958</v>
      </c>
      <c r="BL193" s="257">
        <f t="shared" si="98"/>
        <v>28732.800000000003</v>
      </c>
      <c r="BM193" s="1" t="s">
        <v>660</v>
      </c>
      <c r="BO193" s="1" t="s">
        <v>457</v>
      </c>
      <c r="BP193" s="1" t="s">
        <v>661</v>
      </c>
    </row>
    <row r="194" spans="1:68" ht="15" customHeight="1">
      <c r="A194" s="250" t="s">
        <v>451</v>
      </c>
      <c r="B194" s="59" t="s">
        <v>221</v>
      </c>
      <c r="C194" s="354" t="s">
        <v>172</v>
      </c>
      <c r="D194" s="476"/>
      <c r="E194" s="359" t="s">
        <v>173</v>
      </c>
      <c r="F194" s="421"/>
      <c r="G194" s="317">
        <v>2025</v>
      </c>
      <c r="H194" s="323" t="s">
        <v>659</v>
      </c>
      <c r="I194" s="332" t="s">
        <v>175</v>
      </c>
      <c r="J194" s="331">
        <v>14</v>
      </c>
      <c r="K194" s="323" t="s">
        <v>335</v>
      </c>
      <c r="L194" s="323" t="s">
        <v>344</v>
      </c>
      <c r="M194" s="303" t="s">
        <v>558</v>
      </c>
      <c r="N194" s="303">
        <v>4.5</v>
      </c>
      <c r="O194" s="303">
        <v>5.5</v>
      </c>
      <c r="P194" s="303">
        <v>5.5</v>
      </c>
      <c r="Q194" s="303">
        <v>5.5</v>
      </c>
      <c r="R194" s="303">
        <v>5.5</v>
      </c>
      <c r="S194" s="303">
        <v>5.5</v>
      </c>
      <c r="T194" s="303">
        <v>5.5</v>
      </c>
      <c r="U194" s="303">
        <v>5.5</v>
      </c>
      <c r="V194" s="303">
        <v>5.5</v>
      </c>
      <c r="W194" s="303">
        <v>5.5</v>
      </c>
      <c r="X194" s="303">
        <v>5.5</v>
      </c>
      <c r="Y194" s="303">
        <v>5.5</v>
      </c>
      <c r="Z194" s="303">
        <v>5.5</v>
      </c>
      <c r="AA194" s="303">
        <v>5.5</v>
      </c>
      <c r="AB194" s="59">
        <v>1</v>
      </c>
      <c r="AC194" s="59">
        <v>1</v>
      </c>
      <c r="AD194" s="59">
        <v>1</v>
      </c>
      <c r="AE194" s="59">
        <v>1</v>
      </c>
      <c r="AF194" s="59">
        <v>1</v>
      </c>
      <c r="AG194" s="59">
        <v>1</v>
      </c>
      <c r="AH194" s="59">
        <v>1</v>
      </c>
      <c r="AI194" s="59">
        <v>1</v>
      </c>
      <c r="AJ194" s="59">
        <v>1</v>
      </c>
      <c r="AK194" s="59">
        <v>1.1000000000000001</v>
      </c>
      <c r="AL194" s="59">
        <v>1.1000000000000001</v>
      </c>
      <c r="AM194" s="59">
        <v>1.1000000000000001</v>
      </c>
      <c r="AN194" s="59">
        <v>1.1000000000000001</v>
      </c>
      <c r="AO194" s="265"/>
      <c r="AP194" s="254">
        <f t="shared" si="87"/>
        <v>0</v>
      </c>
      <c r="AQ194" s="265"/>
      <c r="AR194" s="254">
        <f t="shared" si="88"/>
        <v>0</v>
      </c>
      <c r="AS194" s="265"/>
      <c r="AT194" s="254">
        <f t="shared" si="89"/>
        <v>0</v>
      </c>
      <c r="AU194" s="265"/>
      <c r="AV194" s="257">
        <f t="shared" si="90"/>
        <v>0</v>
      </c>
      <c r="AW194" s="385">
        <v>160</v>
      </c>
      <c r="AX194" s="257">
        <f t="shared" si="91"/>
        <v>160</v>
      </c>
      <c r="AY194" s="390">
        <v>2400</v>
      </c>
      <c r="AZ194" s="257">
        <f t="shared" si="92"/>
        <v>2400</v>
      </c>
      <c r="BA194" s="265">
        <v>200</v>
      </c>
      <c r="BB194" s="257">
        <f t="shared" si="93"/>
        <v>200</v>
      </c>
      <c r="BC194" s="265">
        <v>1359</v>
      </c>
      <c r="BD194" s="257">
        <f t="shared" si="94"/>
        <v>1359</v>
      </c>
      <c r="BE194" s="265">
        <v>1600</v>
      </c>
      <c r="BF194" s="257">
        <f t="shared" si="95"/>
        <v>1760.0000000000002</v>
      </c>
      <c r="BG194" s="265">
        <v>920</v>
      </c>
      <c r="BH194" s="257">
        <f t="shared" si="96"/>
        <v>1012.0000000000001</v>
      </c>
      <c r="BI194" s="390">
        <v>2080</v>
      </c>
      <c r="BJ194" s="257">
        <f t="shared" si="97"/>
        <v>2288</v>
      </c>
      <c r="BK194" s="390">
        <v>1796</v>
      </c>
      <c r="BL194" s="257">
        <f t="shared" si="98"/>
        <v>1975.6000000000001</v>
      </c>
      <c r="BM194" s="1" t="s">
        <v>662</v>
      </c>
      <c r="BO194" s="1" t="s">
        <v>457</v>
      </c>
      <c r="BP194" s="1" t="s">
        <v>663</v>
      </c>
    </row>
    <row r="195" spans="1:68" ht="15" customHeight="1">
      <c r="A195" s="250" t="s">
        <v>451</v>
      </c>
      <c r="B195" s="59" t="s">
        <v>221</v>
      </c>
      <c r="C195" s="354" t="s">
        <v>172</v>
      </c>
      <c r="D195" s="476"/>
      <c r="E195" s="359" t="s">
        <v>173</v>
      </c>
      <c r="F195" s="421"/>
      <c r="G195" s="317">
        <v>2025</v>
      </c>
      <c r="H195" s="323" t="s">
        <v>659</v>
      </c>
      <c r="I195" s="327" t="s">
        <v>249</v>
      </c>
      <c r="J195" s="331">
        <v>14</v>
      </c>
      <c r="K195" s="323" t="s">
        <v>384</v>
      </c>
      <c r="L195" s="323" t="s">
        <v>344</v>
      </c>
      <c r="M195" s="303" t="s">
        <v>558</v>
      </c>
      <c r="N195" s="303">
        <v>7.8</v>
      </c>
      <c r="O195" s="303">
        <v>10.4</v>
      </c>
      <c r="P195" s="303">
        <v>10.55</v>
      </c>
      <c r="Q195" s="303">
        <v>10.55</v>
      </c>
      <c r="R195" s="303">
        <v>10.55</v>
      </c>
      <c r="S195" s="303">
        <v>10.55</v>
      </c>
      <c r="T195" s="303">
        <v>10.55</v>
      </c>
      <c r="U195" s="303">
        <v>10.55</v>
      </c>
      <c r="V195" s="303">
        <v>10.55</v>
      </c>
      <c r="W195" s="303">
        <v>10.55</v>
      </c>
      <c r="X195" s="303">
        <v>10.4</v>
      </c>
      <c r="Y195" s="303">
        <v>10.4</v>
      </c>
      <c r="Z195" s="303">
        <v>10.4</v>
      </c>
      <c r="AA195" s="303">
        <v>10.4</v>
      </c>
      <c r="AB195" s="304">
        <v>2.65</v>
      </c>
      <c r="AC195" s="304">
        <v>2.75</v>
      </c>
      <c r="AD195" s="304">
        <v>2.75</v>
      </c>
      <c r="AE195" s="304">
        <v>2.75</v>
      </c>
      <c r="AF195" s="304">
        <v>2.75</v>
      </c>
      <c r="AG195" s="304">
        <v>2.75</v>
      </c>
      <c r="AH195" s="304">
        <v>2.75</v>
      </c>
      <c r="AI195" s="304">
        <v>2.75</v>
      </c>
      <c r="AJ195" s="304">
        <v>2.75</v>
      </c>
      <c r="AK195" s="304">
        <v>2.65</v>
      </c>
      <c r="AL195" s="304">
        <v>2.65</v>
      </c>
      <c r="AM195" s="304">
        <v>2.65</v>
      </c>
      <c r="AN195" s="304">
        <v>2.65</v>
      </c>
      <c r="AO195" s="265"/>
      <c r="AP195" s="254">
        <f t="shared" si="87"/>
        <v>0</v>
      </c>
      <c r="AQ195" s="265"/>
      <c r="AR195" s="254">
        <f t="shared" si="88"/>
        <v>0</v>
      </c>
      <c r="AS195" s="261"/>
      <c r="AT195" s="254">
        <f t="shared" si="89"/>
        <v>0</v>
      </c>
      <c r="AU195" s="256"/>
      <c r="AV195" s="257">
        <f t="shared" si="90"/>
        <v>0</v>
      </c>
      <c r="AW195" s="385">
        <v>200</v>
      </c>
      <c r="AX195" s="257">
        <f t="shared" si="91"/>
        <v>550</v>
      </c>
      <c r="AY195" s="389">
        <v>400</v>
      </c>
      <c r="AZ195" s="257">
        <f t="shared" si="92"/>
        <v>1100</v>
      </c>
      <c r="BA195" s="265">
        <v>320</v>
      </c>
      <c r="BB195" s="257">
        <f t="shared" si="93"/>
        <v>880</v>
      </c>
      <c r="BC195" s="265">
        <v>880</v>
      </c>
      <c r="BD195" s="257">
        <f t="shared" si="94"/>
        <v>2420</v>
      </c>
      <c r="BE195" s="271">
        <v>200</v>
      </c>
      <c r="BF195" s="257">
        <f t="shared" si="95"/>
        <v>530</v>
      </c>
      <c r="BG195" s="265">
        <v>777</v>
      </c>
      <c r="BH195" s="257">
        <f t="shared" si="96"/>
        <v>2059.0499999999997</v>
      </c>
      <c r="BI195" s="390">
        <v>1480</v>
      </c>
      <c r="BJ195" s="257">
        <f t="shared" si="97"/>
        <v>3922</v>
      </c>
      <c r="BK195" s="389">
        <v>1775</v>
      </c>
      <c r="BL195" s="257">
        <f t="shared" si="98"/>
        <v>4703.75</v>
      </c>
      <c r="BM195" s="1" t="s">
        <v>664</v>
      </c>
      <c r="BO195" s="1" t="s">
        <v>457</v>
      </c>
      <c r="BP195" s="1" t="s">
        <v>665</v>
      </c>
    </row>
    <row r="196" spans="1:68" ht="15" customHeight="1">
      <c r="A196" s="250" t="s">
        <v>451</v>
      </c>
      <c r="B196" s="59" t="s">
        <v>221</v>
      </c>
      <c r="C196" s="354" t="s">
        <v>172</v>
      </c>
      <c r="D196" s="476"/>
      <c r="E196" s="359" t="s">
        <v>173</v>
      </c>
      <c r="F196" s="421"/>
      <c r="G196" s="317">
        <v>2025</v>
      </c>
      <c r="H196" s="323" t="s">
        <v>659</v>
      </c>
      <c r="I196" s="332" t="s">
        <v>175</v>
      </c>
      <c r="J196" s="331">
        <v>14</v>
      </c>
      <c r="K196" s="323" t="s">
        <v>384</v>
      </c>
      <c r="L196" s="323" t="s">
        <v>344</v>
      </c>
      <c r="M196" s="303" t="s">
        <v>558</v>
      </c>
      <c r="N196" s="303">
        <v>4.5</v>
      </c>
      <c r="O196" s="303">
        <v>5.5</v>
      </c>
      <c r="P196" s="303">
        <v>5.5</v>
      </c>
      <c r="Q196" s="303">
        <v>5.5</v>
      </c>
      <c r="R196" s="303">
        <v>5.5</v>
      </c>
      <c r="S196" s="303">
        <v>5.5</v>
      </c>
      <c r="T196" s="303">
        <v>5.5</v>
      </c>
      <c r="U196" s="303">
        <v>5.5</v>
      </c>
      <c r="V196" s="303">
        <v>5.5</v>
      </c>
      <c r="W196" s="303">
        <v>5.5</v>
      </c>
      <c r="X196" s="303">
        <v>5.5</v>
      </c>
      <c r="Y196" s="303">
        <v>5.5</v>
      </c>
      <c r="Z196" s="303">
        <v>5.5</v>
      </c>
      <c r="AA196" s="303">
        <v>5.5</v>
      </c>
      <c r="AB196" s="59">
        <v>1</v>
      </c>
      <c r="AC196" s="59">
        <v>1</v>
      </c>
      <c r="AD196" s="59">
        <v>1</v>
      </c>
      <c r="AE196" s="59">
        <v>1</v>
      </c>
      <c r="AF196" s="59">
        <v>1</v>
      </c>
      <c r="AG196" s="59">
        <v>1</v>
      </c>
      <c r="AH196" s="59">
        <v>1</v>
      </c>
      <c r="AI196" s="59">
        <v>1</v>
      </c>
      <c r="AJ196" s="59">
        <v>1</v>
      </c>
      <c r="AK196" s="59">
        <v>1.1000000000000001</v>
      </c>
      <c r="AL196" s="59">
        <v>1.1000000000000001</v>
      </c>
      <c r="AM196" s="59">
        <v>1.1000000000000001</v>
      </c>
      <c r="AN196" s="59">
        <v>1.1000000000000001</v>
      </c>
      <c r="AO196" s="265"/>
      <c r="AP196" s="254">
        <f t="shared" si="87"/>
        <v>0</v>
      </c>
      <c r="AQ196" s="265"/>
      <c r="AR196" s="254">
        <f t="shared" si="88"/>
        <v>0</v>
      </c>
      <c r="AS196" s="265"/>
      <c r="AT196" s="254">
        <f t="shared" si="89"/>
        <v>0</v>
      </c>
      <c r="AU196" s="265"/>
      <c r="AV196" s="257">
        <f t="shared" si="90"/>
        <v>0</v>
      </c>
      <c r="AW196" s="385">
        <v>120</v>
      </c>
      <c r="AX196" s="257">
        <f t="shared" si="91"/>
        <v>120</v>
      </c>
      <c r="AY196" s="390">
        <v>967</v>
      </c>
      <c r="AZ196" s="257">
        <f t="shared" si="92"/>
        <v>967</v>
      </c>
      <c r="BA196" s="265">
        <v>560</v>
      </c>
      <c r="BB196" s="257">
        <f t="shared" si="93"/>
        <v>560</v>
      </c>
      <c r="BC196" s="265">
        <v>520</v>
      </c>
      <c r="BD196" s="257">
        <f t="shared" si="94"/>
        <v>520</v>
      </c>
      <c r="BE196" s="271">
        <v>160</v>
      </c>
      <c r="BF196" s="257">
        <f t="shared" si="95"/>
        <v>176</v>
      </c>
      <c r="BG196" s="261"/>
      <c r="BH196" s="257">
        <f t="shared" si="96"/>
        <v>0</v>
      </c>
      <c r="BI196" s="389">
        <v>560</v>
      </c>
      <c r="BJ196" s="257">
        <f t="shared" si="97"/>
        <v>616</v>
      </c>
      <c r="BK196" s="389">
        <v>200</v>
      </c>
      <c r="BL196" s="257">
        <f t="shared" si="98"/>
        <v>220.00000000000003</v>
      </c>
      <c r="BM196" s="1" t="s">
        <v>666</v>
      </c>
      <c r="BO196" s="1" t="s">
        <v>457</v>
      </c>
      <c r="BP196" s="1" t="s">
        <v>667</v>
      </c>
    </row>
    <row r="197" spans="1:68" ht="15" customHeight="1">
      <c r="A197" s="250" t="s">
        <v>451</v>
      </c>
      <c r="B197" s="59" t="s">
        <v>221</v>
      </c>
      <c r="C197" s="354" t="s">
        <v>172</v>
      </c>
      <c r="D197" s="476"/>
      <c r="E197" s="359" t="s">
        <v>173</v>
      </c>
      <c r="F197" s="421"/>
      <c r="G197" s="317">
        <v>2025</v>
      </c>
      <c r="H197" s="323" t="s">
        <v>659</v>
      </c>
      <c r="I197" s="332" t="s">
        <v>359</v>
      </c>
      <c r="J197" s="331">
        <v>14</v>
      </c>
      <c r="K197" s="323" t="s">
        <v>668</v>
      </c>
      <c r="L197" s="323" t="s">
        <v>344</v>
      </c>
      <c r="M197" s="303" t="s">
        <v>558</v>
      </c>
      <c r="N197" s="303">
        <v>7.8</v>
      </c>
      <c r="O197" s="303">
        <v>10.4</v>
      </c>
      <c r="P197" s="303">
        <v>10.55</v>
      </c>
      <c r="Q197" s="303">
        <v>10.55</v>
      </c>
      <c r="R197" s="303">
        <v>10.55</v>
      </c>
      <c r="S197" s="303">
        <v>10.55</v>
      </c>
      <c r="T197" s="303">
        <v>10.55</v>
      </c>
      <c r="U197" s="303">
        <v>10.55</v>
      </c>
      <c r="V197" s="303">
        <v>10.55</v>
      </c>
      <c r="W197" s="303">
        <v>10.55</v>
      </c>
      <c r="X197" s="303">
        <v>10.4</v>
      </c>
      <c r="Y197" s="303">
        <v>10.4</v>
      </c>
      <c r="Z197" s="303">
        <v>10.4</v>
      </c>
      <c r="AA197" s="303">
        <v>10.4</v>
      </c>
      <c r="AB197" s="304">
        <v>2.65</v>
      </c>
      <c r="AC197" s="304">
        <v>2.75</v>
      </c>
      <c r="AD197" s="304">
        <v>2.75</v>
      </c>
      <c r="AE197" s="304">
        <v>2.75</v>
      </c>
      <c r="AF197" s="304">
        <v>2.75</v>
      </c>
      <c r="AG197" s="304">
        <v>2.75</v>
      </c>
      <c r="AH197" s="304">
        <v>2.75</v>
      </c>
      <c r="AI197" s="304">
        <v>2.75</v>
      </c>
      <c r="AJ197" s="304">
        <v>2.75</v>
      </c>
      <c r="AK197" s="304">
        <v>2.65</v>
      </c>
      <c r="AL197" s="304">
        <v>2.65</v>
      </c>
      <c r="AM197" s="304">
        <v>2.65</v>
      </c>
      <c r="AN197" s="304">
        <v>2.65</v>
      </c>
      <c r="AO197" s="265"/>
      <c r="AP197" s="254">
        <f t="shared" si="87"/>
        <v>0</v>
      </c>
      <c r="AQ197" s="265"/>
      <c r="AR197" s="254">
        <f t="shared" si="88"/>
        <v>0</v>
      </c>
      <c r="AS197" s="265"/>
      <c r="AT197" s="254">
        <f t="shared" si="89"/>
        <v>0</v>
      </c>
      <c r="AU197" s="265"/>
      <c r="AV197" s="257">
        <f t="shared" si="90"/>
        <v>0</v>
      </c>
      <c r="AW197" s="385">
        <v>160</v>
      </c>
      <c r="AX197" s="257">
        <f t="shared" si="91"/>
        <v>440</v>
      </c>
      <c r="AY197" s="390">
        <v>120</v>
      </c>
      <c r="AZ197" s="257">
        <f t="shared" si="92"/>
        <v>330</v>
      </c>
      <c r="BA197" s="265">
        <v>200</v>
      </c>
      <c r="BB197" s="257">
        <f t="shared" si="93"/>
        <v>550</v>
      </c>
      <c r="BC197" s="265">
        <v>280</v>
      </c>
      <c r="BD197" s="257">
        <f t="shared" si="94"/>
        <v>770</v>
      </c>
      <c r="BE197" s="265">
        <v>120</v>
      </c>
      <c r="BF197" s="257">
        <f t="shared" si="95"/>
        <v>318</v>
      </c>
      <c r="BG197" s="265">
        <v>320</v>
      </c>
      <c r="BH197" s="257">
        <f t="shared" si="96"/>
        <v>848</v>
      </c>
      <c r="BI197" s="390">
        <v>480</v>
      </c>
      <c r="BJ197" s="257">
        <f t="shared" si="97"/>
        <v>1272</v>
      </c>
      <c r="BK197" s="390">
        <v>418</v>
      </c>
      <c r="BL197" s="257">
        <f t="shared" si="98"/>
        <v>1107.7</v>
      </c>
      <c r="BM197" s="1" t="s">
        <v>669</v>
      </c>
      <c r="BO197" s="1" t="s">
        <v>457</v>
      </c>
      <c r="BP197" s="1" t="s">
        <v>670</v>
      </c>
    </row>
    <row r="198" spans="1:68" ht="15" customHeight="1">
      <c r="A198" s="250" t="s">
        <v>451</v>
      </c>
      <c r="B198" s="59" t="s">
        <v>221</v>
      </c>
      <c r="C198" s="354" t="s">
        <v>172</v>
      </c>
      <c r="D198" s="476"/>
      <c r="E198" s="359" t="s">
        <v>173</v>
      </c>
      <c r="F198" s="421"/>
      <c r="G198" s="317">
        <v>2025</v>
      </c>
      <c r="H198" s="323" t="s">
        <v>671</v>
      </c>
      <c r="I198" s="327" t="s">
        <v>249</v>
      </c>
      <c r="J198" s="331">
        <v>14</v>
      </c>
      <c r="K198" s="323" t="s">
        <v>335</v>
      </c>
      <c r="L198" s="323" t="s">
        <v>382</v>
      </c>
      <c r="M198" s="303" t="s">
        <v>672</v>
      </c>
      <c r="N198" s="303">
        <v>7.4</v>
      </c>
      <c r="O198" s="303">
        <v>8.6999999999999993</v>
      </c>
      <c r="P198" s="303">
        <v>9.5500000000000007</v>
      </c>
      <c r="Q198" s="303">
        <v>9.5500000000000007</v>
      </c>
      <c r="R198" s="303">
        <v>9.5500000000000007</v>
      </c>
      <c r="S198" s="303">
        <v>9.5500000000000007</v>
      </c>
      <c r="T198" s="303">
        <v>9.5500000000000007</v>
      </c>
      <c r="U198" s="303">
        <v>9.5500000000000007</v>
      </c>
      <c r="V198" s="303">
        <v>9.5500000000000007</v>
      </c>
      <c r="W198" s="303">
        <v>9.5500000000000007</v>
      </c>
      <c r="X198" s="303">
        <v>9.4</v>
      </c>
      <c r="Y198" s="303">
        <v>9.4</v>
      </c>
      <c r="Z198" s="303">
        <v>8.6999999999999993</v>
      </c>
      <c r="AA198" s="303">
        <v>8.6999999999999993</v>
      </c>
      <c r="AB198" s="59">
        <v>1.6</v>
      </c>
      <c r="AC198" s="59">
        <v>2.15</v>
      </c>
      <c r="AD198" s="59">
        <v>2.15</v>
      </c>
      <c r="AE198" s="59">
        <v>2.15</v>
      </c>
      <c r="AF198" s="59">
        <v>2.15</v>
      </c>
      <c r="AG198" s="59">
        <v>2.15</v>
      </c>
      <c r="AH198" s="59">
        <v>2.15</v>
      </c>
      <c r="AI198" s="59">
        <v>2.15</v>
      </c>
      <c r="AJ198" s="59">
        <v>2.15</v>
      </c>
      <c r="AK198" s="59">
        <v>2.2000000000000002</v>
      </c>
      <c r="AL198" s="59">
        <v>2.2000000000000002</v>
      </c>
      <c r="AM198" s="59">
        <v>1.6</v>
      </c>
      <c r="AN198" s="59">
        <v>1.6</v>
      </c>
      <c r="AO198" s="265"/>
      <c r="AP198" s="254">
        <f t="shared" si="87"/>
        <v>0</v>
      </c>
      <c r="AQ198" s="265"/>
      <c r="AR198" s="254">
        <f t="shared" si="88"/>
        <v>0</v>
      </c>
      <c r="AS198" s="261"/>
      <c r="AT198" s="254">
        <f t="shared" si="89"/>
        <v>0</v>
      </c>
      <c r="AU198" s="256"/>
      <c r="AV198" s="257">
        <f t="shared" si="90"/>
        <v>0</v>
      </c>
      <c r="AW198" s="385"/>
      <c r="AX198" s="257">
        <f t="shared" si="91"/>
        <v>0</v>
      </c>
      <c r="AY198" s="389"/>
      <c r="AZ198" s="257">
        <f t="shared" si="92"/>
        <v>0</v>
      </c>
      <c r="BA198" s="265">
        <v>2034</v>
      </c>
      <c r="BB198" s="257">
        <f t="shared" si="93"/>
        <v>4373.0999999999995</v>
      </c>
      <c r="BC198" s="265">
        <v>10790</v>
      </c>
      <c r="BD198" s="257">
        <f t="shared" si="94"/>
        <v>23198.5</v>
      </c>
      <c r="BE198" s="271">
        <v>7553</v>
      </c>
      <c r="BF198" s="257">
        <f t="shared" si="95"/>
        <v>16616.600000000002</v>
      </c>
      <c r="BG198" s="265">
        <v>3400</v>
      </c>
      <c r="BH198" s="257">
        <f t="shared" si="96"/>
        <v>7480.0000000000009</v>
      </c>
      <c r="BI198" s="265">
        <v>6840</v>
      </c>
      <c r="BJ198" s="257">
        <f t="shared" si="97"/>
        <v>10944</v>
      </c>
      <c r="BK198" s="390">
        <v>4760</v>
      </c>
      <c r="BL198" s="257">
        <f t="shared" si="98"/>
        <v>7616</v>
      </c>
      <c r="BM198" s="1" t="s">
        <v>673</v>
      </c>
      <c r="BO198" s="1" t="s">
        <v>457</v>
      </c>
      <c r="BP198" s="1" t="s">
        <v>674</v>
      </c>
    </row>
    <row r="199" spans="1:68" ht="15" customHeight="1">
      <c r="A199" s="250" t="s">
        <v>451</v>
      </c>
      <c r="B199" s="59" t="s">
        <v>221</v>
      </c>
      <c r="C199" s="354" t="s">
        <v>172</v>
      </c>
      <c r="D199" s="476"/>
      <c r="E199" s="359" t="s">
        <v>173</v>
      </c>
      <c r="F199" s="421"/>
      <c r="G199" s="317">
        <v>2025</v>
      </c>
      <c r="H199" s="323" t="s">
        <v>671</v>
      </c>
      <c r="I199" s="332" t="s">
        <v>175</v>
      </c>
      <c r="J199" s="331">
        <v>14</v>
      </c>
      <c r="K199" s="323" t="s">
        <v>335</v>
      </c>
      <c r="L199" s="323" t="s">
        <v>382</v>
      </c>
      <c r="M199" s="303" t="s">
        <v>672</v>
      </c>
      <c r="N199" s="303">
        <v>4.5</v>
      </c>
      <c r="O199" s="303">
        <v>5.5</v>
      </c>
      <c r="P199" s="303">
        <v>5.5</v>
      </c>
      <c r="Q199" s="303">
        <v>5.5</v>
      </c>
      <c r="R199" s="303">
        <v>5.5</v>
      </c>
      <c r="S199" s="303">
        <v>5.5</v>
      </c>
      <c r="T199" s="303">
        <v>5.5</v>
      </c>
      <c r="U199" s="303">
        <v>5.5</v>
      </c>
      <c r="V199" s="303">
        <v>5.5</v>
      </c>
      <c r="W199" s="303">
        <v>5.5</v>
      </c>
      <c r="X199" s="303">
        <v>5.5</v>
      </c>
      <c r="Y199" s="303">
        <v>5.5</v>
      </c>
      <c r="Z199" s="303">
        <v>5.5</v>
      </c>
      <c r="AA199" s="303">
        <v>5.5</v>
      </c>
      <c r="AB199" s="59">
        <v>1</v>
      </c>
      <c r="AC199" s="59">
        <v>1</v>
      </c>
      <c r="AD199" s="59">
        <v>1</v>
      </c>
      <c r="AE199" s="59">
        <v>1</v>
      </c>
      <c r="AF199" s="59">
        <v>1</v>
      </c>
      <c r="AG199" s="59">
        <v>1</v>
      </c>
      <c r="AH199" s="59">
        <v>1</v>
      </c>
      <c r="AI199" s="59">
        <v>1</v>
      </c>
      <c r="AJ199" s="59">
        <v>1</v>
      </c>
      <c r="AK199" s="59">
        <v>1.1000000000000001</v>
      </c>
      <c r="AL199" s="59">
        <v>1.1000000000000001</v>
      </c>
      <c r="AM199" s="59">
        <v>1.1000000000000001</v>
      </c>
      <c r="AN199" s="59">
        <v>1.1000000000000001</v>
      </c>
      <c r="AO199" s="265"/>
      <c r="AP199" s="254">
        <f t="shared" si="87"/>
        <v>0</v>
      </c>
      <c r="AQ199" s="265"/>
      <c r="AR199" s="254">
        <f t="shared" si="88"/>
        <v>0</v>
      </c>
      <c r="AS199" s="261"/>
      <c r="AT199" s="254">
        <f t="shared" si="89"/>
        <v>0</v>
      </c>
      <c r="AU199" s="256"/>
      <c r="AV199" s="257">
        <f t="shared" si="90"/>
        <v>0</v>
      </c>
      <c r="AW199" s="382"/>
      <c r="AX199" s="257">
        <f t="shared" si="91"/>
        <v>0</v>
      </c>
      <c r="AY199" s="268"/>
      <c r="AZ199" s="257">
        <f t="shared" si="92"/>
        <v>0</v>
      </c>
      <c r="BA199" s="270">
        <v>1000</v>
      </c>
      <c r="BB199" s="257">
        <f t="shared" si="93"/>
        <v>1000</v>
      </c>
      <c r="BC199" s="270">
        <v>2000</v>
      </c>
      <c r="BD199" s="257">
        <f t="shared" si="94"/>
        <v>2000</v>
      </c>
      <c r="BE199" s="270">
        <v>3080</v>
      </c>
      <c r="BF199" s="257">
        <f t="shared" si="95"/>
        <v>3388.0000000000005</v>
      </c>
      <c r="BG199" s="270">
        <v>40</v>
      </c>
      <c r="BH199" s="257">
        <f t="shared" si="96"/>
        <v>44</v>
      </c>
      <c r="BI199" s="268">
        <v>3040</v>
      </c>
      <c r="BJ199" s="257">
        <f t="shared" si="97"/>
        <v>3344.0000000000005</v>
      </c>
      <c r="BK199" s="268">
        <v>3080</v>
      </c>
      <c r="BL199" s="257">
        <f t="shared" si="98"/>
        <v>3388.0000000000005</v>
      </c>
      <c r="BM199" s="1" t="s">
        <v>675</v>
      </c>
      <c r="BO199" s="1" t="s">
        <v>457</v>
      </c>
      <c r="BP199" s="1" t="s">
        <v>674</v>
      </c>
    </row>
    <row r="200" spans="1:68" ht="15" customHeight="1">
      <c r="A200" s="250"/>
      <c r="C200" s="354"/>
      <c r="D200" s="476"/>
      <c r="E200" s="359"/>
      <c r="F200" s="421"/>
      <c r="G200" s="317"/>
      <c r="H200" s="323"/>
      <c r="I200" s="327"/>
      <c r="J200" s="331"/>
      <c r="K200" s="323"/>
      <c r="L200" s="32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303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265"/>
      <c r="AP200" s="254">
        <f t="shared" si="87"/>
        <v>0</v>
      </c>
      <c r="AQ200" s="265"/>
      <c r="AR200" s="254">
        <f t="shared" si="88"/>
        <v>0</v>
      </c>
      <c r="AS200" s="265"/>
      <c r="AT200" s="254">
        <f t="shared" si="89"/>
        <v>0</v>
      </c>
      <c r="AU200" s="265"/>
      <c r="AV200" s="257">
        <f t="shared" si="90"/>
        <v>0</v>
      </c>
      <c r="AW200" s="385"/>
      <c r="AX200" s="257">
        <f t="shared" si="91"/>
        <v>0</v>
      </c>
      <c r="AY200" s="268"/>
      <c r="AZ200" s="257">
        <f t="shared" si="92"/>
        <v>0</v>
      </c>
      <c r="BA200" s="270"/>
      <c r="BB200" s="257">
        <f t="shared" si="93"/>
        <v>0</v>
      </c>
      <c r="BC200" s="268"/>
      <c r="BD200" s="257">
        <f t="shared" si="94"/>
        <v>0</v>
      </c>
      <c r="BE200" s="268"/>
      <c r="BF200" s="257">
        <f t="shared" si="95"/>
        <v>0</v>
      </c>
      <c r="BG200" s="268"/>
      <c r="BH200" s="257">
        <f t="shared" si="96"/>
        <v>0</v>
      </c>
      <c r="BI200" s="268"/>
      <c r="BJ200" s="257">
        <f t="shared" si="97"/>
        <v>0</v>
      </c>
      <c r="BK200" s="268"/>
      <c r="BL200" s="257">
        <f t="shared" si="98"/>
        <v>0</v>
      </c>
    </row>
    <row r="201" spans="1:68" ht="15" customHeight="1">
      <c r="A201" s="250"/>
      <c r="C201" s="354"/>
      <c r="D201" s="476"/>
      <c r="E201" s="359"/>
      <c r="F201" s="421"/>
      <c r="G201" s="317"/>
      <c r="H201" s="323"/>
      <c r="I201" s="327"/>
      <c r="J201" s="331"/>
      <c r="K201" s="323"/>
      <c r="L201" s="32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3"/>
      <c r="Y201" s="303"/>
      <c r="Z201" s="303"/>
      <c r="AA201" s="303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265"/>
      <c r="AP201" s="254">
        <f t="shared" si="87"/>
        <v>0</v>
      </c>
      <c r="AQ201" s="265"/>
      <c r="AR201" s="254">
        <f t="shared" si="88"/>
        <v>0</v>
      </c>
      <c r="AS201" s="265"/>
      <c r="AT201" s="254">
        <f t="shared" si="89"/>
        <v>0</v>
      </c>
      <c r="AU201" s="265"/>
      <c r="AV201" s="257">
        <f t="shared" si="90"/>
        <v>0</v>
      </c>
      <c r="AW201" s="385"/>
      <c r="AX201" s="257">
        <f t="shared" si="91"/>
        <v>0</v>
      </c>
      <c r="AY201" s="390"/>
      <c r="AZ201" s="257">
        <f t="shared" si="92"/>
        <v>0</v>
      </c>
      <c r="BA201" s="265"/>
      <c r="BB201" s="257">
        <f t="shared" si="93"/>
        <v>0</v>
      </c>
      <c r="BC201" s="265"/>
      <c r="BD201" s="257">
        <f t="shared" si="94"/>
        <v>0</v>
      </c>
      <c r="BE201" s="265"/>
      <c r="BF201" s="257">
        <f t="shared" si="95"/>
        <v>0</v>
      </c>
      <c r="BG201" s="265"/>
      <c r="BH201" s="257">
        <f t="shared" si="96"/>
        <v>0</v>
      </c>
      <c r="BI201" s="265"/>
      <c r="BJ201" s="257">
        <f t="shared" si="97"/>
        <v>0</v>
      </c>
      <c r="BK201" s="265"/>
      <c r="BL201" s="257">
        <f t="shared" si="98"/>
        <v>0</v>
      </c>
    </row>
    <row r="202" spans="1:68" ht="16.5" customHeight="1">
      <c r="A202" s="250"/>
      <c r="C202" s="354"/>
      <c r="D202" s="476"/>
      <c r="E202" s="359"/>
      <c r="F202" s="421"/>
      <c r="G202" s="317"/>
      <c r="H202" s="323"/>
      <c r="I202" s="332"/>
      <c r="J202" s="331"/>
      <c r="K202" s="323"/>
      <c r="L202" s="323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  <c r="X202" s="303"/>
      <c r="Y202" s="303"/>
      <c r="Z202" s="303"/>
      <c r="AA202" s="303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265"/>
      <c r="AP202" s="254">
        <f t="shared" si="87"/>
        <v>0</v>
      </c>
      <c r="AQ202" s="265"/>
      <c r="AR202" s="254">
        <f t="shared" si="88"/>
        <v>0</v>
      </c>
      <c r="AS202" s="265"/>
      <c r="AT202" s="254">
        <f t="shared" si="89"/>
        <v>0</v>
      </c>
      <c r="AU202" s="265"/>
      <c r="AV202" s="257">
        <f t="shared" si="90"/>
        <v>0</v>
      </c>
      <c r="AW202" s="385"/>
      <c r="AX202" s="257">
        <f t="shared" si="91"/>
        <v>0</v>
      </c>
      <c r="AY202" s="390"/>
      <c r="AZ202" s="257">
        <f t="shared" si="92"/>
        <v>0</v>
      </c>
      <c r="BA202" s="265"/>
      <c r="BB202" s="257">
        <f t="shared" si="93"/>
        <v>0</v>
      </c>
      <c r="BC202" s="265"/>
      <c r="BD202" s="257">
        <f t="shared" si="94"/>
        <v>0</v>
      </c>
      <c r="BE202" s="265"/>
      <c r="BF202" s="257">
        <f t="shared" si="95"/>
        <v>0</v>
      </c>
      <c r="BG202" s="265"/>
      <c r="BH202" s="257">
        <f t="shared" si="96"/>
        <v>0</v>
      </c>
      <c r="BI202" s="265"/>
      <c r="BJ202" s="257">
        <f t="shared" si="97"/>
        <v>0</v>
      </c>
      <c r="BK202" s="265"/>
      <c r="BL202" s="257">
        <f t="shared" si="98"/>
        <v>0</v>
      </c>
    </row>
    <row r="203" spans="1:68" ht="16.5" customHeight="1">
      <c r="A203" s="250"/>
      <c r="C203" s="354"/>
      <c r="D203" s="476"/>
      <c r="E203" s="359"/>
      <c r="F203" s="421"/>
      <c r="G203" s="59"/>
      <c r="H203" s="333"/>
      <c r="I203" s="333"/>
      <c r="J203" s="334"/>
      <c r="K203" s="333"/>
      <c r="L203" s="333"/>
      <c r="M203" s="303"/>
      <c r="N203" s="303"/>
      <c r="O203" s="303"/>
      <c r="P203" s="303"/>
      <c r="Q203" s="303"/>
      <c r="R203" s="303"/>
      <c r="S203" s="303"/>
      <c r="T203" s="303"/>
      <c r="U203" s="303"/>
      <c r="V203" s="303"/>
      <c r="W203" s="303"/>
      <c r="X203" s="303"/>
      <c r="Y203" s="303"/>
      <c r="Z203" s="303"/>
      <c r="AA203" s="303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255"/>
      <c r="AP203" s="254">
        <f t="shared" si="75"/>
        <v>0</v>
      </c>
      <c r="AQ203" s="264"/>
      <c r="AR203" s="254">
        <f t="shared" si="76"/>
        <v>0</v>
      </c>
      <c r="AS203" s="261"/>
      <c r="AT203" s="254">
        <f t="shared" si="77"/>
        <v>0</v>
      </c>
      <c r="AU203" s="256"/>
      <c r="AV203" s="257">
        <f t="shared" si="78"/>
        <v>0</v>
      </c>
      <c r="AW203" s="382"/>
      <c r="AX203" s="257">
        <f t="shared" si="79"/>
        <v>0</v>
      </c>
      <c r="AY203" s="268"/>
      <c r="AZ203" s="257">
        <f t="shared" si="80"/>
        <v>0</v>
      </c>
      <c r="BA203" s="268"/>
      <c r="BB203" s="257">
        <f t="shared" si="81"/>
        <v>0</v>
      </c>
      <c r="BC203" s="268"/>
      <c r="BD203" s="257">
        <f t="shared" si="82"/>
        <v>0</v>
      </c>
      <c r="BE203" s="268"/>
      <c r="BF203" s="257">
        <f t="shared" si="83"/>
        <v>0</v>
      </c>
      <c r="BG203" s="59"/>
      <c r="BH203" s="257">
        <f t="shared" si="84"/>
        <v>0</v>
      </c>
      <c r="BI203" s="268"/>
      <c r="BJ203" s="257">
        <f t="shared" si="85"/>
        <v>0</v>
      </c>
      <c r="BK203" s="268"/>
      <c r="BL203" s="257">
        <f t="shared" si="86"/>
        <v>0</v>
      </c>
    </row>
    <row r="204" spans="1:68" ht="15" customHeight="1">
      <c r="A204" s="250" t="s">
        <v>451</v>
      </c>
      <c r="B204" s="59" t="s">
        <v>221</v>
      </c>
      <c r="C204" s="354" t="s">
        <v>172</v>
      </c>
      <c r="D204" s="476"/>
      <c r="E204" s="359" t="s">
        <v>173</v>
      </c>
      <c r="F204" s="421" t="s">
        <v>77</v>
      </c>
      <c r="G204" s="317">
        <v>2023</v>
      </c>
      <c r="H204" s="298" t="s">
        <v>385</v>
      </c>
      <c r="I204" s="330" t="s">
        <v>359</v>
      </c>
      <c r="J204" s="337">
        <v>14</v>
      </c>
      <c r="K204" s="59" t="s">
        <v>266</v>
      </c>
      <c r="L204" s="298" t="s">
        <v>336</v>
      </c>
      <c r="M204" s="303" t="s">
        <v>541</v>
      </c>
      <c r="N204" s="303">
        <v>10.199999999999999</v>
      </c>
      <c r="O204" s="303">
        <v>13</v>
      </c>
      <c r="P204" s="303">
        <v>13</v>
      </c>
      <c r="Q204" s="303">
        <v>13</v>
      </c>
      <c r="R204" s="303">
        <v>13</v>
      </c>
      <c r="S204" s="303">
        <v>13</v>
      </c>
      <c r="T204" s="303">
        <v>13</v>
      </c>
      <c r="U204" s="303">
        <v>13</v>
      </c>
      <c r="V204" s="303">
        <v>13</v>
      </c>
      <c r="W204" s="303">
        <v>13</v>
      </c>
      <c r="X204" s="303">
        <v>13</v>
      </c>
      <c r="Y204" s="303">
        <v>13</v>
      </c>
      <c r="Z204" s="303">
        <v>13</v>
      </c>
      <c r="AA204" s="303">
        <v>13</v>
      </c>
      <c r="AB204" s="59">
        <v>2.8</v>
      </c>
      <c r="AC204" s="59">
        <v>2.8</v>
      </c>
      <c r="AD204" s="59">
        <v>2.8</v>
      </c>
      <c r="AE204" s="59">
        <v>2.8</v>
      </c>
      <c r="AF204" s="59">
        <v>2.8</v>
      </c>
      <c r="AG204" s="59">
        <v>2.8</v>
      </c>
      <c r="AH204" s="59">
        <v>2.8</v>
      </c>
      <c r="AI204" s="59">
        <v>2.8</v>
      </c>
      <c r="AJ204" s="59">
        <v>2.8</v>
      </c>
      <c r="AK204" s="59">
        <v>2.8</v>
      </c>
      <c r="AL204" s="59">
        <v>2.8</v>
      </c>
      <c r="AM204" s="59">
        <v>2.8</v>
      </c>
      <c r="AN204" s="59">
        <v>2.8</v>
      </c>
      <c r="AO204" s="255">
        <v>280</v>
      </c>
      <c r="AP204" s="254">
        <f t="shared" si="75"/>
        <v>784</v>
      </c>
      <c r="AQ204" s="255">
        <v>400</v>
      </c>
      <c r="AR204" s="254">
        <f t="shared" si="76"/>
        <v>1120</v>
      </c>
      <c r="AS204" s="255"/>
      <c r="AT204" s="254">
        <f t="shared" si="77"/>
        <v>0</v>
      </c>
      <c r="AU204" s="255"/>
      <c r="AV204" s="257">
        <f t="shared" si="78"/>
        <v>0</v>
      </c>
      <c r="AW204" s="381"/>
      <c r="AX204" s="257">
        <f t="shared" si="79"/>
        <v>0</v>
      </c>
      <c r="AY204" s="388"/>
      <c r="AZ204" s="257">
        <f t="shared" si="80"/>
        <v>0</v>
      </c>
      <c r="BA204" s="255"/>
      <c r="BB204" s="257">
        <f t="shared" si="81"/>
        <v>0</v>
      </c>
      <c r="BC204" s="255"/>
      <c r="BD204" s="257">
        <f t="shared" si="82"/>
        <v>0</v>
      </c>
      <c r="BE204" s="255"/>
      <c r="BF204" s="257">
        <f t="shared" si="83"/>
        <v>0</v>
      </c>
      <c r="BG204" s="255"/>
      <c r="BH204" s="257">
        <f t="shared" si="84"/>
        <v>0</v>
      </c>
      <c r="BI204" s="255"/>
      <c r="BJ204" s="257">
        <f t="shared" si="85"/>
        <v>0</v>
      </c>
      <c r="BK204" s="255"/>
      <c r="BL204" s="257">
        <f t="shared" si="86"/>
        <v>0</v>
      </c>
      <c r="BM204" s="1" t="s">
        <v>676</v>
      </c>
      <c r="BO204" s="1" t="s">
        <v>457</v>
      </c>
      <c r="BP204" s="1" t="s">
        <v>677</v>
      </c>
    </row>
    <row r="205" spans="1:68" ht="15.75" customHeight="1">
      <c r="A205" s="250" t="s">
        <v>451</v>
      </c>
      <c r="B205" s="59" t="s">
        <v>221</v>
      </c>
      <c r="C205" s="354" t="s">
        <v>172</v>
      </c>
      <c r="D205" s="476"/>
      <c r="E205" s="359" t="s">
        <v>173</v>
      </c>
      <c r="F205" s="421"/>
      <c r="G205" s="317">
        <v>2023</v>
      </c>
      <c r="H205" s="298" t="s">
        <v>385</v>
      </c>
      <c r="I205" s="330" t="s">
        <v>359</v>
      </c>
      <c r="J205" s="337">
        <v>14</v>
      </c>
      <c r="K205" s="59" t="s">
        <v>678</v>
      </c>
      <c r="L205" s="59" t="s">
        <v>336</v>
      </c>
      <c r="M205" s="303" t="s">
        <v>541</v>
      </c>
      <c r="N205" s="303">
        <v>9.5</v>
      </c>
      <c r="O205" s="303">
        <v>12</v>
      </c>
      <c r="P205" s="303">
        <v>12</v>
      </c>
      <c r="Q205" s="303">
        <v>12</v>
      </c>
      <c r="R205" s="303">
        <v>12</v>
      </c>
      <c r="S205" s="303">
        <v>12</v>
      </c>
      <c r="T205" s="303">
        <v>12</v>
      </c>
      <c r="U205" s="303">
        <v>12</v>
      </c>
      <c r="V205" s="303">
        <v>12</v>
      </c>
      <c r="W205" s="303">
        <v>12</v>
      </c>
      <c r="X205" s="303">
        <v>12</v>
      </c>
      <c r="Y205" s="303">
        <v>12</v>
      </c>
      <c r="Z205" s="303">
        <v>12</v>
      </c>
      <c r="AA205" s="303">
        <v>12</v>
      </c>
      <c r="AB205" s="59">
        <v>2.5</v>
      </c>
      <c r="AC205" s="59">
        <v>2.5</v>
      </c>
      <c r="AD205" s="59">
        <v>2.5</v>
      </c>
      <c r="AE205" s="59">
        <v>2.5</v>
      </c>
      <c r="AF205" s="59">
        <v>2.5</v>
      </c>
      <c r="AG205" s="59">
        <v>2.5</v>
      </c>
      <c r="AH205" s="59">
        <v>2.5</v>
      </c>
      <c r="AI205" s="59">
        <v>2.5</v>
      </c>
      <c r="AJ205" s="59">
        <v>2.5</v>
      </c>
      <c r="AK205" s="59">
        <v>2.5</v>
      </c>
      <c r="AL205" s="59">
        <v>2.5</v>
      </c>
      <c r="AM205" s="59">
        <v>2.5</v>
      </c>
      <c r="AN205" s="59">
        <v>2.5</v>
      </c>
      <c r="AO205" s="255">
        <v>2760</v>
      </c>
      <c r="AP205" s="254">
        <f t="shared" si="75"/>
        <v>6900</v>
      </c>
      <c r="AQ205" s="255">
        <v>3240</v>
      </c>
      <c r="AR205" s="254">
        <f t="shared" si="76"/>
        <v>8100</v>
      </c>
      <c r="AS205" s="261">
        <v>3160</v>
      </c>
      <c r="AT205" s="254">
        <f t="shared" si="77"/>
        <v>7900</v>
      </c>
      <c r="AU205" s="256">
        <v>2080</v>
      </c>
      <c r="AV205" s="257">
        <f t="shared" si="78"/>
        <v>5200</v>
      </c>
      <c r="AW205" s="382">
        <v>1600</v>
      </c>
      <c r="AX205" s="257">
        <f t="shared" si="79"/>
        <v>4000</v>
      </c>
      <c r="AY205" s="268">
        <v>200</v>
      </c>
      <c r="AZ205" s="257">
        <f t="shared" si="80"/>
        <v>500</v>
      </c>
      <c r="BA205" s="268">
        <v>600</v>
      </c>
      <c r="BB205" s="257">
        <f t="shared" si="81"/>
        <v>1500</v>
      </c>
      <c r="BC205" s="268">
        <v>1120</v>
      </c>
      <c r="BD205" s="257">
        <f t="shared" si="82"/>
        <v>2800</v>
      </c>
      <c r="BE205" s="268">
        <v>560</v>
      </c>
      <c r="BF205" s="257">
        <f t="shared" si="83"/>
        <v>1400</v>
      </c>
      <c r="BG205" s="268">
        <v>200</v>
      </c>
      <c r="BH205" s="257">
        <f t="shared" si="84"/>
        <v>500</v>
      </c>
      <c r="BI205" s="268">
        <v>40</v>
      </c>
      <c r="BJ205" s="257">
        <f t="shared" si="85"/>
        <v>100</v>
      </c>
      <c r="BK205" s="268">
        <v>480</v>
      </c>
      <c r="BL205" s="257">
        <f t="shared" si="86"/>
        <v>1200</v>
      </c>
      <c r="BM205" s="1" t="s">
        <v>679</v>
      </c>
      <c r="BO205" s="1" t="s">
        <v>457</v>
      </c>
      <c r="BP205" s="1" t="s">
        <v>680</v>
      </c>
    </row>
    <row r="206" spans="1:68" ht="15.75" customHeight="1">
      <c r="A206" s="250" t="s">
        <v>451</v>
      </c>
      <c r="B206" s="59" t="s">
        <v>221</v>
      </c>
      <c r="C206" s="354" t="s">
        <v>172</v>
      </c>
      <c r="D206" s="476"/>
      <c r="E206" s="359" t="s">
        <v>173</v>
      </c>
      <c r="F206" s="421"/>
      <c r="G206" s="317">
        <v>2023</v>
      </c>
      <c r="H206" s="298" t="s">
        <v>385</v>
      </c>
      <c r="I206" s="330" t="s">
        <v>359</v>
      </c>
      <c r="J206" s="337">
        <v>14</v>
      </c>
      <c r="K206" s="59" t="s">
        <v>681</v>
      </c>
      <c r="L206" s="59" t="s">
        <v>336</v>
      </c>
      <c r="M206" s="303" t="s">
        <v>541</v>
      </c>
      <c r="N206" s="303">
        <v>9.5</v>
      </c>
      <c r="O206" s="303">
        <v>12</v>
      </c>
      <c r="P206" s="303">
        <v>12</v>
      </c>
      <c r="Q206" s="303">
        <v>12</v>
      </c>
      <c r="R206" s="303">
        <v>12</v>
      </c>
      <c r="S206" s="303">
        <v>12</v>
      </c>
      <c r="T206" s="303">
        <v>12</v>
      </c>
      <c r="U206" s="303">
        <v>12</v>
      </c>
      <c r="V206" s="303">
        <v>12</v>
      </c>
      <c r="W206" s="303">
        <v>12</v>
      </c>
      <c r="X206" s="303">
        <v>12</v>
      </c>
      <c r="Y206" s="303">
        <v>12</v>
      </c>
      <c r="Z206" s="303">
        <v>12</v>
      </c>
      <c r="AA206" s="303">
        <v>12</v>
      </c>
      <c r="AB206" s="59">
        <v>2.5</v>
      </c>
      <c r="AC206" s="59">
        <v>2.5</v>
      </c>
      <c r="AD206" s="59">
        <v>2.5</v>
      </c>
      <c r="AE206" s="59">
        <v>2.5</v>
      </c>
      <c r="AF206" s="59">
        <v>2.5</v>
      </c>
      <c r="AG206" s="59">
        <v>2.5</v>
      </c>
      <c r="AH206" s="59">
        <v>2.5</v>
      </c>
      <c r="AI206" s="59">
        <v>2.5</v>
      </c>
      <c r="AJ206" s="59">
        <v>2.5</v>
      </c>
      <c r="AK206" s="59">
        <v>2.5</v>
      </c>
      <c r="AL206" s="59">
        <v>2.5</v>
      </c>
      <c r="AM206" s="59">
        <v>2.5</v>
      </c>
      <c r="AN206" s="59">
        <v>2.5</v>
      </c>
      <c r="AO206" s="255">
        <v>880</v>
      </c>
      <c r="AP206" s="254">
        <f t="shared" si="75"/>
        <v>2200</v>
      </c>
      <c r="AQ206" s="255">
        <v>1320</v>
      </c>
      <c r="AR206" s="254">
        <f t="shared" si="76"/>
        <v>3300</v>
      </c>
      <c r="AS206" s="261">
        <v>1140</v>
      </c>
      <c r="AT206" s="254">
        <f t="shared" si="77"/>
        <v>2850</v>
      </c>
      <c r="AU206" s="256">
        <v>160</v>
      </c>
      <c r="AV206" s="257">
        <f t="shared" si="78"/>
        <v>400</v>
      </c>
      <c r="AW206" s="382">
        <v>320</v>
      </c>
      <c r="AX206" s="257">
        <f t="shared" si="79"/>
        <v>800</v>
      </c>
      <c r="AY206" s="268">
        <v>400</v>
      </c>
      <c r="AZ206" s="257">
        <f t="shared" si="80"/>
        <v>1000</v>
      </c>
      <c r="BA206" s="268">
        <v>200</v>
      </c>
      <c r="BB206" s="257">
        <f t="shared" si="81"/>
        <v>500</v>
      </c>
      <c r="BC206" s="268">
        <v>360</v>
      </c>
      <c r="BD206" s="257">
        <f t="shared" si="82"/>
        <v>900</v>
      </c>
      <c r="BE206" s="268">
        <v>200</v>
      </c>
      <c r="BF206" s="257">
        <f t="shared" si="83"/>
        <v>500</v>
      </c>
      <c r="BG206" s="268"/>
      <c r="BH206" s="257">
        <f t="shared" si="84"/>
        <v>0</v>
      </c>
      <c r="BI206" s="268"/>
      <c r="BJ206" s="257">
        <f t="shared" si="85"/>
        <v>0</v>
      </c>
      <c r="BK206" s="268"/>
      <c r="BL206" s="257">
        <f t="shared" si="86"/>
        <v>0</v>
      </c>
      <c r="BM206" s="1" t="s">
        <v>682</v>
      </c>
      <c r="BO206" s="1" t="s">
        <v>457</v>
      </c>
      <c r="BP206" s="1" t="s">
        <v>683</v>
      </c>
    </row>
    <row r="207" spans="1:68" ht="21" customHeight="1">
      <c r="A207" s="250" t="s">
        <v>451</v>
      </c>
      <c r="B207" s="59" t="s">
        <v>221</v>
      </c>
      <c r="C207" s="354" t="s">
        <v>172</v>
      </c>
      <c r="D207" s="476"/>
      <c r="E207" s="359" t="s">
        <v>173</v>
      </c>
      <c r="F207" s="417" t="s">
        <v>267</v>
      </c>
      <c r="G207" s="317">
        <v>2023</v>
      </c>
      <c r="H207" s="335" t="s">
        <v>391</v>
      </c>
      <c r="I207" s="332" t="s">
        <v>249</v>
      </c>
      <c r="J207" s="337">
        <v>15</v>
      </c>
      <c r="K207" s="335" t="s">
        <v>378</v>
      </c>
      <c r="L207" s="323" t="s">
        <v>389</v>
      </c>
      <c r="M207" s="303" t="s">
        <v>654</v>
      </c>
      <c r="N207" s="303">
        <v>9.65</v>
      </c>
      <c r="O207" s="303">
        <v>12.4</v>
      </c>
      <c r="P207" s="303">
        <v>12.4</v>
      </c>
      <c r="Q207" s="303">
        <v>12.4</v>
      </c>
      <c r="R207" s="303">
        <v>12.4</v>
      </c>
      <c r="S207" s="303">
        <v>12.4</v>
      </c>
      <c r="T207" s="303">
        <v>12.4</v>
      </c>
      <c r="U207" s="303">
        <v>12.4</v>
      </c>
      <c r="V207" s="303">
        <v>12.4</v>
      </c>
      <c r="W207" s="303">
        <v>12.4</v>
      </c>
      <c r="X207" s="303">
        <v>12.4</v>
      </c>
      <c r="Y207" s="303">
        <v>12.4</v>
      </c>
      <c r="Z207" s="303">
        <v>12.4</v>
      </c>
      <c r="AA207" s="303">
        <v>12.4</v>
      </c>
      <c r="AB207" s="304">
        <v>1.2</v>
      </c>
      <c r="AC207" s="304">
        <v>1.2</v>
      </c>
      <c r="AD207" s="304">
        <v>1.2</v>
      </c>
      <c r="AE207" s="304">
        <v>1.2</v>
      </c>
      <c r="AF207" s="304">
        <v>1.2</v>
      </c>
      <c r="AG207" s="304">
        <v>1.2</v>
      </c>
      <c r="AH207" s="304">
        <v>1.2</v>
      </c>
      <c r="AI207" s="304">
        <v>1.2</v>
      </c>
      <c r="AJ207" s="304">
        <v>1.2</v>
      </c>
      <c r="AK207" s="304">
        <v>1.2</v>
      </c>
      <c r="AL207" s="304">
        <v>1.2</v>
      </c>
      <c r="AM207" s="304">
        <v>1.2</v>
      </c>
      <c r="AN207" s="304">
        <v>1.2</v>
      </c>
      <c r="AO207" s="263"/>
      <c r="AP207" s="254">
        <f t="shared" ref="AP207:AP211" si="99">AC207*AO207</f>
        <v>0</v>
      </c>
      <c r="AQ207" s="263">
        <v>120</v>
      </c>
      <c r="AR207" s="254">
        <f t="shared" ref="AR207:AR209" si="100">AD207*AQ207</f>
        <v>144</v>
      </c>
      <c r="AS207" s="263"/>
      <c r="AT207" s="254">
        <f t="shared" ref="AT207:AT212" si="101">AE207*AS207</f>
        <v>0</v>
      </c>
      <c r="AU207" s="263"/>
      <c r="AV207" s="257">
        <f t="shared" ref="AV207:AV212" si="102">AF207*AU207</f>
        <v>0</v>
      </c>
      <c r="AW207" s="384"/>
      <c r="AX207" s="257">
        <f t="shared" ref="AX207:AX212" si="103">AG207*AW207</f>
        <v>0</v>
      </c>
      <c r="AY207" s="391">
        <v>40</v>
      </c>
      <c r="AZ207" s="257">
        <f t="shared" ref="AZ207:AZ212" si="104">AH207*AY207</f>
        <v>48</v>
      </c>
      <c r="BA207" s="263"/>
      <c r="BB207" s="257">
        <f t="shared" ref="BB207:BB209" si="105">AI207*BA207</f>
        <v>0</v>
      </c>
      <c r="BC207" s="263"/>
      <c r="BD207" s="257">
        <f t="shared" ref="BD207:BD211" si="106">AJ207*BC207</f>
        <v>0</v>
      </c>
      <c r="BE207" s="263"/>
      <c r="BF207" s="257">
        <f t="shared" ref="BF207:BF212" si="107">AK207*BE207</f>
        <v>0</v>
      </c>
      <c r="BG207" s="263"/>
      <c r="BH207" s="257">
        <f t="shared" ref="BH207:BH212" si="108">AL207*BG207</f>
        <v>0</v>
      </c>
      <c r="BI207" s="263"/>
      <c r="BJ207" s="257">
        <f t="shared" ref="BJ207:BJ211" si="109">AM207*BI207</f>
        <v>0</v>
      </c>
      <c r="BK207" s="263"/>
      <c r="BL207" s="257">
        <f t="shared" ref="BL207:BL211" si="110">AN207*BK207</f>
        <v>0</v>
      </c>
      <c r="BM207" s="1" t="s">
        <v>684</v>
      </c>
      <c r="BO207" s="1" t="s">
        <v>457</v>
      </c>
      <c r="BP207" s="1" t="s">
        <v>685</v>
      </c>
    </row>
    <row r="208" spans="1:68" ht="15.75" customHeight="1">
      <c r="A208" s="250" t="s">
        <v>451</v>
      </c>
      <c r="B208" s="59" t="s">
        <v>221</v>
      </c>
      <c r="C208" s="354" t="s">
        <v>172</v>
      </c>
      <c r="D208" s="476"/>
      <c r="E208" s="359" t="s">
        <v>173</v>
      </c>
      <c r="F208" s="417"/>
      <c r="G208" s="317">
        <v>2023</v>
      </c>
      <c r="H208" s="335" t="s">
        <v>391</v>
      </c>
      <c r="I208" s="332" t="s">
        <v>249</v>
      </c>
      <c r="J208" s="337">
        <v>15</v>
      </c>
      <c r="K208" s="335" t="s">
        <v>678</v>
      </c>
      <c r="L208" s="323" t="s">
        <v>389</v>
      </c>
      <c r="M208" s="303" t="s">
        <v>654</v>
      </c>
      <c r="N208" s="303">
        <v>9.65</v>
      </c>
      <c r="O208" s="303">
        <v>12.4</v>
      </c>
      <c r="P208" s="303">
        <v>12.4</v>
      </c>
      <c r="Q208" s="303">
        <v>12.4</v>
      </c>
      <c r="R208" s="303">
        <v>12.4</v>
      </c>
      <c r="S208" s="303">
        <v>12.4</v>
      </c>
      <c r="T208" s="303">
        <v>12.4</v>
      </c>
      <c r="U208" s="303">
        <v>12.4</v>
      </c>
      <c r="V208" s="303">
        <v>12.4</v>
      </c>
      <c r="W208" s="303">
        <v>12.4</v>
      </c>
      <c r="X208" s="303">
        <v>12.4</v>
      </c>
      <c r="Y208" s="303">
        <v>12.4</v>
      </c>
      <c r="Z208" s="303">
        <v>12.4</v>
      </c>
      <c r="AA208" s="303">
        <v>12.4</v>
      </c>
      <c r="AB208" s="304">
        <v>1.2</v>
      </c>
      <c r="AC208" s="304">
        <v>1.2</v>
      </c>
      <c r="AD208" s="304">
        <v>1.2</v>
      </c>
      <c r="AE208" s="304">
        <v>1.2</v>
      </c>
      <c r="AF208" s="304">
        <v>1.2</v>
      </c>
      <c r="AG208" s="304">
        <v>1.2</v>
      </c>
      <c r="AH208" s="304">
        <v>1.2</v>
      </c>
      <c r="AI208" s="304">
        <v>1.2</v>
      </c>
      <c r="AJ208" s="304">
        <v>1.2</v>
      </c>
      <c r="AK208" s="304">
        <v>1.2</v>
      </c>
      <c r="AL208" s="304">
        <v>1.2</v>
      </c>
      <c r="AM208" s="304">
        <v>1.2</v>
      </c>
      <c r="AN208" s="304">
        <v>1.2</v>
      </c>
      <c r="AO208" s="263"/>
      <c r="AP208" s="254">
        <f t="shared" si="99"/>
        <v>0</v>
      </c>
      <c r="AQ208" s="263">
        <v>80</v>
      </c>
      <c r="AR208" s="254">
        <f t="shared" si="100"/>
        <v>96</v>
      </c>
      <c r="AS208" s="265">
        <v>40</v>
      </c>
      <c r="AT208" s="254">
        <f t="shared" si="101"/>
        <v>48</v>
      </c>
      <c r="AU208" s="256"/>
      <c r="AV208" s="257">
        <f t="shared" si="102"/>
        <v>0</v>
      </c>
      <c r="AW208" s="384"/>
      <c r="AX208" s="257">
        <f t="shared" si="103"/>
        <v>0</v>
      </c>
      <c r="AY208" s="390">
        <v>40</v>
      </c>
      <c r="AZ208" s="257">
        <f t="shared" si="104"/>
        <v>48</v>
      </c>
      <c r="BA208" s="263">
        <v>120</v>
      </c>
      <c r="BB208" s="257">
        <f t="shared" si="105"/>
        <v>144</v>
      </c>
      <c r="BC208" s="263">
        <v>40</v>
      </c>
      <c r="BD208" s="257">
        <f t="shared" si="106"/>
        <v>48</v>
      </c>
      <c r="BE208" s="265">
        <v>80</v>
      </c>
      <c r="BF208" s="257">
        <f t="shared" si="107"/>
        <v>96</v>
      </c>
      <c r="BG208" s="268">
        <v>200</v>
      </c>
      <c r="BH208" s="257">
        <f t="shared" si="108"/>
        <v>240</v>
      </c>
      <c r="BI208" s="268"/>
      <c r="BJ208" s="257">
        <f t="shared" si="109"/>
        <v>0</v>
      </c>
      <c r="BK208" s="268"/>
      <c r="BL208" s="257">
        <f t="shared" si="110"/>
        <v>0</v>
      </c>
      <c r="BM208" s="1" t="s">
        <v>686</v>
      </c>
      <c r="BO208" s="1" t="s">
        <v>457</v>
      </c>
      <c r="BP208" s="1" t="s">
        <v>687</v>
      </c>
    </row>
    <row r="209" spans="1:68" ht="15.75" customHeight="1">
      <c r="A209" s="250" t="s">
        <v>451</v>
      </c>
      <c r="B209" s="59" t="s">
        <v>221</v>
      </c>
      <c r="C209" s="354" t="s">
        <v>172</v>
      </c>
      <c r="D209" s="476"/>
      <c r="E209" s="359" t="s">
        <v>173</v>
      </c>
      <c r="F209" s="417"/>
      <c r="G209" s="317">
        <v>2023</v>
      </c>
      <c r="H209" s="335" t="s">
        <v>391</v>
      </c>
      <c r="I209" s="332" t="s">
        <v>249</v>
      </c>
      <c r="J209" s="337">
        <v>15</v>
      </c>
      <c r="K209" s="335" t="s">
        <v>688</v>
      </c>
      <c r="L209" s="323" t="s">
        <v>389</v>
      </c>
      <c r="M209" s="303" t="s">
        <v>654</v>
      </c>
      <c r="N209" s="303">
        <v>9.65</v>
      </c>
      <c r="O209" s="303">
        <v>12.4</v>
      </c>
      <c r="P209" s="303">
        <v>12.4</v>
      </c>
      <c r="Q209" s="303">
        <v>12.4</v>
      </c>
      <c r="R209" s="303">
        <v>12.4</v>
      </c>
      <c r="S209" s="303">
        <v>12.4</v>
      </c>
      <c r="T209" s="303">
        <v>12.4</v>
      </c>
      <c r="U209" s="303">
        <v>12.4</v>
      </c>
      <c r="V209" s="303">
        <v>12.4</v>
      </c>
      <c r="W209" s="303">
        <v>12.4</v>
      </c>
      <c r="X209" s="303">
        <v>12.4</v>
      </c>
      <c r="Y209" s="303">
        <v>12.4</v>
      </c>
      <c r="Z209" s="303">
        <v>12.4</v>
      </c>
      <c r="AA209" s="303">
        <v>12.4</v>
      </c>
      <c r="AB209" s="304">
        <v>1.2</v>
      </c>
      <c r="AC209" s="304">
        <v>1.2</v>
      </c>
      <c r="AD209" s="304">
        <v>1.2</v>
      </c>
      <c r="AE209" s="304">
        <v>1.2</v>
      </c>
      <c r="AF209" s="304">
        <v>1.2</v>
      </c>
      <c r="AG209" s="304">
        <v>1.2</v>
      </c>
      <c r="AH209" s="304">
        <v>1.2</v>
      </c>
      <c r="AI209" s="304">
        <v>1.2</v>
      </c>
      <c r="AJ209" s="304">
        <v>1.2</v>
      </c>
      <c r="AK209" s="304">
        <v>1.2</v>
      </c>
      <c r="AL209" s="304">
        <v>1.2</v>
      </c>
      <c r="AM209" s="304">
        <v>1.2</v>
      </c>
      <c r="AN209" s="304">
        <v>1.2</v>
      </c>
      <c r="AO209" s="263">
        <v>1511</v>
      </c>
      <c r="AP209" s="254">
        <f t="shared" si="99"/>
        <v>1813.2</v>
      </c>
      <c r="AQ209" s="263">
        <v>5126</v>
      </c>
      <c r="AR209" s="254">
        <f t="shared" si="100"/>
        <v>6151.2</v>
      </c>
      <c r="AS209" s="265">
        <v>280</v>
      </c>
      <c r="AT209" s="254">
        <f t="shared" si="101"/>
        <v>336</v>
      </c>
      <c r="AU209" s="256">
        <v>1518</v>
      </c>
      <c r="AV209" s="257">
        <f t="shared" si="102"/>
        <v>1821.6</v>
      </c>
      <c r="AW209" s="384">
        <v>875</v>
      </c>
      <c r="AX209" s="257">
        <f t="shared" si="103"/>
        <v>1050</v>
      </c>
      <c r="AY209" s="390">
        <v>80</v>
      </c>
      <c r="AZ209" s="257">
        <f t="shared" si="104"/>
        <v>96</v>
      </c>
      <c r="BA209" s="263">
        <v>239</v>
      </c>
      <c r="BB209" s="257">
        <f t="shared" si="105"/>
        <v>286.8</v>
      </c>
      <c r="BC209" s="263"/>
      <c r="BD209" s="257">
        <f t="shared" si="106"/>
        <v>0</v>
      </c>
      <c r="BE209" s="265"/>
      <c r="BF209" s="257">
        <f t="shared" si="107"/>
        <v>0</v>
      </c>
      <c r="BG209" s="268"/>
      <c r="BH209" s="257">
        <f t="shared" si="108"/>
        <v>0</v>
      </c>
      <c r="BI209" s="268"/>
      <c r="BJ209" s="257">
        <f t="shared" si="109"/>
        <v>0</v>
      </c>
      <c r="BK209" s="268"/>
      <c r="BL209" s="257">
        <f t="shared" si="110"/>
        <v>0</v>
      </c>
      <c r="BM209" s="1" t="s">
        <v>689</v>
      </c>
      <c r="BO209" s="1" t="s">
        <v>457</v>
      </c>
      <c r="BP209" s="1" t="s">
        <v>690</v>
      </c>
    </row>
    <row r="210" spans="1:68" ht="15.75" customHeight="1">
      <c r="A210" s="250" t="s">
        <v>451</v>
      </c>
      <c r="B210" s="59" t="s">
        <v>221</v>
      </c>
      <c r="C210" s="354" t="s">
        <v>172</v>
      </c>
      <c r="D210" s="476"/>
      <c r="E210" s="359" t="s">
        <v>173</v>
      </c>
      <c r="F210" s="417"/>
      <c r="G210" s="317">
        <v>2023</v>
      </c>
      <c r="H210" s="335" t="s">
        <v>393</v>
      </c>
      <c r="I210" s="332" t="s">
        <v>249</v>
      </c>
      <c r="J210" s="337">
        <v>14</v>
      </c>
      <c r="K210" s="335" t="s">
        <v>378</v>
      </c>
      <c r="L210" s="323" t="s">
        <v>344</v>
      </c>
      <c r="M210" s="303" t="s">
        <v>558</v>
      </c>
      <c r="N210" s="303">
        <v>9.65</v>
      </c>
      <c r="O210" s="303">
        <v>11.8</v>
      </c>
      <c r="P210" s="303">
        <v>11.8</v>
      </c>
      <c r="Q210" s="303">
        <v>11.8</v>
      </c>
      <c r="R210" s="303">
        <v>11.8</v>
      </c>
      <c r="S210" s="303">
        <v>11.8</v>
      </c>
      <c r="T210" s="303">
        <v>11.8</v>
      </c>
      <c r="U210" s="303">
        <v>11.8</v>
      </c>
      <c r="V210" s="303">
        <v>11.8</v>
      </c>
      <c r="W210" s="303">
        <v>11.8</v>
      </c>
      <c r="X210" s="303">
        <v>11.8</v>
      </c>
      <c r="Y210" s="303">
        <v>11.8</v>
      </c>
      <c r="Z210" s="303">
        <v>11.8</v>
      </c>
      <c r="AA210" s="303">
        <v>11.8</v>
      </c>
      <c r="AB210" s="304">
        <v>0.9</v>
      </c>
      <c r="AC210" s="304">
        <v>1.2</v>
      </c>
      <c r="AD210" s="304">
        <v>0.9</v>
      </c>
      <c r="AE210" s="304">
        <v>0.9</v>
      </c>
      <c r="AF210" s="304">
        <v>0.9</v>
      </c>
      <c r="AG210" s="304">
        <v>0.9</v>
      </c>
      <c r="AH210" s="304">
        <v>0.9</v>
      </c>
      <c r="AI210" s="304">
        <v>0.9</v>
      </c>
      <c r="AJ210" s="304">
        <v>0.9</v>
      </c>
      <c r="AK210" s="304">
        <v>0.9</v>
      </c>
      <c r="AL210" s="304">
        <v>0.9</v>
      </c>
      <c r="AM210" s="304">
        <v>0.9</v>
      </c>
      <c r="AN210" s="304">
        <v>0.9</v>
      </c>
      <c r="AO210" s="263">
        <v>20</v>
      </c>
      <c r="AP210" s="254">
        <f t="shared" si="99"/>
        <v>24</v>
      </c>
      <c r="AQ210" s="263"/>
      <c r="AR210" s="254">
        <f t="shared" si="76"/>
        <v>0</v>
      </c>
      <c r="AS210" s="265"/>
      <c r="AT210" s="254">
        <f t="shared" si="101"/>
        <v>0</v>
      </c>
      <c r="AU210" s="256"/>
      <c r="AV210" s="257">
        <f t="shared" si="102"/>
        <v>0</v>
      </c>
      <c r="AW210" s="384"/>
      <c r="AX210" s="257">
        <f t="shared" si="103"/>
        <v>0</v>
      </c>
      <c r="AY210" s="390"/>
      <c r="AZ210" s="257">
        <f t="shared" si="104"/>
        <v>0</v>
      </c>
      <c r="BA210" s="265"/>
      <c r="BB210" s="257">
        <f t="shared" si="81"/>
        <v>0</v>
      </c>
      <c r="BC210" s="263"/>
      <c r="BD210" s="257">
        <f t="shared" si="106"/>
        <v>0</v>
      </c>
      <c r="BE210" s="265"/>
      <c r="BF210" s="257">
        <f t="shared" si="107"/>
        <v>0</v>
      </c>
      <c r="BG210" s="265"/>
      <c r="BH210" s="257">
        <f t="shared" si="108"/>
        <v>0</v>
      </c>
      <c r="BI210" s="268"/>
      <c r="BJ210" s="257">
        <f t="shared" si="109"/>
        <v>0</v>
      </c>
      <c r="BK210" s="268"/>
      <c r="BL210" s="257">
        <f t="shared" si="110"/>
        <v>0</v>
      </c>
      <c r="BM210" s="1" t="s">
        <v>691</v>
      </c>
      <c r="BO210" s="1" t="s">
        <v>457</v>
      </c>
      <c r="BP210" s="1" t="s">
        <v>692</v>
      </c>
    </row>
    <row r="211" spans="1:68" ht="15.75" customHeight="1">
      <c r="A211" s="250" t="s">
        <v>451</v>
      </c>
      <c r="B211" s="59" t="s">
        <v>221</v>
      </c>
      <c r="C211" s="354" t="s">
        <v>172</v>
      </c>
      <c r="D211" s="476"/>
      <c r="E211" s="359" t="s">
        <v>173</v>
      </c>
      <c r="F211" s="417"/>
      <c r="G211" s="317">
        <v>2023</v>
      </c>
      <c r="H211" s="335" t="s">
        <v>393</v>
      </c>
      <c r="I211" s="332" t="s">
        <v>249</v>
      </c>
      <c r="J211" s="337">
        <v>14</v>
      </c>
      <c r="K211" s="335" t="s">
        <v>378</v>
      </c>
      <c r="L211" s="323" t="s">
        <v>344</v>
      </c>
      <c r="M211" s="303" t="s">
        <v>558</v>
      </c>
      <c r="N211" s="303">
        <v>9.65</v>
      </c>
      <c r="O211" s="303">
        <v>11.8</v>
      </c>
      <c r="P211" s="303">
        <v>11.8</v>
      </c>
      <c r="Q211" s="303">
        <v>11.8</v>
      </c>
      <c r="R211" s="303">
        <v>11.8</v>
      </c>
      <c r="S211" s="303">
        <v>11.8</v>
      </c>
      <c r="T211" s="303">
        <v>11.8</v>
      </c>
      <c r="U211" s="303">
        <v>11.8</v>
      </c>
      <c r="V211" s="303">
        <v>11.8</v>
      </c>
      <c r="W211" s="303">
        <v>11.8</v>
      </c>
      <c r="X211" s="303">
        <v>11.8</v>
      </c>
      <c r="Y211" s="303">
        <v>11.8</v>
      </c>
      <c r="Z211" s="303">
        <v>11.8</v>
      </c>
      <c r="AA211" s="303">
        <v>11.8</v>
      </c>
      <c r="AB211" s="304">
        <v>0.9</v>
      </c>
      <c r="AC211" s="304">
        <v>1.2</v>
      </c>
      <c r="AD211" s="304">
        <v>0.9</v>
      </c>
      <c r="AE211" s="304">
        <v>0.9</v>
      </c>
      <c r="AF211" s="304">
        <v>0.9</v>
      </c>
      <c r="AG211" s="304">
        <v>0.9</v>
      </c>
      <c r="AH211" s="304">
        <v>0.9</v>
      </c>
      <c r="AI211" s="304">
        <v>0.9</v>
      </c>
      <c r="AJ211" s="304">
        <v>0.9</v>
      </c>
      <c r="AK211" s="304">
        <v>0.9</v>
      </c>
      <c r="AL211" s="304">
        <v>0.9</v>
      </c>
      <c r="AM211" s="304">
        <v>0.9</v>
      </c>
      <c r="AN211" s="304">
        <v>0.9</v>
      </c>
      <c r="AO211" s="263">
        <v>6320</v>
      </c>
      <c r="AP211" s="254">
        <f t="shared" si="99"/>
        <v>7584</v>
      </c>
      <c r="AQ211" s="263">
        <v>9400</v>
      </c>
      <c r="AR211" s="254">
        <f t="shared" si="76"/>
        <v>8460</v>
      </c>
      <c r="AS211" s="265">
        <v>12049</v>
      </c>
      <c r="AT211" s="254">
        <f t="shared" si="101"/>
        <v>10844.1</v>
      </c>
      <c r="AU211" s="256">
        <v>840</v>
      </c>
      <c r="AV211" s="257">
        <f t="shared" si="102"/>
        <v>756</v>
      </c>
      <c r="AW211" s="384">
        <v>12640</v>
      </c>
      <c r="AX211" s="257">
        <f t="shared" si="103"/>
        <v>11376</v>
      </c>
      <c r="AY211" s="390"/>
      <c r="AZ211" s="257">
        <f t="shared" si="104"/>
        <v>0</v>
      </c>
      <c r="BA211" s="265">
        <v>6120</v>
      </c>
      <c r="BB211" s="257">
        <f t="shared" si="81"/>
        <v>5508</v>
      </c>
      <c r="BC211" s="263"/>
      <c r="BD211" s="257">
        <f t="shared" si="106"/>
        <v>0</v>
      </c>
      <c r="BE211" s="265"/>
      <c r="BF211" s="257">
        <f t="shared" si="107"/>
        <v>0</v>
      </c>
      <c r="BG211" s="265"/>
      <c r="BH211" s="257">
        <f t="shared" si="108"/>
        <v>0</v>
      </c>
      <c r="BI211" s="268"/>
      <c r="BJ211" s="257">
        <f t="shared" si="109"/>
        <v>0</v>
      </c>
      <c r="BK211" s="268"/>
      <c r="BL211" s="257">
        <f t="shared" si="110"/>
        <v>0</v>
      </c>
      <c r="BM211" s="1" t="s">
        <v>693</v>
      </c>
      <c r="BN211" s="1" t="s">
        <v>532</v>
      </c>
      <c r="BO211" s="1" t="s">
        <v>457</v>
      </c>
      <c r="BP211" s="1" t="s">
        <v>694</v>
      </c>
    </row>
    <row r="212" spans="1:68" ht="15.75" customHeight="1">
      <c r="A212" s="250" t="s">
        <v>451</v>
      </c>
      <c r="B212" s="59" t="s">
        <v>221</v>
      </c>
      <c r="C212" s="354" t="s">
        <v>172</v>
      </c>
      <c r="D212" s="476"/>
      <c r="E212" s="359" t="s">
        <v>173</v>
      </c>
      <c r="F212" s="417"/>
      <c r="G212" s="317">
        <v>2025</v>
      </c>
      <c r="H212" s="323" t="s">
        <v>695</v>
      </c>
      <c r="I212" s="332" t="s">
        <v>249</v>
      </c>
      <c r="J212" s="337">
        <v>14</v>
      </c>
      <c r="K212" s="335" t="s">
        <v>378</v>
      </c>
      <c r="L212" s="323" t="s">
        <v>344</v>
      </c>
      <c r="M212" s="303" t="s">
        <v>558</v>
      </c>
      <c r="N212" s="303">
        <v>7.5</v>
      </c>
      <c r="O212" s="303">
        <v>9.0500000000000007</v>
      </c>
      <c r="P212" s="303">
        <v>9.75</v>
      </c>
      <c r="Q212" s="303">
        <v>9.75</v>
      </c>
      <c r="R212" s="303">
        <v>9.75</v>
      </c>
      <c r="S212" s="303">
        <v>9.75</v>
      </c>
      <c r="T212" s="303">
        <v>9.75</v>
      </c>
      <c r="U212" s="303">
        <v>9.75</v>
      </c>
      <c r="V212" s="303">
        <v>9.75</v>
      </c>
      <c r="W212" s="303">
        <v>9.75</v>
      </c>
      <c r="X212" s="303">
        <v>9.75</v>
      </c>
      <c r="Y212" s="303">
        <v>9.75</v>
      </c>
      <c r="Z212" s="303">
        <v>9.0500000000000007</v>
      </c>
      <c r="AA212" s="303">
        <v>9.0500000000000007</v>
      </c>
      <c r="AB212" s="59">
        <v>1.75</v>
      </c>
      <c r="AC212" s="59">
        <v>2.25</v>
      </c>
      <c r="AD212" s="59">
        <v>2.25</v>
      </c>
      <c r="AE212" s="59">
        <v>2.25</v>
      </c>
      <c r="AF212" s="59">
        <v>2.25</v>
      </c>
      <c r="AG212" s="59">
        <v>2.25</v>
      </c>
      <c r="AH212" s="59">
        <v>2.25</v>
      </c>
      <c r="AI212" s="59">
        <v>2.25</v>
      </c>
      <c r="AJ212" s="59">
        <v>2.25</v>
      </c>
      <c r="AK212" s="59">
        <v>2.25</v>
      </c>
      <c r="AL212" s="59">
        <v>2.25</v>
      </c>
      <c r="AM212" s="59">
        <v>1.75</v>
      </c>
      <c r="AN212" s="59">
        <v>1.75</v>
      </c>
      <c r="AO212" s="263"/>
      <c r="AP212" s="254">
        <f t="shared" si="75"/>
        <v>0</v>
      </c>
      <c r="AQ212" s="263"/>
      <c r="AR212" s="254">
        <f t="shared" si="76"/>
        <v>0</v>
      </c>
      <c r="AS212" s="263"/>
      <c r="AT212" s="254">
        <f t="shared" si="101"/>
        <v>0</v>
      </c>
      <c r="AU212" s="263"/>
      <c r="AV212" s="257">
        <f t="shared" si="102"/>
        <v>0</v>
      </c>
      <c r="AW212" s="384">
        <v>14160</v>
      </c>
      <c r="AX212" s="257">
        <f t="shared" si="103"/>
        <v>31860</v>
      </c>
      <c r="AY212" s="268">
        <v>31800</v>
      </c>
      <c r="AZ212" s="257">
        <f t="shared" si="104"/>
        <v>71550</v>
      </c>
      <c r="BA212" s="270">
        <v>31875</v>
      </c>
      <c r="BB212" s="257">
        <f t="shared" si="81"/>
        <v>71718.75</v>
      </c>
      <c r="BC212" s="270">
        <v>15360</v>
      </c>
      <c r="BD212" s="257">
        <f t="shared" si="82"/>
        <v>34560</v>
      </c>
      <c r="BE212" s="270">
        <v>13000</v>
      </c>
      <c r="BF212" s="257">
        <f t="shared" si="107"/>
        <v>29250</v>
      </c>
      <c r="BG212" s="270">
        <v>15318</v>
      </c>
      <c r="BH212" s="257">
        <f t="shared" si="108"/>
        <v>34465.5</v>
      </c>
      <c r="BI212" s="270">
        <v>40740</v>
      </c>
      <c r="BJ212" s="257">
        <f t="shared" si="85"/>
        <v>71295</v>
      </c>
      <c r="BK212" s="270">
        <v>16320</v>
      </c>
      <c r="BL212" s="257">
        <f t="shared" si="86"/>
        <v>28560</v>
      </c>
      <c r="BM212" s="1" t="s">
        <v>696</v>
      </c>
      <c r="BO212" s="1" t="s">
        <v>457</v>
      </c>
      <c r="BP212" s="1" t="s">
        <v>697</v>
      </c>
    </row>
    <row r="213" spans="1:68" ht="15.75" customHeight="1">
      <c r="A213" s="250" t="s">
        <v>451</v>
      </c>
      <c r="B213" s="59" t="s">
        <v>221</v>
      </c>
      <c r="C213" s="354" t="s">
        <v>172</v>
      </c>
      <c r="D213" s="476"/>
      <c r="E213" s="359" t="s">
        <v>173</v>
      </c>
      <c r="F213" s="417"/>
      <c r="G213" s="317">
        <v>2025</v>
      </c>
      <c r="H213" s="323" t="s">
        <v>695</v>
      </c>
      <c r="I213" s="332" t="s">
        <v>249</v>
      </c>
      <c r="J213" s="337">
        <v>14</v>
      </c>
      <c r="K213" s="335" t="s">
        <v>698</v>
      </c>
      <c r="L213" s="323" t="s">
        <v>344</v>
      </c>
      <c r="M213" s="303" t="s">
        <v>558</v>
      </c>
      <c r="N213" s="303">
        <v>7.5</v>
      </c>
      <c r="O213" s="303">
        <v>9.75</v>
      </c>
      <c r="P213" s="303">
        <v>9.75</v>
      </c>
      <c r="Q213" s="303">
        <v>9.75</v>
      </c>
      <c r="R213" s="303">
        <v>9.75</v>
      </c>
      <c r="S213" s="303">
        <v>9.75</v>
      </c>
      <c r="T213" s="303">
        <v>9.75</v>
      </c>
      <c r="U213" s="303">
        <v>9.75</v>
      </c>
      <c r="V213" s="303">
        <v>9.75</v>
      </c>
      <c r="W213" s="303">
        <v>9.75</v>
      </c>
      <c r="X213" s="303">
        <v>9.75</v>
      </c>
      <c r="Y213" s="303">
        <v>9.75</v>
      </c>
      <c r="Z213" s="303">
        <v>9.75</v>
      </c>
      <c r="AA213" s="303">
        <v>9.75</v>
      </c>
      <c r="AB213" s="59">
        <v>2.25</v>
      </c>
      <c r="AC213" s="59">
        <v>2.25</v>
      </c>
      <c r="AD213" s="59">
        <v>2.25</v>
      </c>
      <c r="AE213" s="59">
        <v>2.25</v>
      </c>
      <c r="AF213" s="59">
        <v>2.25</v>
      </c>
      <c r="AG213" s="59">
        <v>2.25</v>
      </c>
      <c r="AH213" s="59">
        <v>2.25</v>
      </c>
      <c r="AI213" s="59">
        <v>2.25</v>
      </c>
      <c r="AJ213" s="59">
        <v>2.25</v>
      </c>
      <c r="AK213" s="59">
        <v>2.25</v>
      </c>
      <c r="AL213" s="59">
        <v>2.25</v>
      </c>
      <c r="AM213" s="59">
        <v>2.25</v>
      </c>
      <c r="AN213" s="59">
        <v>2.25</v>
      </c>
      <c r="AO213" s="263"/>
      <c r="AP213" s="254">
        <f t="shared" si="75"/>
        <v>0</v>
      </c>
      <c r="AQ213" s="263"/>
      <c r="AR213" s="254">
        <f t="shared" si="76"/>
        <v>0</v>
      </c>
      <c r="AS213" s="263"/>
      <c r="AT213" s="254">
        <f t="shared" si="77"/>
        <v>0</v>
      </c>
      <c r="AU213" s="263"/>
      <c r="AV213" s="257">
        <f t="shared" si="78"/>
        <v>0</v>
      </c>
      <c r="AW213" s="384">
        <v>6480</v>
      </c>
      <c r="AX213" s="257">
        <f t="shared" si="79"/>
        <v>14580</v>
      </c>
      <c r="AY213" s="268">
        <v>11400</v>
      </c>
      <c r="AZ213" s="257">
        <f t="shared" si="80"/>
        <v>25650</v>
      </c>
      <c r="BA213" s="270">
        <v>8720</v>
      </c>
      <c r="BB213" s="257">
        <f t="shared" si="81"/>
        <v>19620</v>
      </c>
      <c r="BC213" s="270">
        <v>18640</v>
      </c>
      <c r="BD213" s="257">
        <f t="shared" si="82"/>
        <v>41940</v>
      </c>
      <c r="BE213" s="270">
        <v>2800</v>
      </c>
      <c r="BF213" s="257">
        <f t="shared" si="83"/>
        <v>6300</v>
      </c>
      <c r="BG213" s="270">
        <v>14080</v>
      </c>
      <c r="BH213" s="257">
        <f t="shared" si="84"/>
        <v>31680</v>
      </c>
      <c r="BI213" s="270">
        <v>18160</v>
      </c>
      <c r="BJ213" s="257">
        <f t="shared" si="85"/>
        <v>40860</v>
      </c>
      <c r="BK213" s="270">
        <v>4550</v>
      </c>
      <c r="BL213" s="257">
        <f t="shared" si="86"/>
        <v>10237.5</v>
      </c>
      <c r="BM213" s="1" t="s">
        <v>699</v>
      </c>
      <c r="BO213" s="1" t="s">
        <v>457</v>
      </c>
      <c r="BP213" s="1" t="s">
        <v>700</v>
      </c>
    </row>
    <row r="214" spans="1:68" ht="15.75" customHeight="1">
      <c r="A214" s="250" t="s">
        <v>451</v>
      </c>
      <c r="B214" s="59" t="s">
        <v>221</v>
      </c>
      <c r="C214" s="354" t="s">
        <v>172</v>
      </c>
      <c r="D214" s="476"/>
      <c r="E214" s="359" t="s">
        <v>173</v>
      </c>
      <c r="F214" s="417"/>
      <c r="G214" s="317">
        <v>2025</v>
      </c>
      <c r="H214" s="323" t="s">
        <v>695</v>
      </c>
      <c r="I214" s="332" t="s">
        <v>249</v>
      </c>
      <c r="J214" s="337">
        <v>14</v>
      </c>
      <c r="K214" s="335" t="s">
        <v>701</v>
      </c>
      <c r="L214" s="323" t="s">
        <v>344</v>
      </c>
      <c r="M214" s="303" t="s">
        <v>558</v>
      </c>
      <c r="N214" s="303">
        <v>7.5</v>
      </c>
      <c r="O214" s="303">
        <v>9.75</v>
      </c>
      <c r="P214" s="303">
        <v>9.75</v>
      </c>
      <c r="Q214" s="303">
        <v>9.75</v>
      </c>
      <c r="R214" s="303">
        <v>9.75</v>
      </c>
      <c r="S214" s="303">
        <v>9.75</v>
      </c>
      <c r="T214" s="303">
        <v>9.75</v>
      </c>
      <c r="U214" s="303">
        <v>9.75</v>
      </c>
      <c r="V214" s="303">
        <v>9.75</v>
      </c>
      <c r="W214" s="303">
        <v>9.75</v>
      </c>
      <c r="X214" s="303">
        <v>9.75</v>
      </c>
      <c r="Y214" s="303">
        <v>9.75</v>
      </c>
      <c r="Z214" s="303">
        <v>9.75</v>
      </c>
      <c r="AA214" s="303">
        <v>9.75</v>
      </c>
      <c r="AB214" s="59">
        <v>2.25</v>
      </c>
      <c r="AC214" s="59">
        <v>2.25</v>
      </c>
      <c r="AD214" s="59">
        <v>2.25</v>
      </c>
      <c r="AE214" s="59">
        <v>2.25</v>
      </c>
      <c r="AF214" s="59">
        <v>2.25</v>
      </c>
      <c r="AG214" s="59">
        <v>2.25</v>
      </c>
      <c r="AH214" s="59">
        <v>2.25</v>
      </c>
      <c r="AI214" s="59">
        <v>2.25</v>
      </c>
      <c r="AJ214" s="59">
        <v>2.25</v>
      </c>
      <c r="AK214" s="59">
        <v>2.25</v>
      </c>
      <c r="AL214" s="59">
        <v>2.25</v>
      </c>
      <c r="AM214" s="59">
        <v>2.25</v>
      </c>
      <c r="AN214" s="59">
        <v>2.25</v>
      </c>
      <c r="AO214" s="263"/>
      <c r="AP214" s="254">
        <f t="shared" si="75"/>
        <v>0</v>
      </c>
      <c r="AQ214" s="263"/>
      <c r="AR214" s="254">
        <f t="shared" si="76"/>
        <v>0</v>
      </c>
      <c r="AS214" s="263"/>
      <c r="AT214" s="254">
        <f t="shared" si="77"/>
        <v>0</v>
      </c>
      <c r="AU214" s="263"/>
      <c r="AV214" s="257">
        <f t="shared" si="78"/>
        <v>0</v>
      </c>
      <c r="AW214" s="384">
        <v>6840</v>
      </c>
      <c r="AX214" s="257">
        <f t="shared" si="79"/>
        <v>15390</v>
      </c>
      <c r="AY214" s="268">
        <v>9880</v>
      </c>
      <c r="AZ214" s="257">
        <f t="shared" si="80"/>
        <v>22230</v>
      </c>
      <c r="BA214" s="270">
        <v>19160</v>
      </c>
      <c r="BB214" s="257">
        <f t="shared" si="81"/>
        <v>43110</v>
      </c>
      <c r="BC214" s="270">
        <v>3160</v>
      </c>
      <c r="BD214" s="257">
        <f t="shared" si="82"/>
        <v>7110</v>
      </c>
      <c r="BE214" s="270">
        <v>18520</v>
      </c>
      <c r="BF214" s="257">
        <f t="shared" si="83"/>
        <v>41670</v>
      </c>
      <c r="BG214" s="270">
        <v>7840</v>
      </c>
      <c r="BH214" s="257">
        <f t="shared" si="84"/>
        <v>17640</v>
      </c>
      <c r="BI214" s="270">
        <v>19120</v>
      </c>
      <c r="BJ214" s="257">
        <f t="shared" si="85"/>
        <v>43020</v>
      </c>
      <c r="BK214" s="270">
        <v>16981</v>
      </c>
      <c r="BL214" s="257">
        <f t="shared" si="86"/>
        <v>38207.25</v>
      </c>
      <c r="BM214" s="1" t="s">
        <v>702</v>
      </c>
      <c r="BO214" s="1" t="s">
        <v>457</v>
      </c>
      <c r="BP214" s="1" t="s">
        <v>703</v>
      </c>
    </row>
    <row r="215" spans="1:68" ht="15.75" customHeight="1">
      <c r="A215" s="250" t="s">
        <v>451</v>
      </c>
      <c r="B215" s="59" t="s">
        <v>221</v>
      </c>
      <c r="C215" s="354" t="s">
        <v>172</v>
      </c>
      <c r="D215" s="476"/>
      <c r="E215" s="359" t="s">
        <v>173</v>
      </c>
      <c r="F215" s="417"/>
      <c r="G215" s="317">
        <v>2025</v>
      </c>
      <c r="H215" s="323" t="s">
        <v>704</v>
      </c>
      <c r="I215" s="332" t="s">
        <v>249</v>
      </c>
      <c r="J215" s="337">
        <v>17</v>
      </c>
      <c r="K215" s="335" t="s">
        <v>378</v>
      </c>
      <c r="L215" s="323" t="s">
        <v>344</v>
      </c>
      <c r="M215" s="303" t="s">
        <v>558</v>
      </c>
      <c r="N215" s="303">
        <v>7.8</v>
      </c>
      <c r="O215" s="303">
        <v>9.1</v>
      </c>
      <c r="P215" s="303">
        <v>9.8000000000000007</v>
      </c>
      <c r="Q215" s="303">
        <v>9.8000000000000007</v>
      </c>
      <c r="R215" s="303">
        <v>9.8000000000000007</v>
      </c>
      <c r="S215" s="303">
        <v>9.8000000000000007</v>
      </c>
      <c r="T215" s="303">
        <v>9.8000000000000007</v>
      </c>
      <c r="U215" s="303">
        <v>9.8000000000000007</v>
      </c>
      <c r="V215" s="303">
        <v>9.8000000000000007</v>
      </c>
      <c r="W215" s="303">
        <v>9.8000000000000007</v>
      </c>
      <c r="X215" s="303">
        <v>9.8000000000000007</v>
      </c>
      <c r="Y215" s="303">
        <v>9.8000000000000007</v>
      </c>
      <c r="Z215" s="303">
        <v>9.1</v>
      </c>
      <c r="AA215" s="303">
        <v>9.1</v>
      </c>
      <c r="AB215" s="59">
        <v>1.5</v>
      </c>
      <c r="AC215" s="59">
        <v>2</v>
      </c>
      <c r="AD215" s="59">
        <v>2</v>
      </c>
      <c r="AE215" s="59">
        <v>2</v>
      </c>
      <c r="AF215" s="59">
        <v>2</v>
      </c>
      <c r="AG215" s="59">
        <v>2</v>
      </c>
      <c r="AH215" s="59">
        <v>2</v>
      </c>
      <c r="AI215" s="59">
        <v>2</v>
      </c>
      <c r="AJ215" s="59">
        <v>2</v>
      </c>
      <c r="AK215" s="59">
        <v>2</v>
      </c>
      <c r="AL215" s="59">
        <v>2</v>
      </c>
      <c r="AM215" s="59">
        <v>1.5</v>
      </c>
      <c r="AN215" s="59">
        <v>1.5</v>
      </c>
      <c r="AO215" s="263"/>
      <c r="AP215" s="254">
        <f t="shared" ref="AP215:AP216" si="111">AC215*AO215</f>
        <v>0</v>
      </c>
      <c r="AQ215" s="263"/>
      <c r="AR215" s="254">
        <f t="shared" ref="AR215:AR216" si="112">AD215*AQ215</f>
        <v>0</v>
      </c>
      <c r="AS215" s="263"/>
      <c r="AT215" s="254">
        <f t="shared" ref="AT215:AT216" si="113">AE215*AS215</f>
        <v>0</v>
      </c>
      <c r="AU215" s="263"/>
      <c r="AV215" s="257">
        <f t="shared" ref="AV215:AV216" si="114">AF215*AU215</f>
        <v>0</v>
      </c>
      <c r="AW215" s="384">
        <v>1680</v>
      </c>
      <c r="AX215" s="257">
        <f t="shared" ref="AX215:AX216" si="115">AG215*AW215</f>
        <v>3360</v>
      </c>
      <c r="AY215" s="268">
        <v>3120</v>
      </c>
      <c r="AZ215" s="257">
        <f t="shared" ref="AZ215:AZ216" si="116">AH215*AY215</f>
        <v>6240</v>
      </c>
      <c r="BA215" s="270">
        <v>4040</v>
      </c>
      <c r="BB215" s="257">
        <f t="shared" ref="BB215:BB216" si="117">AI215*BA215</f>
        <v>8080</v>
      </c>
      <c r="BC215" s="270">
        <v>2040</v>
      </c>
      <c r="BD215" s="257">
        <f t="shared" ref="BD215:BD216" si="118">AJ215*BC215</f>
        <v>4080</v>
      </c>
      <c r="BE215" s="270">
        <v>1520</v>
      </c>
      <c r="BF215" s="257">
        <f t="shared" ref="BF215:BF216" si="119">AK215*BE215</f>
        <v>3040</v>
      </c>
      <c r="BG215" s="270">
        <v>2736</v>
      </c>
      <c r="BH215" s="257">
        <f t="shared" ref="BH215:BH216" si="120">AL215*BG215</f>
        <v>5472</v>
      </c>
      <c r="BI215" s="270">
        <v>5520</v>
      </c>
      <c r="BJ215" s="257">
        <f t="shared" ref="BJ215:BJ216" si="121">AM215*BI215</f>
        <v>8280</v>
      </c>
      <c r="BK215" s="270">
        <v>7640</v>
      </c>
      <c r="BL215" s="257">
        <f t="shared" ref="BL215:BL216" si="122">AN215*BK215</f>
        <v>11460</v>
      </c>
      <c r="BM215" s="1" t="s">
        <v>705</v>
      </c>
      <c r="BO215" s="1" t="s">
        <v>457</v>
      </c>
      <c r="BP215" s="1" t="s">
        <v>706</v>
      </c>
    </row>
    <row r="216" spans="1:68" ht="15.75" customHeight="1">
      <c r="A216" s="250" t="s">
        <v>451</v>
      </c>
      <c r="B216" s="59" t="s">
        <v>221</v>
      </c>
      <c r="C216" s="354" t="s">
        <v>172</v>
      </c>
      <c r="D216" s="476"/>
      <c r="E216" s="359" t="s">
        <v>173</v>
      </c>
      <c r="F216" s="417"/>
      <c r="G216" s="317">
        <v>2025</v>
      </c>
      <c r="H216" s="323" t="s">
        <v>707</v>
      </c>
      <c r="I216" s="332" t="s">
        <v>249</v>
      </c>
      <c r="J216" s="337">
        <v>17</v>
      </c>
      <c r="K216" s="335" t="s">
        <v>378</v>
      </c>
      <c r="L216" s="323" t="s">
        <v>344</v>
      </c>
      <c r="M216" s="303" t="s">
        <v>558</v>
      </c>
      <c r="N216" s="303">
        <v>7.8</v>
      </c>
      <c r="O216" s="303">
        <v>9.1</v>
      </c>
      <c r="P216" s="303">
        <v>9.8000000000000007</v>
      </c>
      <c r="Q216" s="303">
        <v>9.8000000000000007</v>
      </c>
      <c r="R216" s="303">
        <v>9.8000000000000007</v>
      </c>
      <c r="S216" s="303">
        <v>9.8000000000000007</v>
      </c>
      <c r="T216" s="303">
        <v>9.8000000000000007</v>
      </c>
      <c r="U216" s="303">
        <v>9.8000000000000007</v>
      </c>
      <c r="V216" s="303">
        <v>9.8000000000000007</v>
      </c>
      <c r="W216" s="303">
        <v>9.8000000000000007</v>
      </c>
      <c r="X216" s="303">
        <v>9.8000000000000007</v>
      </c>
      <c r="Y216" s="303">
        <v>9.8000000000000007</v>
      </c>
      <c r="Z216" s="303">
        <v>9.1</v>
      </c>
      <c r="AA216" s="303">
        <v>9.1</v>
      </c>
      <c r="AB216" s="59">
        <v>1.5</v>
      </c>
      <c r="AC216" s="59">
        <v>2</v>
      </c>
      <c r="AD216" s="59">
        <v>2</v>
      </c>
      <c r="AE216" s="59">
        <v>2</v>
      </c>
      <c r="AF216" s="59">
        <v>2</v>
      </c>
      <c r="AG216" s="59">
        <v>2</v>
      </c>
      <c r="AH216" s="59">
        <v>2</v>
      </c>
      <c r="AI216" s="59">
        <v>2</v>
      </c>
      <c r="AJ216" s="59">
        <v>2</v>
      </c>
      <c r="AK216" s="59">
        <v>2</v>
      </c>
      <c r="AL216" s="59">
        <v>2</v>
      </c>
      <c r="AM216" s="59">
        <v>1.5</v>
      </c>
      <c r="AN216" s="59">
        <v>1.5</v>
      </c>
      <c r="AO216" s="263"/>
      <c r="AP216" s="254">
        <f t="shared" si="111"/>
        <v>0</v>
      </c>
      <c r="AQ216" s="263"/>
      <c r="AR216" s="254">
        <f t="shared" si="112"/>
        <v>0</v>
      </c>
      <c r="AS216" s="263"/>
      <c r="AT216" s="254">
        <f t="shared" si="113"/>
        <v>0</v>
      </c>
      <c r="AU216" s="263"/>
      <c r="AV216" s="257">
        <f t="shared" si="114"/>
        <v>0</v>
      </c>
      <c r="AW216" s="384">
        <v>1120</v>
      </c>
      <c r="AX216" s="257">
        <f t="shared" si="115"/>
        <v>2240</v>
      </c>
      <c r="AY216" s="268">
        <v>1560</v>
      </c>
      <c r="AZ216" s="257">
        <f t="shared" si="116"/>
        <v>3120</v>
      </c>
      <c r="BA216" s="270">
        <v>3400</v>
      </c>
      <c r="BB216" s="257">
        <f t="shared" si="117"/>
        <v>6800</v>
      </c>
      <c r="BC216" s="270">
        <v>2675</v>
      </c>
      <c r="BD216" s="257">
        <f t="shared" si="118"/>
        <v>5350</v>
      </c>
      <c r="BE216" s="270">
        <v>3650</v>
      </c>
      <c r="BF216" s="257">
        <f t="shared" si="119"/>
        <v>7300</v>
      </c>
      <c r="BG216" s="270">
        <v>2920</v>
      </c>
      <c r="BH216" s="257">
        <f t="shared" si="120"/>
        <v>5840</v>
      </c>
      <c r="BI216" s="270">
        <v>9960</v>
      </c>
      <c r="BJ216" s="257">
        <f t="shared" si="121"/>
        <v>14940</v>
      </c>
      <c r="BK216" s="270">
        <v>2920</v>
      </c>
      <c r="BL216" s="257">
        <f t="shared" si="122"/>
        <v>4380</v>
      </c>
      <c r="BM216" s="1" t="s">
        <v>708</v>
      </c>
      <c r="BO216" s="1" t="s">
        <v>457</v>
      </c>
      <c r="BP216" s="1" t="s">
        <v>709</v>
      </c>
    </row>
    <row r="217" spans="1:68" ht="15.75" customHeight="1">
      <c r="A217" s="250" t="s">
        <v>451</v>
      </c>
      <c r="B217" s="59" t="s">
        <v>221</v>
      </c>
      <c r="C217" s="354" t="s">
        <v>172</v>
      </c>
      <c r="D217" s="476"/>
      <c r="E217" s="359" t="s">
        <v>173</v>
      </c>
      <c r="F217" s="417"/>
      <c r="G217" s="317">
        <v>2025</v>
      </c>
      <c r="H217" s="323" t="s">
        <v>710</v>
      </c>
      <c r="I217" s="332" t="s">
        <v>249</v>
      </c>
      <c r="J217" s="337">
        <v>17</v>
      </c>
      <c r="K217" s="335" t="s">
        <v>378</v>
      </c>
      <c r="L217" s="323" t="s">
        <v>344</v>
      </c>
      <c r="M217" s="303" t="s">
        <v>624</v>
      </c>
      <c r="N217" s="303">
        <v>7.8</v>
      </c>
      <c r="O217" s="303">
        <v>9.1</v>
      </c>
      <c r="P217" s="303">
        <v>9.8000000000000007</v>
      </c>
      <c r="Q217" s="303">
        <v>9.8000000000000007</v>
      </c>
      <c r="R217" s="303">
        <v>9.8000000000000007</v>
      </c>
      <c r="S217" s="303">
        <v>9.8000000000000007</v>
      </c>
      <c r="T217" s="303">
        <v>9.8000000000000007</v>
      </c>
      <c r="U217" s="303">
        <v>9.8000000000000007</v>
      </c>
      <c r="V217" s="303">
        <v>9.8000000000000007</v>
      </c>
      <c r="W217" s="303">
        <v>9.8000000000000007</v>
      </c>
      <c r="X217" s="303">
        <v>9.8000000000000007</v>
      </c>
      <c r="Y217" s="303">
        <v>9.8000000000000007</v>
      </c>
      <c r="Z217" s="303">
        <v>9.1</v>
      </c>
      <c r="AA217" s="303">
        <v>9.1</v>
      </c>
      <c r="AB217" s="59">
        <v>1.5</v>
      </c>
      <c r="AC217" s="59">
        <v>2</v>
      </c>
      <c r="AD217" s="59">
        <v>2</v>
      </c>
      <c r="AE217" s="59">
        <v>2</v>
      </c>
      <c r="AF217" s="59">
        <v>2</v>
      </c>
      <c r="AG217" s="59">
        <v>2</v>
      </c>
      <c r="AH217" s="59">
        <v>2</v>
      </c>
      <c r="AI217" s="59">
        <v>2</v>
      </c>
      <c r="AJ217" s="59">
        <v>2</v>
      </c>
      <c r="AK217" s="59">
        <v>2</v>
      </c>
      <c r="AL217" s="59">
        <v>2</v>
      </c>
      <c r="AM217" s="59">
        <v>1.5</v>
      </c>
      <c r="AN217" s="59">
        <v>1.5</v>
      </c>
      <c r="AO217" s="263"/>
      <c r="AP217" s="254">
        <f t="shared" si="75"/>
        <v>0</v>
      </c>
      <c r="AQ217" s="263"/>
      <c r="AR217" s="254">
        <f t="shared" si="76"/>
        <v>0</v>
      </c>
      <c r="AS217" s="263"/>
      <c r="AT217" s="254">
        <f t="shared" si="77"/>
        <v>0</v>
      </c>
      <c r="AU217" s="263"/>
      <c r="AV217" s="257">
        <f t="shared" si="78"/>
        <v>0</v>
      </c>
      <c r="AW217" s="384"/>
      <c r="AX217" s="257">
        <f t="shared" si="79"/>
        <v>0</v>
      </c>
      <c r="AY217" s="268"/>
      <c r="AZ217" s="257">
        <f t="shared" si="80"/>
        <v>0</v>
      </c>
      <c r="BA217" s="270">
        <v>160</v>
      </c>
      <c r="BB217" s="257">
        <f t="shared" si="81"/>
        <v>320</v>
      </c>
      <c r="BC217" s="270">
        <v>150</v>
      </c>
      <c r="BD217" s="257">
        <f t="shared" si="82"/>
        <v>300</v>
      </c>
      <c r="BE217" s="270">
        <v>120</v>
      </c>
      <c r="BF217" s="257">
        <f t="shared" si="83"/>
        <v>240</v>
      </c>
      <c r="BG217" s="270"/>
      <c r="BH217" s="257">
        <f t="shared" si="84"/>
        <v>0</v>
      </c>
      <c r="BI217" s="270"/>
      <c r="BJ217" s="257">
        <f t="shared" si="85"/>
        <v>0</v>
      </c>
      <c r="BK217" s="270"/>
      <c r="BL217" s="257">
        <f t="shared" si="86"/>
        <v>0</v>
      </c>
      <c r="BM217" s="1" t="s">
        <v>711</v>
      </c>
      <c r="BO217" s="1" t="s">
        <v>457</v>
      </c>
      <c r="BP217" s="1" t="s">
        <v>712</v>
      </c>
    </row>
    <row r="218" spans="1:68" ht="15.75" customHeight="1">
      <c r="A218" s="250" t="s">
        <v>451</v>
      </c>
      <c r="B218" s="59" t="s">
        <v>221</v>
      </c>
      <c r="C218" s="354" t="s">
        <v>172</v>
      </c>
      <c r="D218" s="476"/>
      <c r="E218" s="359" t="s">
        <v>173</v>
      </c>
      <c r="F218" s="417"/>
      <c r="G218" s="317">
        <v>2025</v>
      </c>
      <c r="H218" s="323" t="s">
        <v>713</v>
      </c>
      <c r="I218" s="332" t="s">
        <v>249</v>
      </c>
      <c r="J218" s="337">
        <v>17</v>
      </c>
      <c r="K218" s="335" t="s">
        <v>378</v>
      </c>
      <c r="L218" s="323" t="s">
        <v>344</v>
      </c>
      <c r="M218" s="303" t="s">
        <v>624</v>
      </c>
      <c r="N218" s="303">
        <v>7.8</v>
      </c>
      <c r="O218" s="303">
        <v>9.1</v>
      </c>
      <c r="P218" s="303">
        <v>9.8000000000000007</v>
      </c>
      <c r="Q218" s="303">
        <v>9.8000000000000007</v>
      </c>
      <c r="R218" s="303">
        <v>9.8000000000000007</v>
      </c>
      <c r="S218" s="303">
        <v>9.8000000000000007</v>
      </c>
      <c r="T218" s="303">
        <v>9.8000000000000007</v>
      </c>
      <c r="U218" s="303">
        <v>9.8000000000000007</v>
      </c>
      <c r="V218" s="303">
        <v>9.8000000000000007</v>
      </c>
      <c r="W218" s="303">
        <v>9.8000000000000007</v>
      </c>
      <c r="X218" s="303">
        <v>9.8000000000000007</v>
      </c>
      <c r="Y218" s="303">
        <v>9.8000000000000007</v>
      </c>
      <c r="Z218" s="303">
        <v>9.1</v>
      </c>
      <c r="AA218" s="303">
        <v>9.1</v>
      </c>
      <c r="AB218" s="59">
        <v>1.5</v>
      </c>
      <c r="AC218" s="59">
        <v>2</v>
      </c>
      <c r="AD218" s="59">
        <v>2</v>
      </c>
      <c r="AE218" s="59">
        <v>2</v>
      </c>
      <c r="AF218" s="59">
        <v>2</v>
      </c>
      <c r="AG218" s="59">
        <v>2</v>
      </c>
      <c r="AH218" s="59">
        <v>2</v>
      </c>
      <c r="AI218" s="59">
        <v>2</v>
      </c>
      <c r="AJ218" s="59">
        <v>2</v>
      </c>
      <c r="AK218" s="59">
        <v>2</v>
      </c>
      <c r="AL218" s="59">
        <v>2</v>
      </c>
      <c r="AM218" s="59">
        <v>1.5</v>
      </c>
      <c r="AN218" s="59">
        <v>1.5</v>
      </c>
      <c r="AO218" s="263"/>
      <c r="AP218" s="254">
        <f t="shared" si="75"/>
        <v>0</v>
      </c>
      <c r="AQ218" s="263"/>
      <c r="AR218" s="254">
        <f t="shared" si="76"/>
        <v>0</v>
      </c>
      <c r="AS218" s="263"/>
      <c r="AT218" s="254">
        <f t="shared" si="77"/>
        <v>0</v>
      </c>
      <c r="AU218" s="263"/>
      <c r="AV218" s="257">
        <f t="shared" si="78"/>
        <v>0</v>
      </c>
      <c r="AW218" s="384"/>
      <c r="AX218" s="257">
        <f t="shared" si="79"/>
        <v>0</v>
      </c>
      <c r="AY218" s="268">
        <v>8590</v>
      </c>
      <c r="AZ218" s="257">
        <f t="shared" si="80"/>
        <v>17180</v>
      </c>
      <c r="BA218" s="270">
        <v>5080</v>
      </c>
      <c r="BB218" s="257">
        <f t="shared" si="81"/>
        <v>10160</v>
      </c>
      <c r="BC218" s="270">
        <v>1350</v>
      </c>
      <c r="BD218" s="257">
        <f t="shared" si="82"/>
        <v>2700</v>
      </c>
      <c r="BE218" s="270">
        <v>2638</v>
      </c>
      <c r="BF218" s="257">
        <f t="shared" si="83"/>
        <v>5276</v>
      </c>
      <c r="BG218" s="270">
        <v>3320</v>
      </c>
      <c r="BH218" s="257">
        <f t="shared" si="84"/>
        <v>6640</v>
      </c>
      <c r="BI218" s="270">
        <v>5440</v>
      </c>
      <c r="BJ218" s="257">
        <f t="shared" si="85"/>
        <v>8160</v>
      </c>
      <c r="BK218" s="270">
        <v>5480</v>
      </c>
      <c r="BL218" s="257">
        <f t="shared" si="86"/>
        <v>8220</v>
      </c>
      <c r="BM218" s="1" t="s">
        <v>714</v>
      </c>
      <c r="BO218" s="1" t="s">
        <v>457</v>
      </c>
      <c r="BP218" s="1" t="s">
        <v>715</v>
      </c>
    </row>
    <row r="219" spans="1:68" ht="15.75" customHeight="1">
      <c r="A219" s="250"/>
      <c r="C219" s="354"/>
      <c r="D219" s="476"/>
      <c r="E219" s="359"/>
      <c r="F219" s="417"/>
      <c r="G219" s="317"/>
      <c r="H219" s="323"/>
      <c r="I219" s="332"/>
      <c r="J219" s="337"/>
      <c r="K219" s="335"/>
      <c r="L219" s="323"/>
      <c r="M219" s="303"/>
      <c r="N219" s="303"/>
      <c r="O219" s="303"/>
      <c r="P219" s="303"/>
      <c r="Q219" s="303"/>
      <c r="R219" s="303"/>
      <c r="S219" s="303"/>
      <c r="T219" s="303"/>
      <c r="U219" s="303"/>
      <c r="V219" s="303"/>
      <c r="W219" s="303"/>
      <c r="X219" s="303"/>
      <c r="Y219" s="303"/>
      <c r="Z219" s="303"/>
      <c r="AA219" s="303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263"/>
      <c r="AP219" s="254">
        <f t="shared" si="75"/>
        <v>0</v>
      </c>
      <c r="AQ219" s="263"/>
      <c r="AR219" s="254">
        <f t="shared" si="76"/>
        <v>0</v>
      </c>
      <c r="AS219" s="263"/>
      <c r="AT219" s="254">
        <f t="shared" si="77"/>
        <v>0</v>
      </c>
      <c r="AU219" s="263"/>
      <c r="AV219" s="257">
        <f t="shared" si="78"/>
        <v>0</v>
      </c>
      <c r="AW219" s="384"/>
      <c r="AX219" s="257">
        <f t="shared" si="79"/>
        <v>0</v>
      </c>
      <c r="AY219" s="268"/>
      <c r="AZ219" s="257">
        <f t="shared" si="80"/>
        <v>0</v>
      </c>
      <c r="BA219" s="270"/>
      <c r="BB219" s="257">
        <f t="shared" si="81"/>
        <v>0</v>
      </c>
      <c r="BC219" s="270"/>
      <c r="BD219" s="257">
        <f t="shared" si="82"/>
        <v>0</v>
      </c>
      <c r="BE219" s="270"/>
      <c r="BF219" s="257">
        <f t="shared" si="83"/>
        <v>0</v>
      </c>
      <c r="BG219" s="270"/>
      <c r="BH219" s="257">
        <f t="shared" si="84"/>
        <v>0</v>
      </c>
      <c r="BI219" s="270"/>
      <c r="BJ219" s="257">
        <f t="shared" si="85"/>
        <v>0</v>
      </c>
      <c r="BK219" s="270"/>
      <c r="BL219" s="257">
        <f t="shared" si="86"/>
        <v>0</v>
      </c>
    </row>
    <row r="220" spans="1:68" ht="15.75" customHeight="1">
      <c r="A220" s="250"/>
      <c r="C220" s="354"/>
      <c r="D220" s="476"/>
      <c r="E220" s="359"/>
      <c r="F220" s="417"/>
      <c r="G220" s="59"/>
      <c r="H220" s="333"/>
      <c r="I220" s="333"/>
      <c r="J220" s="334"/>
      <c r="K220" s="333"/>
      <c r="L220" s="333"/>
      <c r="M220" s="303"/>
      <c r="N220" s="303"/>
      <c r="O220" s="303"/>
      <c r="P220" s="303"/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263"/>
      <c r="AP220" s="254">
        <f t="shared" si="75"/>
        <v>0</v>
      </c>
      <c r="AQ220" s="263"/>
      <c r="AR220" s="254">
        <f t="shared" si="76"/>
        <v>0</v>
      </c>
      <c r="AS220" s="265"/>
      <c r="AT220" s="254">
        <f t="shared" si="77"/>
        <v>0</v>
      </c>
      <c r="AU220" s="256"/>
      <c r="AV220" s="257">
        <f t="shared" si="78"/>
        <v>0</v>
      </c>
      <c r="AW220" s="382"/>
      <c r="AX220" s="257">
        <f t="shared" si="79"/>
        <v>0</v>
      </c>
      <c r="AY220" s="268"/>
      <c r="AZ220" s="257">
        <f t="shared" si="80"/>
        <v>0</v>
      </c>
      <c r="BA220" s="268"/>
      <c r="BB220" s="257">
        <f t="shared" si="81"/>
        <v>0</v>
      </c>
      <c r="BC220" s="268"/>
      <c r="BD220" s="257">
        <f t="shared" si="82"/>
        <v>0</v>
      </c>
      <c r="BE220" s="268"/>
      <c r="BF220" s="257">
        <f t="shared" si="83"/>
        <v>0</v>
      </c>
      <c r="BG220" s="59"/>
      <c r="BH220" s="257">
        <f t="shared" si="84"/>
        <v>0</v>
      </c>
      <c r="BI220" s="268"/>
      <c r="BJ220" s="257">
        <f t="shared" si="85"/>
        <v>0</v>
      </c>
      <c r="BK220" s="268"/>
      <c r="BL220" s="257">
        <f t="shared" si="86"/>
        <v>0</v>
      </c>
    </row>
    <row r="221" spans="1:68" ht="19.5" customHeight="1">
      <c r="A221" s="250"/>
      <c r="C221" s="354"/>
      <c r="D221" s="476"/>
      <c r="E221" s="359"/>
      <c r="F221" s="417"/>
      <c r="G221" s="59"/>
      <c r="H221" s="339"/>
      <c r="I221" s="339"/>
      <c r="J221" s="340"/>
      <c r="K221" s="339"/>
      <c r="L221" s="339"/>
      <c r="M221" s="303"/>
      <c r="N221" s="303"/>
      <c r="O221" s="303"/>
      <c r="P221" s="303"/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263"/>
      <c r="AP221" s="254">
        <f t="shared" si="75"/>
        <v>0</v>
      </c>
      <c r="AQ221" s="263"/>
      <c r="AR221" s="254">
        <f t="shared" si="76"/>
        <v>0</v>
      </c>
      <c r="AS221" s="265"/>
      <c r="AT221" s="254">
        <f t="shared" si="77"/>
        <v>0</v>
      </c>
      <c r="AU221" s="256"/>
      <c r="AV221" s="257">
        <f t="shared" si="78"/>
        <v>0</v>
      </c>
      <c r="AW221" s="382"/>
      <c r="AX221" s="257">
        <f t="shared" si="79"/>
        <v>0</v>
      </c>
      <c r="AY221" s="268"/>
      <c r="AZ221" s="257">
        <f t="shared" si="80"/>
        <v>0</v>
      </c>
      <c r="BA221" s="268"/>
      <c r="BB221" s="257">
        <f t="shared" si="81"/>
        <v>0</v>
      </c>
      <c r="BC221" s="268"/>
      <c r="BD221" s="257">
        <f t="shared" si="82"/>
        <v>0</v>
      </c>
      <c r="BE221" s="268"/>
      <c r="BF221" s="257">
        <f t="shared" si="83"/>
        <v>0</v>
      </c>
      <c r="BG221" s="59"/>
      <c r="BH221" s="257">
        <f t="shared" si="84"/>
        <v>0</v>
      </c>
      <c r="BI221" s="268"/>
      <c r="BJ221" s="257">
        <f t="shared" si="85"/>
        <v>0</v>
      </c>
      <c r="BK221" s="268"/>
      <c r="BL221" s="257">
        <f t="shared" si="86"/>
        <v>0</v>
      </c>
    </row>
    <row r="222" spans="1:68" ht="17.25" customHeight="1">
      <c r="A222" s="250"/>
      <c r="C222" s="354"/>
      <c r="D222" s="476"/>
      <c r="E222" s="359"/>
      <c r="F222" s="421" t="s">
        <v>79</v>
      </c>
      <c r="G222" s="317"/>
      <c r="H222" s="59"/>
      <c r="I222" s="315"/>
      <c r="J222" s="317"/>
      <c r="K222" s="59"/>
      <c r="L222" s="298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3"/>
      <c r="Y222" s="303"/>
      <c r="Z222" s="303"/>
      <c r="AA222" s="303"/>
      <c r="AB222" s="304"/>
      <c r="AC222" s="304"/>
      <c r="AD222" s="304"/>
      <c r="AE222" s="304"/>
      <c r="AF222" s="304"/>
      <c r="AG222" s="304"/>
      <c r="AH222" s="304"/>
      <c r="AI222" s="304"/>
      <c r="AJ222" s="304"/>
      <c r="AK222" s="304"/>
      <c r="AL222" s="304"/>
      <c r="AM222" s="304"/>
      <c r="AN222" s="304"/>
      <c r="AO222" s="255"/>
      <c r="AP222" s="254"/>
      <c r="AQ222" s="255"/>
      <c r="AR222" s="254"/>
      <c r="AS222" s="255"/>
      <c r="AT222" s="254"/>
      <c r="AU222" s="255"/>
      <c r="AV222" s="257"/>
      <c r="AW222" s="381"/>
      <c r="AX222" s="257"/>
      <c r="AY222" s="388"/>
      <c r="AZ222" s="257"/>
      <c r="BA222" s="255"/>
      <c r="BB222" s="257"/>
      <c r="BC222" s="255"/>
      <c r="BD222" s="257"/>
      <c r="BE222" s="255"/>
      <c r="BF222" s="257"/>
      <c r="BG222" s="255"/>
      <c r="BH222" s="257"/>
      <c r="BI222" s="255"/>
      <c r="BJ222" s="257"/>
      <c r="BK222" s="255"/>
      <c r="BL222" s="257"/>
    </row>
    <row r="223" spans="1:68" ht="14.85" customHeight="1">
      <c r="A223" s="250"/>
      <c r="C223" s="354"/>
      <c r="D223" s="476"/>
      <c r="E223" s="359"/>
      <c r="F223" s="421"/>
      <c r="G223" s="59"/>
      <c r="H223" s="59"/>
      <c r="I223" s="59"/>
      <c r="J223" s="302"/>
      <c r="K223" s="59"/>
      <c r="L223" s="59"/>
      <c r="M223" s="303"/>
      <c r="N223" s="303"/>
      <c r="O223" s="303"/>
      <c r="P223" s="303"/>
      <c r="Q223" s="303"/>
      <c r="R223" s="303"/>
      <c r="S223" s="303"/>
      <c r="T223" s="303"/>
      <c r="U223" s="303"/>
      <c r="V223" s="303"/>
      <c r="W223" s="303"/>
      <c r="X223" s="303"/>
      <c r="Y223" s="303"/>
      <c r="Z223" s="303"/>
      <c r="AA223" s="303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255"/>
      <c r="AP223" s="254">
        <f t="shared" si="75"/>
        <v>0</v>
      </c>
      <c r="AQ223" s="255"/>
      <c r="AR223" s="254">
        <f t="shared" si="76"/>
        <v>0</v>
      </c>
      <c r="AS223" s="255"/>
      <c r="AT223" s="254">
        <f t="shared" si="77"/>
        <v>0</v>
      </c>
      <c r="AU223" s="256"/>
      <c r="AV223" s="257">
        <f t="shared" si="78"/>
        <v>0</v>
      </c>
      <c r="AW223" s="382"/>
      <c r="AX223" s="257">
        <f t="shared" si="79"/>
        <v>0</v>
      </c>
      <c r="AY223" s="268"/>
      <c r="AZ223" s="257">
        <f t="shared" si="80"/>
        <v>0</v>
      </c>
      <c r="BA223" s="268"/>
      <c r="BB223" s="257">
        <f t="shared" si="81"/>
        <v>0</v>
      </c>
      <c r="BC223" s="268"/>
      <c r="BD223" s="257">
        <f t="shared" si="82"/>
        <v>0</v>
      </c>
      <c r="BE223" s="268"/>
      <c r="BF223" s="257">
        <f t="shared" si="83"/>
        <v>0</v>
      </c>
      <c r="BG223" s="59"/>
      <c r="BH223" s="257">
        <f t="shared" si="84"/>
        <v>0</v>
      </c>
      <c r="BI223" s="268"/>
      <c r="BJ223" s="257">
        <f t="shared" si="85"/>
        <v>0</v>
      </c>
      <c r="BK223" s="268"/>
      <c r="BL223" s="257">
        <f t="shared" si="86"/>
        <v>0</v>
      </c>
    </row>
    <row r="224" spans="1:68" ht="15" customHeight="1">
      <c r="A224" s="250" t="s">
        <v>451</v>
      </c>
      <c r="B224" s="59" t="s">
        <v>221</v>
      </c>
      <c r="C224" s="354" t="s">
        <v>172</v>
      </c>
      <c r="D224" s="476"/>
      <c r="E224" s="359" t="s">
        <v>332</v>
      </c>
      <c r="F224" s="421" t="s">
        <v>276</v>
      </c>
      <c r="G224" s="317">
        <v>2023</v>
      </c>
      <c r="H224" s="336" t="s">
        <v>716</v>
      </c>
      <c r="I224" s="332" t="s">
        <v>249</v>
      </c>
      <c r="J224" s="337">
        <v>16</v>
      </c>
      <c r="K224" s="336" t="s">
        <v>717</v>
      </c>
      <c r="L224" s="298" t="s">
        <v>389</v>
      </c>
      <c r="M224" s="303" t="s">
        <v>654</v>
      </c>
      <c r="N224" s="303">
        <v>10.4</v>
      </c>
      <c r="O224" s="303">
        <v>12</v>
      </c>
      <c r="P224" s="303">
        <v>12</v>
      </c>
      <c r="Q224" s="303">
        <v>12</v>
      </c>
      <c r="R224" s="303">
        <v>12</v>
      </c>
      <c r="S224" s="303">
        <v>12</v>
      </c>
      <c r="T224" s="303">
        <v>12</v>
      </c>
      <c r="U224" s="303">
        <v>12</v>
      </c>
      <c r="V224" s="303">
        <v>12</v>
      </c>
      <c r="W224" s="303">
        <v>12</v>
      </c>
      <c r="X224" s="303">
        <v>12</v>
      </c>
      <c r="Y224" s="303">
        <v>12</v>
      </c>
      <c r="Z224" s="303">
        <v>12</v>
      </c>
      <c r="AA224" s="303">
        <v>12</v>
      </c>
      <c r="AB224" s="304">
        <v>2.5</v>
      </c>
      <c r="AC224" s="304">
        <v>2.5</v>
      </c>
      <c r="AD224" s="304">
        <v>2.5</v>
      </c>
      <c r="AE224" s="304">
        <v>2.5</v>
      </c>
      <c r="AF224" s="304">
        <v>2.5</v>
      </c>
      <c r="AG224" s="304">
        <v>2.5</v>
      </c>
      <c r="AH224" s="304">
        <v>2.5</v>
      </c>
      <c r="AI224" s="304">
        <v>2.5</v>
      </c>
      <c r="AJ224" s="304">
        <v>2.5</v>
      </c>
      <c r="AK224" s="304">
        <v>2.5</v>
      </c>
      <c r="AL224" s="304">
        <v>2.5</v>
      </c>
      <c r="AM224" s="304">
        <v>2.5</v>
      </c>
      <c r="AN224" s="304">
        <v>2.5</v>
      </c>
      <c r="AO224" s="255">
        <v>597</v>
      </c>
      <c r="AP224" s="254">
        <f t="shared" si="75"/>
        <v>1492.5</v>
      </c>
      <c r="AQ224" s="255">
        <v>1714</v>
      </c>
      <c r="AR224" s="254">
        <f t="shared" si="76"/>
        <v>4285</v>
      </c>
      <c r="AS224" s="255">
        <v>116</v>
      </c>
      <c r="AT224" s="254">
        <f t="shared" si="77"/>
        <v>290</v>
      </c>
      <c r="AU224" s="255">
        <v>265</v>
      </c>
      <c r="AV224" s="257">
        <f t="shared" si="78"/>
        <v>662.5</v>
      </c>
      <c r="AW224" s="381">
        <v>240</v>
      </c>
      <c r="AX224" s="257">
        <f t="shared" si="79"/>
        <v>600</v>
      </c>
      <c r="AY224" s="388">
        <v>40</v>
      </c>
      <c r="AZ224" s="257">
        <f t="shared" si="80"/>
        <v>100</v>
      </c>
      <c r="BA224" s="255">
        <v>160</v>
      </c>
      <c r="BB224" s="257">
        <f t="shared" si="81"/>
        <v>400</v>
      </c>
      <c r="BC224" s="255">
        <v>80</v>
      </c>
      <c r="BD224" s="257">
        <f t="shared" si="82"/>
        <v>200</v>
      </c>
      <c r="BE224" s="255">
        <v>40</v>
      </c>
      <c r="BF224" s="257">
        <f t="shared" si="83"/>
        <v>100</v>
      </c>
      <c r="BG224" s="255">
        <v>560</v>
      </c>
      <c r="BH224" s="257">
        <f t="shared" si="84"/>
        <v>1400</v>
      </c>
      <c r="BI224" s="268"/>
      <c r="BJ224" s="257">
        <f t="shared" si="85"/>
        <v>0</v>
      </c>
      <c r="BK224" s="268"/>
      <c r="BL224" s="257">
        <f t="shared" si="86"/>
        <v>0</v>
      </c>
      <c r="BM224" s="377" t="s">
        <v>718</v>
      </c>
      <c r="BO224" s="1" t="s">
        <v>457</v>
      </c>
      <c r="BP224" s="1" t="s">
        <v>719</v>
      </c>
    </row>
    <row r="225" spans="1:68" ht="18" customHeight="1">
      <c r="A225" s="250" t="s">
        <v>451</v>
      </c>
      <c r="B225" s="59" t="s">
        <v>221</v>
      </c>
      <c r="C225" s="354" t="s">
        <v>172</v>
      </c>
      <c r="D225" s="476"/>
      <c r="E225" s="359" t="s">
        <v>332</v>
      </c>
      <c r="F225" s="421"/>
      <c r="G225" s="317">
        <v>2023</v>
      </c>
      <c r="H225" s="336" t="s">
        <v>716</v>
      </c>
      <c r="I225" s="332" t="s">
        <v>249</v>
      </c>
      <c r="J225" s="337">
        <v>16</v>
      </c>
      <c r="K225" s="59" t="s">
        <v>720</v>
      </c>
      <c r="L225" s="341" t="s">
        <v>389</v>
      </c>
      <c r="M225" s="303" t="s">
        <v>654</v>
      </c>
      <c r="N225" s="303">
        <v>15.8</v>
      </c>
      <c r="O225" s="303">
        <v>18.8</v>
      </c>
      <c r="P225" s="303">
        <v>18.8</v>
      </c>
      <c r="Q225" s="303">
        <v>18.8</v>
      </c>
      <c r="R225" s="303">
        <v>18.8</v>
      </c>
      <c r="S225" s="303">
        <v>18.8</v>
      </c>
      <c r="T225" s="303">
        <v>18.8</v>
      </c>
      <c r="U225" s="303">
        <v>18.8</v>
      </c>
      <c r="V225" s="303">
        <v>18.8</v>
      </c>
      <c r="W225" s="303">
        <v>18.8</v>
      </c>
      <c r="X225" s="303">
        <v>18.8</v>
      </c>
      <c r="Y225" s="303">
        <v>18.8</v>
      </c>
      <c r="Z225" s="303">
        <v>18.8</v>
      </c>
      <c r="AA225" s="303">
        <v>18.8</v>
      </c>
      <c r="AB225" s="304">
        <v>3.6</v>
      </c>
      <c r="AC225" s="304">
        <v>3.6</v>
      </c>
      <c r="AD225" s="304">
        <v>3.6</v>
      </c>
      <c r="AE225" s="304">
        <v>3.6</v>
      </c>
      <c r="AF225" s="304">
        <v>3.6</v>
      </c>
      <c r="AG225" s="304">
        <v>3.6</v>
      </c>
      <c r="AH225" s="304">
        <v>3.6</v>
      </c>
      <c r="AI225" s="304">
        <v>3.6</v>
      </c>
      <c r="AJ225" s="304">
        <v>3.6</v>
      </c>
      <c r="AK225" s="304">
        <v>3.6</v>
      </c>
      <c r="AL225" s="304">
        <v>3.6</v>
      </c>
      <c r="AM225" s="304">
        <v>3.6</v>
      </c>
      <c r="AN225" s="304">
        <v>3.6</v>
      </c>
      <c r="AO225" s="255">
        <v>4091</v>
      </c>
      <c r="AP225" s="254">
        <f t="shared" si="75"/>
        <v>14727.6</v>
      </c>
      <c r="AQ225" s="255">
        <v>3653</v>
      </c>
      <c r="AR225" s="254">
        <f t="shared" si="76"/>
        <v>13150.800000000001</v>
      </c>
      <c r="AS225" s="255">
        <v>2275</v>
      </c>
      <c r="AT225" s="254">
        <f t="shared" si="77"/>
        <v>8190</v>
      </c>
      <c r="AU225" s="255">
        <v>4343</v>
      </c>
      <c r="AV225" s="257">
        <f t="shared" si="78"/>
        <v>15634.800000000001</v>
      </c>
      <c r="AW225" s="381">
        <v>1981</v>
      </c>
      <c r="AX225" s="257">
        <f t="shared" si="79"/>
        <v>7131.6</v>
      </c>
      <c r="AY225" s="388">
        <v>1272</v>
      </c>
      <c r="AZ225" s="257">
        <f t="shared" si="80"/>
        <v>4579.2</v>
      </c>
      <c r="BA225" s="255">
        <v>319</v>
      </c>
      <c r="BB225" s="257">
        <f t="shared" si="81"/>
        <v>1148.4000000000001</v>
      </c>
      <c r="BC225" s="255">
        <v>79</v>
      </c>
      <c r="BD225" s="257">
        <f t="shared" si="82"/>
        <v>284.40000000000003</v>
      </c>
      <c r="BE225" s="255">
        <v>240</v>
      </c>
      <c r="BF225" s="257">
        <f t="shared" si="83"/>
        <v>864</v>
      </c>
      <c r="BG225" s="255"/>
      <c r="BH225" s="257">
        <f t="shared" si="84"/>
        <v>0</v>
      </c>
      <c r="BI225" s="255"/>
      <c r="BJ225" s="257">
        <f t="shared" si="85"/>
        <v>0</v>
      </c>
      <c r="BK225" s="255">
        <v>117</v>
      </c>
      <c r="BL225" s="257">
        <f t="shared" si="86"/>
        <v>421.2</v>
      </c>
      <c r="BM225" s="377" t="s">
        <v>721</v>
      </c>
      <c r="BO225" s="1" t="s">
        <v>457</v>
      </c>
      <c r="BP225" s="1" t="s">
        <v>722</v>
      </c>
    </row>
    <row r="226" spans="1:68" ht="18" customHeight="1">
      <c r="A226" s="250" t="s">
        <v>451</v>
      </c>
      <c r="B226" s="59" t="s">
        <v>221</v>
      </c>
      <c r="C226" s="354" t="s">
        <v>172</v>
      </c>
      <c r="D226" s="476"/>
      <c r="E226" s="359" t="s">
        <v>332</v>
      </c>
      <c r="F226" s="421"/>
      <c r="G226" s="317">
        <v>2023</v>
      </c>
      <c r="H226" s="336" t="s">
        <v>716</v>
      </c>
      <c r="I226" s="332" t="s">
        <v>249</v>
      </c>
      <c r="J226" s="337">
        <v>16</v>
      </c>
      <c r="K226" s="336" t="s">
        <v>723</v>
      </c>
      <c r="L226" s="341" t="s">
        <v>389</v>
      </c>
      <c r="M226" s="303" t="s">
        <v>654</v>
      </c>
      <c r="N226" s="303">
        <v>10.4</v>
      </c>
      <c r="O226" s="303">
        <v>12</v>
      </c>
      <c r="P226" s="303">
        <v>12</v>
      </c>
      <c r="Q226" s="303">
        <v>12</v>
      </c>
      <c r="R226" s="303">
        <v>12</v>
      </c>
      <c r="S226" s="303">
        <v>12</v>
      </c>
      <c r="T226" s="303">
        <v>12</v>
      </c>
      <c r="U226" s="303">
        <v>12</v>
      </c>
      <c r="V226" s="303">
        <v>12</v>
      </c>
      <c r="W226" s="303">
        <v>12</v>
      </c>
      <c r="X226" s="303">
        <v>12</v>
      </c>
      <c r="Y226" s="303">
        <v>12</v>
      </c>
      <c r="Z226" s="303">
        <v>12</v>
      </c>
      <c r="AA226" s="303">
        <v>12</v>
      </c>
      <c r="AB226" s="304">
        <v>2.5</v>
      </c>
      <c r="AC226" s="304">
        <v>2.5</v>
      </c>
      <c r="AD226" s="304">
        <v>2.5</v>
      </c>
      <c r="AE226" s="304">
        <v>2.5</v>
      </c>
      <c r="AF226" s="304">
        <v>2.5</v>
      </c>
      <c r="AG226" s="304">
        <v>2.5</v>
      </c>
      <c r="AH226" s="304">
        <v>2.5</v>
      </c>
      <c r="AI226" s="304">
        <v>2.5</v>
      </c>
      <c r="AJ226" s="304">
        <v>2.5</v>
      </c>
      <c r="AK226" s="304">
        <v>2.5</v>
      </c>
      <c r="AL226" s="304">
        <v>2.5</v>
      </c>
      <c r="AM226" s="304">
        <v>2.5</v>
      </c>
      <c r="AN226" s="304">
        <v>2.5</v>
      </c>
      <c r="AO226" s="255">
        <v>10471</v>
      </c>
      <c r="AP226" s="254">
        <f t="shared" ref="AP226:AP249" si="123">AC226*AO226</f>
        <v>26177.5</v>
      </c>
      <c r="AQ226" s="255">
        <v>179</v>
      </c>
      <c r="AR226" s="254">
        <f t="shared" ref="AR226:AR249" si="124">AD226*AQ226</f>
        <v>447.5</v>
      </c>
      <c r="AS226" s="255">
        <v>80</v>
      </c>
      <c r="AT226" s="254">
        <f t="shared" ref="AT226:AT249" si="125">AE226*AS226</f>
        <v>200</v>
      </c>
      <c r="AU226" s="256">
        <v>1230</v>
      </c>
      <c r="AV226" s="257">
        <f t="shared" ref="AV226:AV249" si="126">AF226*AU226</f>
        <v>3075</v>
      </c>
      <c r="AW226" s="381">
        <v>2831</v>
      </c>
      <c r="AX226" s="257">
        <f t="shared" ref="AX226:AX249" si="127">AG226*AW226</f>
        <v>7077.5</v>
      </c>
      <c r="AY226" s="388">
        <v>1995</v>
      </c>
      <c r="AZ226" s="257">
        <f t="shared" ref="AZ226:AZ249" si="128">AH226*AY226</f>
        <v>4987.5</v>
      </c>
      <c r="BA226" s="255">
        <v>159</v>
      </c>
      <c r="BB226" s="257">
        <f t="shared" ref="BB226:BB249" si="129">AI226*BA226</f>
        <v>397.5</v>
      </c>
      <c r="BC226" s="255">
        <v>40</v>
      </c>
      <c r="BD226" s="257">
        <f t="shared" ref="BD226:BD249" si="130">AJ226*BC226</f>
        <v>100</v>
      </c>
      <c r="BE226" s="255">
        <v>40</v>
      </c>
      <c r="BF226" s="257">
        <f t="shared" ref="BF226:BF249" si="131">AK226*BE226</f>
        <v>100</v>
      </c>
      <c r="BG226" s="255">
        <v>200</v>
      </c>
      <c r="BH226" s="257">
        <f t="shared" ref="BH226:BH249" si="132">AL226*BG226</f>
        <v>500</v>
      </c>
      <c r="BI226" s="255">
        <v>80</v>
      </c>
      <c r="BJ226" s="257">
        <f t="shared" ref="BJ226:BJ249" si="133">AM226*BI226</f>
        <v>200</v>
      </c>
      <c r="BK226" s="255">
        <v>160</v>
      </c>
      <c r="BL226" s="257">
        <f t="shared" ref="BL226:BL254" si="134">AN226*BK226</f>
        <v>400</v>
      </c>
      <c r="BM226" s="1" t="s">
        <v>724</v>
      </c>
      <c r="BO226" s="1" t="s">
        <v>457</v>
      </c>
      <c r="BP226" s="1" t="s">
        <v>725</v>
      </c>
    </row>
    <row r="227" spans="1:68" ht="18" customHeight="1">
      <c r="A227" s="250" t="s">
        <v>451</v>
      </c>
      <c r="B227" s="59" t="s">
        <v>221</v>
      </c>
      <c r="C227" s="354" t="s">
        <v>172</v>
      </c>
      <c r="D227" s="476"/>
      <c r="E227" s="359" t="s">
        <v>332</v>
      </c>
      <c r="F227" s="421"/>
      <c r="G227" s="317">
        <v>2023</v>
      </c>
      <c r="H227" s="336" t="s">
        <v>716</v>
      </c>
      <c r="I227" s="332" t="s">
        <v>249</v>
      </c>
      <c r="J227" s="337">
        <v>16</v>
      </c>
      <c r="K227" s="326" t="s">
        <v>726</v>
      </c>
      <c r="L227" s="341" t="s">
        <v>389</v>
      </c>
      <c r="M227" s="303" t="s">
        <v>654</v>
      </c>
      <c r="N227" s="303">
        <v>15.8</v>
      </c>
      <c r="O227" s="303">
        <v>18.8</v>
      </c>
      <c r="P227" s="303">
        <v>18.8</v>
      </c>
      <c r="Q227" s="303">
        <v>18.8</v>
      </c>
      <c r="R227" s="303">
        <v>18.8</v>
      </c>
      <c r="S227" s="303">
        <v>18.8</v>
      </c>
      <c r="T227" s="303">
        <v>18.8</v>
      </c>
      <c r="U227" s="303">
        <v>18.8</v>
      </c>
      <c r="V227" s="303">
        <v>18.8</v>
      </c>
      <c r="W227" s="303">
        <v>18.8</v>
      </c>
      <c r="X227" s="303">
        <v>18.8</v>
      </c>
      <c r="Y227" s="303">
        <v>18.8</v>
      </c>
      <c r="Z227" s="303">
        <v>18.8</v>
      </c>
      <c r="AA227" s="303">
        <v>18.8</v>
      </c>
      <c r="AB227" s="304">
        <v>3.6</v>
      </c>
      <c r="AC227" s="304">
        <v>3.6</v>
      </c>
      <c r="AD227" s="304">
        <v>3.6</v>
      </c>
      <c r="AE227" s="304">
        <v>3.6</v>
      </c>
      <c r="AF227" s="304">
        <v>3.6</v>
      </c>
      <c r="AG227" s="304">
        <v>3.6</v>
      </c>
      <c r="AH227" s="304">
        <v>3.6</v>
      </c>
      <c r="AI227" s="304">
        <v>3.6</v>
      </c>
      <c r="AJ227" s="304">
        <v>3.6</v>
      </c>
      <c r="AK227" s="304">
        <v>3.6</v>
      </c>
      <c r="AL227" s="304">
        <v>3.6</v>
      </c>
      <c r="AM227" s="304">
        <v>3.6</v>
      </c>
      <c r="AN227" s="304">
        <v>3.6</v>
      </c>
      <c r="AO227" s="255">
        <v>2793</v>
      </c>
      <c r="AP227" s="254">
        <f t="shared" si="123"/>
        <v>10054.800000000001</v>
      </c>
      <c r="AQ227" s="255">
        <v>3555</v>
      </c>
      <c r="AR227" s="254">
        <f t="shared" si="124"/>
        <v>12798</v>
      </c>
      <c r="AS227" s="255">
        <v>632</v>
      </c>
      <c r="AT227" s="254">
        <f t="shared" si="125"/>
        <v>2275.2000000000003</v>
      </c>
      <c r="AU227" s="255">
        <v>1518</v>
      </c>
      <c r="AV227" s="257">
        <f t="shared" si="126"/>
        <v>5464.8</v>
      </c>
      <c r="AW227" s="381">
        <v>3034</v>
      </c>
      <c r="AX227" s="257">
        <f t="shared" si="127"/>
        <v>10922.4</v>
      </c>
      <c r="AY227" s="388">
        <v>1475</v>
      </c>
      <c r="AZ227" s="257">
        <f t="shared" si="128"/>
        <v>5310</v>
      </c>
      <c r="BA227" s="255">
        <v>40</v>
      </c>
      <c r="BB227" s="257">
        <f t="shared" si="129"/>
        <v>144</v>
      </c>
      <c r="BC227" s="255">
        <v>40</v>
      </c>
      <c r="BD227" s="257">
        <f t="shared" si="130"/>
        <v>144</v>
      </c>
      <c r="BE227" s="255">
        <v>80</v>
      </c>
      <c r="BF227" s="257">
        <f t="shared" si="131"/>
        <v>288</v>
      </c>
      <c r="BG227" s="255"/>
      <c r="BH227" s="257">
        <f t="shared" si="132"/>
        <v>0</v>
      </c>
      <c r="BI227" s="255">
        <v>40</v>
      </c>
      <c r="BJ227" s="257">
        <f t="shared" si="133"/>
        <v>144</v>
      </c>
      <c r="BK227" s="255">
        <v>40</v>
      </c>
      <c r="BL227" s="257">
        <f t="shared" si="134"/>
        <v>144</v>
      </c>
      <c r="BM227" s="1" t="s">
        <v>727</v>
      </c>
      <c r="BO227" s="1" t="s">
        <v>457</v>
      </c>
      <c r="BP227" s="1" t="s">
        <v>728</v>
      </c>
    </row>
    <row r="228" spans="1:68" ht="18" customHeight="1">
      <c r="A228" s="250" t="s">
        <v>451</v>
      </c>
      <c r="B228" s="59" t="s">
        <v>221</v>
      </c>
      <c r="C228" s="354" t="s">
        <v>172</v>
      </c>
      <c r="D228" s="476"/>
      <c r="E228" s="359" t="s">
        <v>332</v>
      </c>
      <c r="F228" s="421"/>
      <c r="G228" s="317">
        <v>2023</v>
      </c>
      <c r="H228" s="336" t="s">
        <v>729</v>
      </c>
      <c r="I228" s="332" t="s">
        <v>249</v>
      </c>
      <c r="J228" s="337">
        <v>16</v>
      </c>
      <c r="K228" s="326" t="s">
        <v>720</v>
      </c>
      <c r="L228" s="341" t="s">
        <v>389</v>
      </c>
      <c r="M228" s="303" t="s">
        <v>654</v>
      </c>
      <c r="N228" s="303">
        <v>15.8</v>
      </c>
      <c r="O228" s="303">
        <v>18.8</v>
      </c>
      <c r="P228" s="303">
        <v>18.8</v>
      </c>
      <c r="Q228" s="303">
        <v>18.8</v>
      </c>
      <c r="R228" s="303">
        <v>18.8</v>
      </c>
      <c r="S228" s="303">
        <v>18.8</v>
      </c>
      <c r="T228" s="303">
        <v>18.8</v>
      </c>
      <c r="U228" s="303">
        <v>18.8</v>
      </c>
      <c r="V228" s="303">
        <v>18.8</v>
      </c>
      <c r="W228" s="303">
        <v>18.8</v>
      </c>
      <c r="X228" s="303">
        <v>18.8</v>
      </c>
      <c r="Y228" s="303">
        <v>18.8</v>
      </c>
      <c r="Z228" s="303">
        <v>18.8</v>
      </c>
      <c r="AA228" s="303">
        <v>18.8</v>
      </c>
      <c r="AB228" s="304">
        <v>3.6</v>
      </c>
      <c r="AC228" s="304">
        <v>3.6</v>
      </c>
      <c r="AD228" s="304">
        <v>3.6</v>
      </c>
      <c r="AE228" s="304">
        <v>3.6</v>
      </c>
      <c r="AF228" s="304">
        <v>3.6</v>
      </c>
      <c r="AG228" s="304">
        <v>3.6</v>
      </c>
      <c r="AH228" s="304">
        <v>3.6</v>
      </c>
      <c r="AI228" s="304">
        <v>3.6</v>
      </c>
      <c r="AJ228" s="304">
        <v>3.6</v>
      </c>
      <c r="AK228" s="304">
        <v>3.6</v>
      </c>
      <c r="AL228" s="304">
        <v>3.6</v>
      </c>
      <c r="AM228" s="304">
        <v>3.6</v>
      </c>
      <c r="AN228" s="304">
        <v>3.6</v>
      </c>
      <c r="AO228" s="255">
        <v>426</v>
      </c>
      <c r="AP228" s="254">
        <f t="shared" si="123"/>
        <v>1533.6000000000001</v>
      </c>
      <c r="AQ228" s="255">
        <v>556</v>
      </c>
      <c r="AR228" s="254">
        <f t="shared" si="124"/>
        <v>2001.6000000000001</v>
      </c>
      <c r="AS228" s="261">
        <v>40</v>
      </c>
      <c r="AT228" s="254">
        <f t="shared" si="125"/>
        <v>144</v>
      </c>
      <c r="AU228" s="256">
        <v>190</v>
      </c>
      <c r="AV228" s="257">
        <f t="shared" si="126"/>
        <v>684</v>
      </c>
      <c r="AW228" s="381">
        <v>194</v>
      </c>
      <c r="AX228" s="257">
        <f t="shared" si="127"/>
        <v>698.4</v>
      </c>
      <c r="AY228" s="389">
        <v>74</v>
      </c>
      <c r="AZ228" s="257">
        <f t="shared" si="128"/>
        <v>266.40000000000003</v>
      </c>
      <c r="BA228" s="255">
        <v>239</v>
      </c>
      <c r="BB228" s="257">
        <f t="shared" si="129"/>
        <v>860.4</v>
      </c>
      <c r="BC228" s="255">
        <v>80</v>
      </c>
      <c r="BD228" s="257">
        <f t="shared" si="130"/>
        <v>288</v>
      </c>
      <c r="BE228" s="274"/>
      <c r="BF228" s="257">
        <f t="shared" si="131"/>
        <v>0</v>
      </c>
      <c r="BG228" s="59"/>
      <c r="BH228" s="257">
        <f t="shared" si="132"/>
        <v>0</v>
      </c>
      <c r="BI228" s="268"/>
      <c r="BJ228" s="257">
        <f t="shared" si="133"/>
        <v>0</v>
      </c>
      <c r="BK228" s="268"/>
      <c r="BL228" s="257">
        <f t="shared" si="134"/>
        <v>0</v>
      </c>
      <c r="BM228" s="377" t="s">
        <v>730</v>
      </c>
      <c r="BO228" s="1" t="s">
        <v>457</v>
      </c>
      <c r="BP228" s="1" t="s">
        <v>731</v>
      </c>
    </row>
    <row r="229" spans="1:68" ht="18" customHeight="1">
      <c r="A229" s="250" t="s">
        <v>451</v>
      </c>
      <c r="B229" s="59" t="s">
        <v>221</v>
      </c>
      <c r="C229" s="354" t="s">
        <v>172</v>
      </c>
      <c r="D229" s="476"/>
      <c r="E229" s="359" t="s">
        <v>332</v>
      </c>
      <c r="F229" s="421"/>
      <c r="G229" s="317">
        <v>2023</v>
      </c>
      <c r="H229" s="336" t="s">
        <v>729</v>
      </c>
      <c r="I229" s="332" t="s">
        <v>249</v>
      </c>
      <c r="J229" s="337">
        <v>16</v>
      </c>
      <c r="K229" s="59" t="s">
        <v>732</v>
      </c>
      <c r="L229" s="341" t="s">
        <v>389</v>
      </c>
      <c r="M229" s="303" t="s">
        <v>654</v>
      </c>
      <c r="N229" s="303">
        <v>15.8</v>
      </c>
      <c r="O229" s="303">
        <v>18.8</v>
      </c>
      <c r="P229" s="303">
        <v>18.8</v>
      </c>
      <c r="Q229" s="303">
        <v>18.8</v>
      </c>
      <c r="R229" s="303">
        <v>18.8</v>
      </c>
      <c r="S229" s="303">
        <v>18.8</v>
      </c>
      <c r="T229" s="303">
        <v>18.8</v>
      </c>
      <c r="U229" s="303">
        <v>18.8</v>
      </c>
      <c r="V229" s="303">
        <v>18.8</v>
      </c>
      <c r="W229" s="303">
        <v>18.8</v>
      </c>
      <c r="X229" s="303">
        <v>18.8</v>
      </c>
      <c r="Y229" s="303">
        <v>18.8</v>
      </c>
      <c r="Z229" s="303">
        <v>18.8</v>
      </c>
      <c r="AA229" s="303">
        <v>18.8</v>
      </c>
      <c r="AB229" s="304">
        <v>3.6</v>
      </c>
      <c r="AC229" s="304">
        <v>3.6</v>
      </c>
      <c r="AD229" s="304">
        <v>3.6</v>
      </c>
      <c r="AE229" s="304">
        <v>3.6</v>
      </c>
      <c r="AF229" s="304">
        <v>3.6</v>
      </c>
      <c r="AG229" s="304">
        <v>3.6</v>
      </c>
      <c r="AH229" s="304">
        <v>3.6</v>
      </c>
      <c r="AI229" s="304">
        <v>3.6</v>
      </c>
      <c r="AJ229" s="304">
        <v>3.6</v>
      </c>
      <c r="AK229" s="304">
        <v>3.6</v>
      </c>
      <c r="AL229" s="304">
        <v>3.6</v>
      </c>
      <c r="AM229" s="304">
        <v>3.6</v>
      </c>
      <c r="AN229" s="304">
        <v>3.6</v>
      </c>
      <c r="AO229" s="255">
        <v>398</v>
      </c>
      <c r="AP229" s="254">
        <f t="shared" si="123"/>
        <v>1432.8</v>
      </c>
      <c r="AQ229" s="255">
        <v>626</v>
      </c>
      <c r="AR229" s="254">
        <f t="shared" si="124"/>
        <v>2253.6</v>
      </c>
      <c r="AS229" s="261">
        <v>120</v>
      </c>
      <c r="AT229" s="254">
        <f t="shared" si="125"/>
        <v>432</v>
      </c>
      <c r="AU229" s="256">
        <v>197</v>
      </c>
      <c r="AV229" s="257">
        <f t="shared" si="126"/>
        <v>709.2</v>
      </c>
      <c r="AW229" s="381">
        <v>237</v>
      </c>
      <c r="AX229" s="257">
        <f t="shared" si="127"/>
        <v>853.2</v>
      </c>
      <c r="AY229" s="389">
        <v>440</v>
      </c>
      <c r="AZ229" s="257">
        <f t="shared" si="128"/>
        <v>1584</v>
      </c>
      <c r="BA229" s="255">
        <v>560</v>
      </c>
      <c r="BB229" s="257">
        <f t="shared" si="129"/>
        <v>2016</v>
      </c>
      <c r="BC229" s="255"/>
      <c r="BD229" s="257">
        <f t="shared" si="130"/>
        <v>0</v>
      </c>
      <c r="BE229" s="274"/>
      <c r="BF229" s="257">
        <f t="shared" si="131"/>
        <v>0</v>
      </c>
      <c r="BG229" s="59"/>
      <c r="BH229" s="257">
        <f t="shared" si="132"/>
        <v>0</v>
      </c>
      <c r="BI229" s="268"/>
      <c r="BJ229" s="257">
        <f t="shared" si="133"/>
        <v>0</v>
      </c>
      <c r="BK229" s="268"/>
      <c r="BL229" s="257">
        <f t="shared" si="134"/>
        <v>0</v>
      </c>
      <c r="BM229" s="377" t="s">
        <v>733</v>
      </c>
      <c r="BO229" s="1" t="s">
        <v>457</v>
      </c>
      <c r="BP229" s="1" t="s">
        <v>734</v>
      </c>
    </row>
    <row r="230" spans="1:68" ht="18" customHeight="1">
      <c r="A230" s="250" t="s">
        <v>451</v>
      </c>
      <c r="B230" s="59" t="s">
        <v>221</v>
      </c>
      <c r="C230" s="354" t="s">
        <v>172</v>
      </c>
      <c r="D230" s="476"/>
      <c r="E230" s="359" t="s">
        <v>332</v>
      </c>
      <c r="F230" s="421"/>
      <c r="G230" s="317">
        <v>2024</v>
      </c>
      <c r="H230" s="336" t="s">
        <v>735</v>
      </c>
      <c r="I230" s="332" t="s">
        <v>249</v>
      </c>
      <c r="J230" s="337">
        <v>14</v>
      </c>
      <c r="K230" s="326" t="s">
        <v>720</v>
      </c>
      <c r="L230" s="323" t="s">
        <v>344</v>
      </c>
      <c r="M230" s="303" t="s">
        <v>541</v>
      </c>
      <c r="N230" s="303">
        <v>19.850000000000001</v>
      </c>
      <c r="O230" s="303">
        <v>21.85</v>
      </c>
      <c r="P230" s="303">
        <v>23.55</v>
      </c>
      <c r="Q230" s="303">
        <v>23.55</v>
      </c>
      <c r="R230" s="303">
        <v>23.55</v>
      </c>
      <c r="S230" s="303">
        <v>23.55</v>
      </c>
      <c r="T230" s="303">
        <v>23.55</v>
      </c>
      <c r="U230" s="303">
        <v>23.55</v>
      </c>
      <c r="V230" s="303">
        <v>23.55</v>
      </c>
      <c r="W230" s="303">
        <v>23.55</v>
      </c>
      <c r="X230" s="303">
        <v>23.55</v>
      </c>
      <c r="Y230" s="303">
        <v>21.85</v>
      </c>
      <c r="Z230" s="303">
        <v>21.85</v>
      </c>
      <c r="AA230" s="303">
        <v>21.85</v>
      </c>
      <c r="AB230" s="304">
        <v>2.25</v>
      </c>
      <c r="AC230" s="304">
        <v>3.7</v>
      </c>
      <c r="AD230" s="304">
        <v>3.7</v>
      </c>
      <c r="AE230" s="304">
        <v>3.7</v>
      </c>
      <c r="AF230" s="304">
        <v>3.7</v>
      </c>
      <c r="AG230" s="304">
        <v>3.7</v>
      </c>
      <c r="AH230" s="304">
        <v>3.7</v>
      </c>
      <c r="AI230" s="304">
        <v>3.7</v>
      </c>
      <c r="AJ230" s="304">
        <v>3.7</v>
      </c>
      <c r="AK230" s="304">
        <v>3.7</v>
      </c>
      <c r="AL230" s="304">
        <v>2.25</v>
      </c>
      <c r="AM230" s="304">
        <v>2.25</v>
      </c>
      <c r="AN230" s="304">
        <v>2.25</v>
      </c>
      <c r="AO230" s="255">
        <v>920</v>
      </c>
      <c r="AP230" s="254">
        <f t="shared" si="123"/>
        <v>3404</v>
      </c>
      <c r="AQ230" s="255">
        <v>778</v>
      </c>
      <c r="AR230" s="254">
        <f t="shared" si="124"/>
        <v>2878.6000000000004</v>
      </c>
      <c r="AS230" s="255">
        <v>2399</v>
      </c>
      <c r="AT230" s="254">
        <f t="shared" si="125"/>
        <v>8876.3000000000011</v>
      </c>
      <c r="AU230" s="255">
        <v>1520</v>
      </c>
      <c r="AV230" s="257">
        <f t="shared" si="126"/>
        <v>5624</v>
      </c>
      <c r="AW230" s="381">
        <v>840</v>
      </c>
      <c r="AX230" s="257">
        <f t="shared" si="127"/>
        <v>3108</v>
      </c>
      <c r="AY230" s="388">
        <v>599</v>
      </c>
      <c r="AZ230" s="257">
        <f t="shared" si="128"/>
        <v>2216.3000000000002</v>
      </c>
      <c r="BA230" s="255">
        <v>600</v>
      </c>
      <c r="BB230" s="257">
        <f t="shared" si="129"/>
        <v>2220</v>
      </c>
      <c r="BC230" s="255">
        <v>555</v>
      </c>
      <c r="BD230" s="257">
        <f t="shared" si="130"/>
        <v>2053.5</v>
      </c>
      <c r="BE230" s="255">
        <v>240</v>
      </c>
      <c r="BF230" s="257">
        <f t="shared" si="131"/>
        <v>888</v>
      </c>
      <c r="BG230" s="255">
        <v>80</v>
      </c>
      <c r="BH230" s="257">
        <f t="shared" si="132"/>
        <v>180</v>
      </c>
      <c r="BI230" s="255">
        <v>80</v>
      </c>
      <c r="BJ230" s="257">
        <f t="shared" si="133"/>
        <v>180</v>
      </c>
      <c r="BK230" s="255">
        <v>40</v>
      </c>
      <c r="BL230" s="257">
        <f t="shared" si="134"/>
        <v>90</v>
      </c>
      <c r="BM230" s="377" t="s">
        <v>736</v>
      </c>
      <c r="BO230" s="1" t="s">
        <v>457</v>
      </c>
      <c r="BP230" s="1" t="s">
        <v>737</v>
      </c>
    </row>
    <row r="231" spans="1:68" ht="18" customHeight="1">
      <c r="A231" s="250" t="s">
        <v>451</v>
      </c>
      <c r="B231" s="59" t="s">
        <v>221</v>
      </c>
      <c r="C231" s="354" t="s">
        <v>172</v>
      </c>
      <c r="D231" s="476"/>
      <c r="E231" s="359" t="s">
        <v>332</v>
      </c>
      <c r="F231" s="421"/>
      <c r="G231" s="317">
        <v>2024</v>
      </c>
      <c r="H231" s="336" t="s">
        <v>735</v>
      </c>
      <c r="I231" s="332" t="s">
        <v>249</v>
      </c>
      <c r="J231" s="337">
        <v>14</v>
      </c>
      <c r="K231" s="326" t="s">
        <v>732</v>
      </c>
      <c r="L231" s="323" t="s">
        <v>344</v>
      </c>
      <c r="M231" s="303" t="s">
        <v>541</v>
      </c>
      <c r="N231" s="303">
        <v>19.850000000000001</v>
      </c>
      <c r="O231" s="303">
        <v>21.85</v>
      </c>
      <c r="P231" s="303">
        <v>23.55</v>
      </c>
      <c r="Q231" s="303">
        <v>23.55</v>
      </c>
      <c r="R231" s="303">
        <v>23.55</v>
      </c>
      <c r="S231" s="303">
        <v>23.55</v>
      </c>
      <c r="T231" s="303">
        <v>23.55</v>
      </c>
      <c r="U231" s="303">
        <v>23.55</v>
      </c>
      <c r="V231" s="303">
        <v>23.55</v>
      </c>
      <c r="W231" s="303">
        <v>23.55</v>
      </c>
      <c r="X231" s="303">
        <v>23.55</v>
      </c>
      <c r="Y231" s="303">
        <v>21.85</v>
      </c>
      <c r="Z231" s="303">
        <v>21.85</v>
      </c>
      <c r="AA231" s="303">
        <v>21.85</v>
      </c>
      <c r="AB231" s="304">
        <v>2.25</v>
      </c>
      <c r="AC231" s="304">
        <v>3.7</v>
      </c>
      <c r="AD231" s="304">
        <v>3.7</v>
      </c>
      <c r="AE231" s="304">
        <v>3.7</v>
      </c>
      <c r="AF231" s="304">
        <v>3.7</v>
      </c>
      <c r="AG231" s="304">
        <v>3.7</v>
      </c>
      <c r="AH231" s="304">
        <v>3.7</v>
      </c>
      <c r="AI231" s="304">
        <v>3.7</v>
      </c>
      <c r="AJ231" s="304">
        <v>3.7</v>
      </c>
      <c r="AK231" s="304">
        <v>3.7</v>
      </c>
      <c r="AL231" s="304">
        <v>2.25</v>
      </c>
      <c r="AM231" s="304">
        <v>2.25</v>
      </c>
      <c r="AN231" s="304">
        <v>2.25</v>
      </c>
      <c r="AO231" s="255">
        <v>160</v>
      </c>
      <c r="AP231" s="254">
        <f t="shared" si="123"/>
        <v>592</v>
      </c>
      <c r="AQ231" s="255">
        <v>200</v>
      </c>
      <c r="AR231" s="254">
        <f t="shared" si="124"/>
        <v>740</v>
      </c>
      <c r="AS231" s="255">
        <v>360</v>
      </c>
      <c r="AT231" s="254">
        <f t="shared" si="125"/>
        <v>1332</v>
      </c>
      <c r="AU231" s="255">
        <v>320</v>
      </c>
      <c r="AV231" s="257">
        <f t="shared" si="126"/>
        <v>1184</v>
      </c>
      <c r="AW231" s="381">
        <v>120</v>
      </c>
      <c r="AX231" s="257">
        <f t="shared" si="127"/>
        <v>444</v>
      </c>
      <c r="AY231" s="388">
        <v>40</v>
      </c>
      <c r="AZ231" s="257">
        <f t="shared" si="128"/>
        <v>148</v>
      </c>
      <c r="BA231" s="255">
        <v>40</v>
      </c>
      <c r="BB231" s="257">
        <f t="shared" si="129"/>
        <v>148</v>
      </c>
      <c r="BC231" s="255">
        <v>120</v>
      </c>
      <c r="BD231" s="257">
        <f t="shared" si="130"/>
        <v>444</v>
      </c>
      <c r="BE231" s="268">
        <v>40</v>
      </c>
      <c r="BF231" s="257">
        <f t="shared" si="131"/>
        <v>148</v>
      </c>
      <c r="BG231" s="256"/>
      <c r="BH231" s="257">
        <f t="shared" si="132"/>
        <v>0</v>
      </c>
      <c r="BI231" s="268"/>
      <c r="BJ231" s="257">
        <f t="shared" si="133"/>
        <v>0</v>
      </c>
      <c r="BK231" s="268">
        <v>40</v>
      </c>
      <c r="BL231" s="257">
        <f t="shared" si="134"/>
        <v>90</v>
      </c>
      <c r="BM231" s="377" t="s">
        <v>738</v>
      </c>
      <c r="BO231" s="1" t="s">
        <v>457</v>
      </c>
      <c r="BP231" s="1" t="s">
        <v>739</v>
      </c>
    </row>
    <row r="232" spans="1:68" ht="18" customHeight="1">
      <c r="A232" s="250" t="s">
        <v>451</v>
      </c>
      <c r="B232" s="59" t="s">
        <v>221</v>
      </c>
      <c r="C232" s="354" t="s">
        <v>172</v>
      </c>
      <c r="D232" s="476"/>
      <c r="E232" s="359" t="s">
        <v>332</v>
      </c>
      <c r="F232" s="421"/>
      <c r="G232" s="317">
        <v>2024</v>
      </c>
      <c r="H232" s="336" t="s">
        <v>735</v>
      </c>
      <c r="I232" s="332" t="s">
        <v>249</v>
      </c>
      <c r="J232" s="337">
        <v>14</v>
      </c>
      <c r="K232" s="336" t="s">
        <v>740</v>
      </c>
      <c r="L232" s="323" t="s">
        <v>344</v>
      </c>
      <c r="M232" s="303" t="s">
        <v>541</v>
      </c>
      <c r="N232" s="303">
        <v>53</v>
      </c>
      <c r="O232" s="303">
        <v>53.5</v>
      </c>
      <c r="P232" s="303">
        <v>55</v>
      </c>
      <c r="Q232" s="303">
        <v>55</v>
      </c>
      <c r="R232" s="303">
        <v>55</v>
      </c>
      <c r="S232" s="303">
        <v>55</v>
      </c>
      <c r="T232" s="303">
        <v>55</v>
      </c>
      <c r="U232" s="303">
        <v>55</v>
      </c>
      <c r="V232" s="303">
        <v>55</v>
      </c>
      <c r="W232" s="303">
        <v>55</v>
      </c>
      <c r="X232" s="303">
        <v>55</v>
      </c>
      <c r="Y232" s="303">
        <v>53.5</v>
      </c>
      <c r="Z232" s="303">
        <v>53.5</v>
      </c>
      <c r="AA232" s="303">
        <v>53.5</v>
      </c>
      <c r="AB232" s="59">
        <v>1.5</v>
      </c>
      <c r="AC232" s="59">
        <v>2</v>
      </c>
      <c r="AD232" s="59">
        <v>2</v>
      </c>
      <c r="AE232" s="59">
        <v>2</v>
      </c>
      <c r="AF232" s="59">
        <v>2</v>
      </c>
      <c r="AG232" s="59">
        <v>2</v>
      </c>
      <c r="AH232" s="59">
        <v>2</v>
      </c>
      <c r="AI232" s="59">
        <v>2</v>
      </c>
      <c r="AJ232" s="59">
        <v>2</v>
      </c>
      <c r="AK232" s="59">
        <v>2</v>
      </c>
      <c r="AL232" s="59">
        <v>1.5</v>
      </c>
      <c r="AM232" s="59">
        <v>1.5</v>
      </c>
      <c r="AN232" s="59">
        <v>1.5</v>
      </c>
      <c r="AO232" s="255">
        <v>40</v>
      </c>
      <c r="AP232" s="254">
        <f t="shared" si="123"/>
        <v>80</v>
      </c>
      <c r="AQ232" s="255">
        <v>104</v>
      </c>
      <c r="AR232" s="254">
        <f t="shared" si="124"/>
        <v>208</v>
      </c>
      <c r="AS232" s="255">
        <v>56</v>
      </c>
      <c r="AT232" s="254">
        <f t="shared" si="125"/>
        <v>112</v>
      </c>
      <c r="AU232" s="255">
        <v>120</v>
      </c>
      <c r="AV232" s="257">
        <f t="shared" si="126"/>
        <v>240</v>
      </c>
      <c r="AW232" s="381">
        <v>120</v>
      </c>
      <c r="AX232" s="257">
        <f t="shared" si="127"/>
        <v>240</v>
      </c>
      <c r="AY232" s="388"/>
      <c r="AZ232" s="257">
        <f t="shared" si="128"/>
        <v>0</v>
      </c>
      <c r="BA232" s="255">
        <v>40</v>
      </c>
      <c r="BB232" s="257">
        <f t="shared" si="129"/>
        <v>80</v>
      </c>
      <c r="BC232" s="255"/>
      <c r="BD232" s="257">
        <f t="shared" si="130"/>
        <v>0</v>
      </c>
      <c r="BE232" s="268"/>
      <c r="BF232" s="257">
        <f t="shared" si="131"/>
        <v>0</v>
      </c>
      <c r="BG232" s="256"/>
      <c r="BH232" s="257">
        <f t="shared" si="132"/>
        <v>0</v>
      </c>
      <c r="BI232" s="268"/>
      <c r="BJ232" s="257">
        <f t="shared" si="133"/>
        <v>0</v>
      </c>
      <c r="BK232" s="268"/>
      <c r="BL232" s="257">
        <f t="shared" si="134"/>
        <v>0</v>
      </c>
      <c r="BM232" s="377" t="s">
        <v>741</v>
      </c>
      <c r="BO232" s="1" t="s">
        <v>457</v>
      </c>
      <c r="BP232" s="1" t="s">
        <v>742</v>
      </c>
    </row>
    <row r="233" spans="1:68" ht="18" customHeight="1">
      <c r="A233" s="250" t="s">
        <v>451</v>
      </c>
      <c r="B233" s="59" t="s">
        <v>221</v>
      </c>
      <c r="C233" s="354" t="s">
        <v>172</v>
      </c>
      <c r="D233" s="476"/>
      <c r="E233" s="359" t="s">
        <v>332</v>
      </c>
      <c r="F233" s="421"/>
      <c r="G233" s="317">
        <v>2024</v>
      </c>
      <c r="H233" s="336" t="s">
        <v>735</v>
      </c>
      <c r="I233" s="332" t="s">
        <v>249</v>
      </c>
      <c r="J233" s="337">
        <v>14</v>
      </c>
      <c r="K233" s="336" t="s">
        <v>743</v>
      </c>
      <c r="L233" s="323" t="s">
        <v>344</v>
      </c>
      <c r="M233" s="303" t="s">
        <v>541</v>
      </c>
      <c r="N233" s="303">
        <v>53</v>
      </c>
      <c r="O233" s="303">
        <v>53.5</v>
      </c>
      <c r="P233" s="303">
        <v>55</v>
      </c>
      <c r="Q233" s="303">
        <v>55</v>
      </c>
      <c r="R233" s="303">
        <v>55</v>
      </c>
      <c r="S233" s="303">
        <v>55</v>
      </c>
      <c r="T233" s="303">
        <v>55</v>
      </c>
      <c r="U233" s="303">
        <v>55</v>
      </c>
      <c r="V233" s="303">
        <v>55</v>
      </c>
      <c r="W233" s="303">
        <v>55</v>
      </c>
      <c r="X233" s="303">
        <v>55</v>
      </c>
      <c r="Y233" s="303">
        <v>53.5</v>
      </c>
      <c r="Z233" s="303">
        <v>53.5</v>
      </c>
      <c r="AA233" s="303">
        <v>53.5</v>
      </c>
      <c r="AB233" s="59">
        <v>1.5</v>
      </c>
      <c r="AC233" s="59">
        <v>2</v>
      </c>
      <c r="AD233" s="59">
        <v>2</v>
      </c>
      <c r="AE233" s="59">
        <v>2</v>
      </c>
      <c r="AF233" s="59">
        <v>2</v>
      </c>
      <c r="AG233" s="59">
        <v>2</v>
      </c>
      <c r="AH233" s="59">
        <v>2</v>
      </c>
      <c r="AI233" s="59">
        <v>2</v>
      </c>
      <c r="AJ233" s="59">
        <v>2</v>
      </c>
      <c r="AK233" s="59">
        <v>2</v>
      </c>
      <c r="AL233" s="59">
        <v>1.5</v>
      </c>
      <c r="AM233" s="59">
        <v>1.5</v>
      </c>
      <c r="AN233" s="59">
        <v>1.5</v>
      </c>
      <c r="AO233" s="255"/>
      <c r="AP233" s="254">
        <f t="shared" si="123"/>
        <v>0</v>
      </c>
      <c r="AQ233" s="255">
        <v>120</v>
      </c>
      <c r="AR233" s="254">
        <f t="shared" si="124"/>
        <v>240</v>
      </c>
      <c r="AS233" s="261"/>
      <c r="AT233" s="254">
        <f t="shared" si="125"/>
        <v>0</v>
      </c>
      <c r="AU233" s="256">
        <v>40</v>
      </c>
      <c r="AV233" s="257">
        <f t="shared" si="126"/>
        <v>80</v>
      </c>
      <c r="AW233" s="381"/>
      <c r="AX233" s="257">
        <f t="shared" si="127"/>
        <v>0</v>
      </c>
      <c r="AY233" s="389"/>
      <c r="AZ233" s="257">
        <f t="shared" si="128"/>
        <v>0</v>
      </c>
      <c r="BA233" s="255"/>
      <c r="BB233" s="257">
        <f t="shared" si="129"/>
        <v>0</v>
      </c>
      <c r="BC233" s="255"/>
      <c r="BD233" s="257">
        <f t="shared" si="130"/>
        <v>0</v>
      </c>
      <c r="BE233" s="274"/>
      <c r="BF233" s="257">
        <f t="shared" si="131"/>
        <v>0</v>
      </c>
      <c r="BG233" s="59"/>
      <c r="BH233" s="257">
        <f t="shared" si="132"/>
        <v>0</v>
      </c>
      <c r="BI233" s="268"/>
      <c r="BJ233" s="257">
        <f t="shared" si="133"/>
        <v>0</v>
      </c>
      <c r="BK233" s="268">
        <v>40</v>
      </c>
      <c r="BL233" s="257">
        <f t="shared" si="134"/>
        <v>60</v>
      </c>
      <c r="BM233" s="377" t="s">
        <v>744</v>
      </c>
      <c r="BO233" s="1" t="s">
        <v>457</v>
      </c>
      <c r="BP233" s="1" t="s">
        <v>745</v>
      </c>
    </row>
    <row r="234" spans="1:68" ht="18" customHeight="1">
      <c r="A234" s="250" t="s">
        <v>451</v>
      </c>
      <c r="B234" s="59" t="s">
        <v>221</v>
      </c>
      <c r="C234" s="354" t="s">
        <v>172</v>
      </c>
      <c r="D234" s="476"/>
      <c r="E234" s="359" t="s">
        <v>332</v>
      </c>
      <c r="F234" s="421"/>
      <c r="G234" s="317">
        <v>2025</v>
      </c>
      <c r="H234" s="336" t="s">
        <v>746</v>
      </c>
      <c r="I234" s="332" t="s">
        <v>249</v>
      </c>
      <c r="J234" s="337">
        <v>14</v>
      </c>
      <c r="K234" s="326" t="s">
        <v>720</v>
      </c>
      <c r="L234" s="323" t="s">
        <v>344</v>
      </c>
      <c r="M234" s="303" t="s">
        <v>541</v>
      </c>
      <c r="N234" s="303">
        <v>19.850000000000001</v>
      </c>
      <c r="O234" s="303">
        <v>21.85</v>
      </c>
      <c r="P234" s="303">
        <v>23.55</v>
      </c>
      <c r="Q234" s="303">
        <v>23.55</v>
      </c>
      <c r="R234" s="303">
        <v>23.55</v>
      </c>
      <c r="S234" s="303">
        <v>23.55</v>
      </c>
      <c r="T234" s="303">
        <v>23.55</v>
      </c>
      <c r="U234" s="303">
        <v>23.55</v>
      </c>
      <c r="V234" s="303">
        <v>23.55</v>
      </c>
      <c r="W234" s="303">
        <v>23.55</v>
      </c>
      <c r="X234" s="303">
        <v>23.55</v>
      </c>
      <c r="Y234" s="303">
        <v>21.85</v>
      </c>
      <c r="Z234" s="303">
        <v>21.85</v>
      </c>
      <c r="AA234" s="303">
        <v>21.85</v>
      </c>
      <c r="AB234" s="304">
        <v>2.25</v>
      </c>
      <c r="AC234" s="304">
        <v>3.7</v>
      </c>
      <c r="AD234" s="304">
        <v>3.7</v>
      </c>
      <c r="AE234" s="304">
        <v>3.7</v>
      </c>
      <c r="AF234" s="304">
        <v>3.7</v>
      </c>
      <c r="AG234" s="304">
        <v>3.7</v>
      </c>
      <c r="AH234" s="304">
        <v>3.7</v>
      </c>
      <c r="AI234" s="304">
        <v>3.7</v>
      </c>
      <c r="AJ234" s="304">
        <v>3.7</v>
      </c>
      <c r="AK234" s="304">
        <v>3.7</v>
      </c>
      <c r="AL234" s="304">
        <v>2.25</v>
      </c>
      <c r="AM234" s="304">
        <v>2.25</v>
      </c>
      <c r="AN234" s="304">
        <v>2.25</v>
      </c>
      <c r="AO234" s="255"/>
      <c r="AP234" s="254">
        <f t="shared" si="123"/>
        <v>0</v>
      </c>
      <c r="AQ234" s="255"/>
      <c r="AR234" s="254">
        <f t="shared" si="124"/>
        <v>0</v>
      </c>
      <c r="AS234" s="261"/>
      <c r="AT234" s="254">
        <f t="shared" si="125"/>
        <v>0</v>
      </c>
      <c r="AU234" s="256"/>
      <c r="AV234" s="257">
        <f t="shared" si="126"/>
        <v>0</v>
      </c>
      <c r="AW234" s="381"/>
      <c r="AX234" s="257">
        <f t="shared" si="127"/>
        <v>0</v>
      </c>
      <c r="AY234" s="389"/>
      <c r="AZ234" s="257">
        <f t="shared" si="128"/>
        <v>0</v>
      </c>
      <c r="BA234" s="255">
        <v>5400</v>
      </c>
      <c r="BB234" s="257">
        <f t="shared" si="129"/>
        <v>19980</v>
      </c>
      <c r="BC234" s="255">
        <v>3640</v>
      </c>
      <c r="BD234" s="257">
        <f t="shared" si="130"/>
        <v>13468</v>
      </c>
      <c r="BE234" s="271">
        <v>1240</v>
      </c>
      <c r="BF234" s="257">
        <f t="shared" si="131"/>
        <v>4588</v>
      </c>
      <c r="BG234" s="256">
        <v>3080</v>
      </c>
      <c r="BH234" s="257">
        <f t="shared" si="132"/>
        <v>6930</v>
      </c>
      <c r="BI234" s="268">
        <v>1760</v>
      </c>
      <c r="BJ234" s="257">
        <f t="shared" si="133"/>
        <v>3960</v>
      </c>
      <c r="BK234" s="268">
        <v>1880</v>
      </c>
      <c r="BL234" s="257">
        <f t="shared" si="134"/>
        <v>4230</v>
      </c>
      <c r="BM234" s="377" t="s">
        <v>747</v>
      </c>
      <c r="BO234" s="1" t="s">
        <v>457</v>
      </c>
      <c r="BP234" s="1" t="s">
        <v>748</v>
      </c>
    </row>
    <row r="235" spans="1:68" ht="18" customHeight="1">
      <c r="A235" s="250" t="s">
        <v>451</v>
      </c>
      <c r="B235" s="59" t="s">
        <v>221</v>
      </c>
      <c r="C235" s="354" t="s">
        <v>172</v>
      </c>
      <c r="D235" s="476"/>
      <c r="E235" s="359" t="s">
        <v>332</v>
      </c>
      <c r="F235" s="421"/>
      <c r="G235" s="317">
        <v>2025</v>
      </c>
      <c r="H235" s="336" t="s">
        <v>746</v>
      </c>
      <c r="I235" s="332" t="s">
        <v>249</v>
      </c>
      <c r="J235" s="337">
        <v>14</v>
      </c>
      <c r="K235" s="326" t="s">
        <v>732</v>
      </c>
      <c r="L235" s="323" t="s">
        <v>344</v>
      </c>
      <c r="M235" s="303" t="s">
        <v>541</v>
      </c>
      <c r="N235" s="303">
        <v>19.850000000000001</v>
      </c>
      <c r="O235" s="303">
        <v>21.85</v>
      </c>
      <c r="P235" s="303">
        <v>23.55</v>
      </c>
      <c r="Q235" s="303">
        <v>23.55</v>
      </c>
      <c r="R235" s="303">
        <v>23.55</v>
      </c>
      <c r="S235" s="303">
        <v>23.55</v>
      </c>
      <c r="T235" s="303">
        <v>23.55</v>
      </c>
      <c r="U235" s="303">
        <v>23.55</v>
      </c>
      <c r="V235" s="303">
        <v>23.55</v>
      </c>
      <c r="W235" s="303">
        <v>23.55</v>
      </c>
      <c r="X235" s="303">
        <v>23.55</v>
      </c>
      <c r="Y235" s="303">
        <v>21.85</v>
      </c>
      <c r="Z235" s="303">
        <v>21.85</v>
      </c>
      <c r="AA235" s="303">
        <v>21.85</v>
      </c>
      <c r="AB235" s="304">
        <v>2.25</v>
      </c>
      <c r="AC235" s="304">
        <v>3.7</v>
      </c>
      <c r="AD235" s="304">
        <v>3.7</v>
      </c>
      <c r="AE235" s="304">
        <v>3.7</v>
      </c>
      <c r="AF235" s="304">
        <v>3.7</v>
      </c>
      <c r="AG235" s="304">
        <v>3.7</v>
      </c>
      <c r="AH235" s="304">
        <v>3.7</v>
      </c>
      <c r="AI235" s="304">
        <v>3.7</v>
      </c>
      <c r="AJ235" s="304">
        <v>3.7</v>
      </c>
      <c r="AK235" s="304">
        <v>3.7</v>
      </c>
      <c r="AL235" s="304">
        <v>2.25</v>
      </c>
      <c r="AM235" s="304">
        <v>2.25</v>
      </c>
      <c r="AN235" s="304">
        <v>2.25</v>
      </c>
      <c r="AO235" s="255"/>
      <c r="AP235" s="254">
        <f t="shared" si="123"/>
        <v>0</v>
      </c>
      <c r="AQ235" s="255"/>
      <c r="AR235" s="254">
        <f t="shared" si="124"/>
        <v>0</v>
      </c>
      <c r="AS235" s="261"/>
      <c r="AT235" s="254">
        <f t="shared" si="125"/>
        <v>0</v>
      </c>
      <c r="AU235" s="256"/>
      <c r="AV235" s="257">
        <f t="shared" si="126"/>
        <v>0</v>
      </c>
      <c r="AW235" s="381"/>
      <c r="AX235" s="257">
        <f t="shared" si="127"/>
        <v>0</v>
      </c>
      <c r="AY235" s="389"/>
      <c r="AZ235" s="257">
        <f t="shared" si="128"/>
        <v>0</v>
      </c>
      <c r="BA235" s="255">
        <v>80</v>
      </c>
      <c r="BB235" s="257">
        <f t="shared" si="129"/>
        <v>296</v>
      </c>
      <c r="BC235" s="255">
        <v>1063</v>
      </c>
      <c r="BD235" s="257">
        <f t="shared" si="130"/>
        <v>3933.1000000000004</v>
      </c>
      <c r="BE235" s="271">
        <v>480</v>
      </c>
      <c r="BF235" s="257">
        <f t="shared" si="131"/>
        <v>1776</v>
      </c>
      <c r="BG235" s="256">
        <v>360</v>
      </c>
      <c r="BH235" s="257">
        <f t="shared" si="132"/>
        <v>810</v>
      </c>
      <c r="BI235" s="268">
        <v>280</v>
      </c>
      <c r="BJ235" s="257">
        <f t="shared" si="133"/>
        <v>630</v>
      </c>
      <c r="BK235" s="268">
        <v>360</v>
      </c>
      <c r="BL235" s="257">
        <f t="shared" si="134"/>
        <v>810</v>
      </c>
      <c r="BM235" s="377" t="s">
        <v>749</v>
      </c>
      <c r="BO235" s="1" t="s">
        <v>457</v>
      </c>
      <c r="BP235" s="1" t="s">
        <v>750</v>
      </c>
    </row>
    <row r="236" spans="1:68" ht="18" customHeight="1">
      <c r="A236" s="250" t="s">
        <v>451</v>
      </c>
      <c r="B236" s="59" t="s">
        <v>221</v>
      </c>
      <c r="C236" s="354" t="s">
        <v>172</v>
      </c>
      <c r="D236" s="476"/>
      <c r="E236" s="359" t="s">
        <v>332</v>
      </c>
      <c r="F236" s="421"/>
      <c r="G236" s="317">
        <v>2025</v>
      </c>
      <c r="H236" s="336" t="s">
        <v>746</v>
      </c>
      <c r="I236" s="332" t="s">
        <v>249</v>
      </c>
      <c r="J236" s="337">
        <v>14</v>
      </c>
      <c r="K236" s="336" t="s">
        <v>740</v>
      </c>
      <c r="L236" s="323" t="s">
        <v>344</v>
      </c>
      <c r="M236" s="303" t="s">
        <v>541</v>
      </c>
      <c r="N236" s="303">
        <v>53</v>
      </c>
      <c r="O236" s="303">
        <v>53.5</v>
      </c>
      <c r="P236" s="303">
        <v>55</v>
      </c>
      <c r="Q236" s="303">
        <v>55</v>
      </c>
      <c r="R236" s="303">
        <v>55</v>
      </c>
      <c r="S236" s="303">
        <v>55</v>
      </c>
      <c r="T236" s="303">
        <v>55</v>
      </c>
      <c r="U236" s="303">
        <v>55</v>
      </c>
      <c r="V236" s="303">
        <v>55</v>
      </c>
      <c r="W236" s="303">
        <v>55</v>
      </c>
      <c r="X236" s="303">
        <v>55</v>
      </c>
      <c r="Y236" s="303">
        <v>53.5</v>
      </c>
      <c r="Z236" s="303">
        <v>53.5</v>
      </c>
      <c r="AA236" s="303">
        <v>53.5</v>
      </c>
      <c r="AB236" s="59">
        <v>1.5</v>
      </c>
      <c r="AC236" s="59">
        <v>2</v>
      </c>
      <c r="AD236" s="59">
        <v>2</v>
      </c>
      <c r="AE236" s="59">
        <v>2</v>
      </c>
      <c r="AF236" s="59">
        <v>2</v>
      </c>
      <c r="AG236" s="59">
        <v>2</v>
      </c>
      <c r="AH236" s="59">
        <v>2</v>
      </c>
      <c r="AI236" s="59">
        <v>2</v>
      </c>
      <c r="AJ236" s="59">
        <v>2</v>
      </c>
      <c r="AK236" s="59">
        <v>2</v>
      </c>
      <c r="AL236" s="59">
        <v>1.5</v>
      </c>
      <c r="AM236" s="59">
        <v>1.5</v>
      </c>
      <c r="AN236" s="59">
        <v>1.5</v>
      </c>
      <c r="AO236" s="255"/>
      <c r="AP236" s="254">
        <f t="shared" si="123"/>
        <v>0</v>
      </c>
      <c r="AQ236" s="255"/>
      <c r="AR236" s="254">
        <f t="shared" si="124"/>
        <v>0</v>
      </c>
      <c r="AS236" s="261"/>
      <c r="AT236" s="254">
        <f t="shared" si="125"/>
        <v>0</v>
      </c>
      <c r="AU236" s="256"/>
      <c r="AV236" s="257">
        <f t="shared" si="126"/>
        <v>0</v>
      </c>
      <c r="AW236" s="381"/>
      <c r="AX236" s="257">
        <f t="shared" si="127"/>
        <v>0</v>
      </c>
      <c r="AY236" s="389"/>
      <c r="AZ236" s="257">
        <f t="shared" si="128"/>
        <v>0</v>
      </c>
      <c r="BA236" s="255">
        <v>120</v>
      </c>
      <c r="BB236" s="257">
        <f t="shared" si="129"/>
        <v>240</v>
      </c>
      <c r="BC236" s="255">
        <v>440</v>
      </c>
      <c r="BD236" s="257">
        <f t="shared" si="130"/>
        <v>880</v>
      </c>
      <c r="BE236" s="271">
        <v>40</v>
      </c>
      <c r="BF236" s="257">
        <f t="shared" si="131"/>
        <v>80</v>
      </c>
      <c r="BG236" s="256">
        <v>80</v>
      </c>
      <c r="BH236" s="257">
        <f t="shared" si="132"/>
        <v>120</v>
      </c>
      <c r="BI236" s="268">
        <v>40</v>
      </c>
      <c r="BJ236" s="257">
        <f t="shared" si="133"/>
        <v>60</v>
      </c>
      <c r="BK236" s="268">
        <v>40</v>
      </c>
      <c r="BL236" s="257">
        <f t="shared" si="134"/>
        <v>60</v>
      </c>
      <c r="BM236" s="377" t="s">
        <v>751</v>
      </c>
      <c r="BO236" s="1" t="s">
        <v>457</v>
      </c>
      <c r="BP236" s="1" t="s">
        <v>752</v>
      </c>
    </row>
    <row r="237" spans="1:68" ht="18" customHeight="1">
      <c r="A237" s="250" t="s">
        <v>451</v>
      </c>
      <c r="B237" s="59" t="s">
        <v>221</v>
      </c>
      <c r="C237" s="354" t="s">
        <v>172</v>
      </c>
      <c r="D237" s="476"/>
      <c r="E237" s="359" t="s">
        <v>332</v>
      </c>
      <c r="F237" s="421"/>
      <c r="G237" s="317">
        <v>2025</v>
      </c>
      <c r="H237" s="326" t="s">
        <v>753</v>
      </c>
      <c r="I237" s="332" t="s">
        <v>249</v>
      </c>
      <c r="J237" s="337">
        <v>16</v>
      </c>
      <c r="K237" s="336" t="s">
        <v>726</v>
      </c>
      <c r="L237" s="323" t="s">
        <v>344</v>
      </c>
      <c r="M237" s="303" t="s">
        <v>474</v>
      </c>
      <c r="N237" s="303">
        <v>18.25</v>
      </c>
      <c r="O237" s="303">
        <v>20.2</v>
      </c>
      <c r="P237" s="303">
        <v>22.8</v>
      </c>
      <c r="Q237" s="303">
        <v>22.8</v>
      </c>
      <c r="R237" s="303">
        <v>22.8</v>
      </c>
      <c r="S237" s="303">
        <v>22.8</v>
      </c>
      <c r="T237" s="303">
        <v>22.8</v>
      </c>
      <c r="U237" s="303">
        <v>22.8</v>
      </c>
      <c r="V237" s="303">
        <v>22.8</v>
      </c>
      <c r="W237" s="303">
        <v>22.8</v>
      </c>
      <c r="X237" s="303">
        <v>22.8</v>
      </c>
      <c r="Y237" s="303">
        <v>20.2</v>
      </c>
      <c r="Z237" s="303">
        <v>20.2</v>
      </c>
      <c r="AA237" s="303">
        <v>20.2</v>
      </c>
      <c r="AB237" s="59">
        <v>2.2000000000000002</v>
      </c>
      <c r="AC237" s="59">
        <v>4.55</v>
      </c>
      <c r="AD237" s="59">
        <v>4.55</v>
      </c>
      <c r="AE237" s="59">
        <v>4.55</v>
      </c>
      <c r="AF237" s="59">
        <v>4.55</v>
      </c>
      <c r="AG237" s="59">
        <v>4.55</v>
      </c>
      <c r="AH237" s="59">
        <v>4.55</v>
      </c>
      <c r="AI237" s="59">
        <v>4.55</v>
      </c>
      <c r="AJ237" s="59">
        <v>4.55</v>
      </c>
      <c r="AK237" s="59">
        <v>4.55</v>
      </c>
      <c r="AL237" s="59">
        <v>2.2000000000000002</v>
      </c>
      <c r="AM237" s="59">
        <v>2.2000000000000002</v>
      </c>
      <c r="AN237" s="59">
        <v>2.2000000000000002</v>
      </c>
      <c r="AO237" s="255"/>
      <c r="AP237" s="254">
        <f t="shared" si="123"/>
        <v>0</v>
      </c>
      <c r="AQ237" s="255"/>
      <c r="AR237" s="254">
        <f t="shared" si="124"/>
        <v>0</v>
      </c>
      <c r="AS237" s="255"/>
      <c r="AT237" s="254">
        <f t="shared" si="125"/>
        <v>0</v>
      </c>
      <c r="AU237" s="255"/>
      <c r="AV237" s="257">
        <f t="shared" si="126"/>
        <v>0</v>
      </c>
      <c r="AW237" s="381">
        <v>181</v>
      </c>
      <c r="AX237" s="257">
        <f t="shared" si="127"/>
        <v>823.55</v>
      </c>
      <c r="AY237" s="388">
        <v>1269</v>
      </c>
      <c r="AZ237" s="257">
        <f t="shared" si="128"/>
        <v>5773.95</v>
      </c>
      <c r="BA237" s="255">
        <v>760</v>
      </c>
      <c r="BB237" s="257">
        <f t="shared" si="129"/>
        <v>3458</v>
      </c>
      <c r="BC237" s="255">
        <v>960</v>
      </c>
      <c r="BD237" s="257">
        <f t="shared" si="130"/>
        <v>4368</v>
      </c>
      <c r="BE237" s="255">
        <v>520</v>
      </c>
      <c r="BF237" s="257">
        <f t="shared" si="131"/>
        <v>2366</v>
      </c>
      <c r="BG237" s="255">
        <v>784</v>
      </c>
      <c r="BH237" s="257">
        <f t="shared" si="132"/>
        <v>1724.8000000000002</v>
      </c>
      <c r="BI237" s="255">
        <v>5301</v>
      </c>
      <c r="BJ237" s="257">
        <f t="shared" si="133"/>
        <v>11662.2</v>
      </c>
      <c r="BK237" s="255">
        <v>9280</v>
      </c>
      <c r="BL237" s="257">
        <f t="shared" si="134"/>
        <v>20416</v>
      </c>
      <c r="BM237" s="1" t="s">
        <v>754</v>
      </c>
      <c r="BO237" s="1" t="s">
        <v>457</v>
      </c>
      <c r="BP237" s="1" t="s">
        <v>755</v>
      </c>
    </row>
    <row r="238" spans="1:68" ht="18" customHeight="1">
      <c r="A238" s="250" t="s">
        <v>451</v>
      </c>
      <c r="B238" s="59" t="s">
        <v>221</v>
      </c>
      <c r="C238" s="354" t="s">
        <v>172</v>
      </c>
      <c r="D238" s="476"/>
      <c r="E238" s="359" t="s">
        <v>332</v>
      </c>
      <c r="F238" s="421"/>
      <c r="G238" s="317">
        <v>2025</v>
      </c>
      <c r="H238" s="326" t="s">
        <v>753</v>
      </c>
      <c r="I238" s="332" t="s">
        <v>249</v>
      </c>
      <c r="J238" s="337">
        <v>16</v>
      </c>
      <c r="K238" s="336" t="s">
        <v>756</v>
      </c>
      <c r="L238" s="323" t="s">
        <v>344</v>
      </c>
      <c r="M238" s="303" t="s">
        <v>474</v>
      </c>
      <c r="N238" s="303">
        <v>18.25</v>
      </c>
      <c r="O238" s="303">
        <v>20.2</v>
      </c>
      <c r="P238" s="303">
        <v>22.8</v>
      </c>
      <c r="Q238" s="303">
        <v>22.8</v>
      </c>
      <c r="R238" s="303">
        <v>22.8</v>
      </c>
      <c r="S238" s="303">
        <v>22.8</v>
      </c>
      <c r="T238" s="303">
        <v>22.8</v>
      </c>
      <c r="U238" s="303">
        <v>22.8</v>
      </c>
      <c r="V238" s="303">
        <v>22.8</v>
      </c>
      <c r="W238" s="303">
        <v>22.8</v>
      </c>
      <c r="X238" s="303">
        <v>22.8</v>
      </c>
      <c r="Y238" s="303">
        <v>20.2</v>
      </c>
      <c r="Z238" s="303">
        <v>20.2</v>
      </c>
      <c r="AA238" s="303">
        <v>20.2</v>
      </c>
      <c r="AB238" s="59">
        <v>2.2000000000000002</v>
      </c>
      <c r="AC238" s="59">
        <v>4.55</v>
      </c>
      <c r="AD238" s="59">
        <v>4.55</v>
      </c>
      <c r="AE238" s="59">
        <v>4.55</v>
      </c>
      <c r="AF238" s="59">
        <v>4.55</v>
      </c>
      <c r="AG238" s="59">
        <v>4.55</v>
      </c>
      <c r="AH238" s="59">
        <v>4.55</v>
      </c>
      <c r="AI238" s="59">
        <v>4.55</v>
      </c>
      <c r="AJ238" s="59">
        <v>4.55</v>
      </c>
      <c r="AK238" s="59">
        <v>4.55</v>
      </c>
      <c r="AL238" s="59">
        <v>2.2000000000000002</v>
      </c>
      <c r="AM238" s="59">
        <v>2.2000000000000002</v>
      </c>
      <c r="AN238" s="59">
        <v>2.2000000000000002</v>
      </c>
      <c r="AO238" s="255"/>
      <c r="AP238" s="254">
        <f t="shared" si="123"/>
        <v>0</v>
      </c>
      <c r="AQ238" s="255"/>
      <c r="AR238" s="254">
        <f t="shared" si="124"/>
        <v>0</v>
      </c>
      <c r="AS238" s="255"/>
      <c r="AT238" s="254">
        <f t="shared" si="125"/>
        <v>0</v>
      </c>
      <c r="AU238" s="255"/>
      <c r="AV238" s="257">
        <f t="shared" si="126"/>
        <v>0</v>
      </c>
      <c r="AW238" s="381">
        <v>196</v>
      </c>
      <c r="AX238" s="257">
        <f t="shared" si="127"/>
        <v>891.8</v>
      </c>
      <c r="AY238" s="388">
        <v>150</v>
      </c>
      <c r="AZ238" s="257">
        <f t="shared" si="128"/>
        <v>682.5</v>
      </c>
      <c r="BA238" s="255">
        <v>160</v>
      </c>
      <c r="BB238" s="257">
        <f t="shared" si="129"/>
        <v>728</v>
      </c>
      <c r="BC238" s="255">
        <v>40</v>
      </c>
      <c r="BD238" s="257">
        <f t="shared" si="130"/>
        <v>182</v>
      </c>
      <c r="BE238" s="268">
        <v>80</v>
      </c>
      <c r="BF238" s="257">
        <f t="shared" si="131"/>
        <v>364</v>
      </c>
      <c r="BG238" s="256"/>
      <c r="BH238" s="257">
        <f t="shared" si="132"/>
        <v>0</v>
      </c>
      <c r="BI238" s="268"/>
      <c r="BJ238" s="257">
        <f t="shared" si="133"/>
        <v>0</v>
      </c>
      <c r="BK238" s="268">
        <v>40</v>
      </c>
      <c r="BL238" s="257">
        <f t="shared" si="134"/>
        <v>88</v>
      </c>
      <c r="BM238" s="1" t="s">
        <v>757</v>
      </c>
      <c r="BO238" s="1" t="s">
        <v>457</v>
      </c>
      <c r="BP238" s="1" t="s">
        <v>758</v>
      </c>
    </row>
    <row r="239" spans="1:68" ht="18" customHeight="1">
      <c r="A239" s="250" t="s">
        <v>451</v>
      </c>
      <c r="B239" s="59" t="s">
        <v>221</v>
      </c>
      <c r="C239" s="354" t="s">
        <v>172</v>
      </c>
      <c r="D239" s="476"/>
      <c r="E239" s="359" t="s">
        <v>332</v>
      </c>
      <c r="F239" s="421"/>
      <c r="G239" s="317">
        <v>2025</v>
      </c>
      <c r="H239" s="326" t="s">
        <v>753</v>
      </c>
      <c r="I239" s="332" t="s">
        <v>249</v>
      </c>
      <c r="J239" s="337">
        <v>16</v>
      </c>
      <c r="K239" s="336" t="s">
        <v>759</v>
      </c>
      <c r="L239" s="323" t="s">
        <v>344</v>
      </c>
      <c r="M239" s="303" t="s">
        <v>474</v>
      </c>
      <c r="N239" s="303">
        <v>45.25</v>
      </c>
      <c r="O239" s="303">
        <v>50.2</v>
      </c>
      <c r="P239" s="303">
        <v>53.5</v>
      </c>
      <c r="Q239" s="303">
        <v>53.5</v>
      </c>
      <c r="R239" s="303">
        <v>53.5</v>
      </c>
      <c r="S239" s="303">
        <v>53.5</v>
      </c>
      <c r="T239" s="303">
        <v>53.5</v>
      </c>
      <c r="U239" s="303">
        <v>53.5</v>
      </c>
      <c r="V239" s="303">
        <v>53.5</v>
      </c>
      <c r="W239" s="303">
        <v>53.5</v>
      </c>
      <c r="X239" s="303">
        <v>53.5</v>
      </c>
      <c r="Y239" s="303">
        <v>50.2</v>
      </c>
      <c r="Z239" s="303">
        <v>50.2</v>
      </c>
      <c r="AA239" s="303">
        <v>50.2</v>
      </c>
      <c r="AB239" s="59">
        <v>5.2</v>
      </c>
      <c r="AC239" s="59">
        <v>8.25</v>
      </c>
      <c r="AD239" s="59">
        <v>8.25</v>
      </c>
      <c r="AE239" s="59">
        <v>8.25</v>
      </c>
      <c r="AF239" s="59">
        <v>8.25</v>
      </c>
      <c r="AG239" s="59">
        <v>8.25</v>
      </c>
      <c r="AH239" s="59">
        <v>8.25</v>
      </c>
      <c r="AI239" s="59">
        <v>8.25</v>
      </c>
      <c r="AJ239" s="59">
        <v>8.25</v>
      </c>
      <c r="AK239" s="59">
        <v>8.25</v>
      </c>
      <c r="AL239" s="59">
        <v>5.2</v>
      </c>
      <c r="AM239" s="59">
        <v>5.2</v>
      </c>
      <c r="AN239" s="59">
        <v>5.2</v>
      </c>
      <c r="AO239" s="255"/>
      <c r="AP239" s="254">
        <f t="shared" si="123"/>
        <v>0</v>
      </c>
      <c r="AQ239" s="255"/>
      <c r="AR239" s="254">
        <f t="shared" si="124"/>
        <v>0</v>
      </c>
      <c r="AS239" s="255"/>
      <c r="AT239" s="254">
        <f t="shared" si="125"/>
        <v>0</v>
      </c>
      <c r="AU239" s="255">
        <v>3872</v>
      </c>
      <c r="AV239" s="257">
        <f t="shared" si="126"/>
        <v>31944</v>
      </c>
      <c r="AW239" s="381">
        <v>6391</v>
      </c>
      <c r="AX239" s="257">
        <f t="shared" si="127"/>
        <v>52725.75</v>
      </c>
      <c r="AY239" s="388">
        <v>11705</v>
      </c>
      <c r="AZ239" s="257">
        <f t="shared" si="128"/>
        <v>96566.25</v>
      </c>
      <c r="BA239" s="255">
        <v>10260</v>
      </c>
      <c r="BB239" s="257">
        <f t="shared" si="129"/>
        <v>84645</v>
      </c>
      <c r="BC239" s="255">
        <v>7675</v>
      </c>
      <c r="BD239" s="257">
        <f t="shared" si="130"/>
        <v>63318.75</v>
      </c>
      <c r="BE239" s="268">
        <v>9000</v>
      </c>
      <c r="BF239" s="257">
        <f t="shared" si="131"/>
        <v>74250</v>
      </c>
      <c r="BG239" s="256">
        <v>7731</v>
      </c>
      <c r="BH239" s="257">
        <f t="shared" si="132"/>
        <v>40201.200000000004</v>
      </c>
      <c r="BI239" s="268">
        <v>6073</v>
      </c>
      <c r="BJ239" s="257">
        <f t="shared" si="133"/>
        <v>31579.600000000002</v>
      </c>
      <c r="BK239" s="268">
        <v>3960</v>
      </c>
      <c r="BL239" s="257">
        <f t="shared" si="134"/>
        <v>20592</v>
      </c>
      <c r="BM239" s="1" t="s">
        <v>760</v>
      </c>
      <c r="BO239" s="1" t="s">
        <v>457</v>
      </c>
      <c r="BP239" s="1" t="s">
        <v>761</v>
      </c>
    </row>
    <row r="240" spans="1:68" ht="18" customHeight="1">
      <c r="A240" s="250" t="s">
        <v>451</v>
      </c>
      <c r="B240" s="59" t="s">
        <v>221</v>
      </c>
      <c r="C240" s="354" t="s">
        <v>172</v>
      </c>
      <c r="D240" s="476"/>
      <c r="E240" s="359" t="s">
        <v>332</v>
      </c>
      <c r="F240" s="421"/>
      <c r="G240" s="317">
        <v>2025</v>
      </c>
      <c r="H240" s="326" t="s">
        <v>753</v>
      </c>
      <c r="I240" s="332" t="s">
        <v>249</v>
      </c>
      <c r="J240" s="337">
        <v>16</v>
      </c>
      <c r="K240" s="336" t="s">
        <v>762</v>
      </c>
      <c r="L240" s="323" t="s">
        <v>344</v>
      </c>
      <c r="M240" s="303" t="s">
        <v>474</v>
      </c>
      <c r="N240" s="303">
        <v>45.25</v>
      </c>
      <c r="O240" s="303">
        <v>50.2</v>
      </c>
      <c r="P240" s="303">
        <v>53.5</v>
      </c>
      <c r="Q240" s="303">
        <v>53.5</v>
      </c>
      <c r="R240" s="303">
        <v>53.5</v>
      </c>
      <c r="S240" s="303">
        <v>53.5</v>
      </c>
      <c r="T240" s="303">
        <v>53.5</v>
      </c>
      <c r="U240" s="303">
        <v>53.5</v>
      </c>
      <c r="V240" s="303">
        <v>53.5</v>
      </c>
      <c r="W240" s="303">
        <v>53.5</v>
      </c>
      <c r="X240" s="303">
        <v>53.5</v>
      </c>
      <c r="Y240" s="303">
        <v>50.2</v>
      </c>
      <c r="Z240" s="303">
        <v>50.2</v>
      </c>
      <c r="AA240" s="303">
        <v>50.2</v>
      </c>
      <c r="AB240" s="59">
        <v>5.2</v>
      </c>
      <c r="AC240" s="59">
        <v>8.25</v>
      </c>
      <c r="AD240" s="59">
        <v>8.25</v>
      </c>
      <c r="AE240" s="59">
        <v>8.25</v>
      </c>
      <c r="AF240" s="59">
        <v>8.25</v>
      </c>
      <c r="AG240" s="59">
        <v>8.25</v>
      </c>
      <c r="AH240" s="59">
        <v>8.25</v>
      </c>
      <c r="AI240" s="59">
        <v>8.25</v>
      </c>
      <c r="AJ240" s="59">
        <v>8.25</v>
      </c>
      <c r="AK240" s="59">
        <v>8.25</v>
      </c>
      <c r="AL240" s="59">
        <v>5.2</v>
      </c>
      <c r="AM240" s="59">
        <v>5.2</v>
      </c>
      <c r="AN240" s="59">
        <v>5.2</v>
      </c>
      <c r="AO240" s="255"/>
      <c r="AP240" s="254">
        <f t="shared" si="123"/>
        <v>0</v>
      </c>
      <c r="AQ240" s="255"/>
      <c r="AR240" s="254">
        <f t="shared" si="124"/>
        <v>0</v>
      </c>
      <c r="AS240" s="255"/>
      <c r="AT240" s="254">
        <f t="shared" si="125"/>
        <v>0</v>
      </c>
      <c r="AU240" s="255"/>
      <c r="AV240" s="257">
        <f t="shared" si="126"/>
        <v>0</v>
      </c>
      <c r="AW240" s="381">
        <v>444</v>
      </c>
      <c r="AX240" s="257">
        <f t="shared" si="127"/>
        <v>3663</v>
      </c>
      <c r="AY240" s="388">
        <v>804</v>
      </c>
      <c r="AZ240" s="257">
        <f t="shared" si="128"/>
        <v>6633</v>
      </c>
      <c r="BA240" s="255">
        <v>719</v>
      </c>
      <c r="BB240" s="257">
        <f t="shared" si="129"/>
        <v>5931.75</v>
      </c>
      <c r="BC240" s="255">
        <v>404</v>
      </c>
      <c r="BD240" s="257">
        <f t="shared" si="130"/>
        <v>3333</v>
      </c>
      <c r="BE240" s="268">
        <v>880</v>
      </c>
      <c r="BF240" s="257">
        <f t="shared" si="131"/>
        <v>7260</v>
      </c>
      <c r="BG240" s="256">
        <v>239</v>
      </c>
      <c r="BH240" s="257">
        <f t="shared" si="132"/>
        <v>1242.8</v>
      </c>
      <c r="BI240" s="268">
        <v>160</v>
      </c>
      <c r="BJ240" s="257">
        <f t="shared" si="133"/>
        <v>832</v>
      </c>
      <c r="BK240" s="268">
        <v>160</v>
      </c>
      <c r="BL240" s="257">
        <f t="shared" si="134"/>
        <v>832</v>
      </c>
      <c r="BM240" s="1" t="s">
        <v>763</v>
      </c>
      <c r="BO240" s="1" t="s">
        <v>457</v>
      </c>
      <c r="BP240" s="1" t="s">
        <v>764</v>
      </c>
    </row>
    <row r="241" spans="1:68" ht="18" customHeight="1">
      <c r="A241" s="250" t="s">
        <v>451</v>
      </c>
      <c r="B241" s="59" t="s">
        <v>221</v>
      </c>
      <c r="C241" s="354" t="s">
        <v>172</v>
      </c>
      <c r="D241" s="476"/>
      <c r="E241" s="359" t="s">
        <v>332</v>
      </c>
      <c r="F241" s="421"/>
      <c r="G241" s="317">
        <v>2025</v>
      </c>
      <c r="H241" s="326" t="s">
        <v>765</v>
      </c>
      <c r="I241" s="332" t="s">
        <v>249</v>
      </c>
      <c r="J241" s="337">
        <v>16</v>
      </c>
      <c r="K241" s="336" t="s">
        <v>723</v>
      </c>
      <c r="L241" s="323" t="s">
        <v>344</v>
      </c>
      <c r="M241" s="303" t="s">
        <v>541</v>
      </c>
      <c r="N241" s="303">
        <v>10.4</v>
      </c>
      <c r="O241" s="303">
        <v>10.55</v>
      </c>
      <c r="P241" s="303">
        <v>12</v>
      </c>
      <c r="Q241" s="303">
        <v>12</v>
      </c>
      <c r="R241" s="303">
        <v>12</v>
      </c>
      <c r="S241" s="303">
        <v>12</v>
      </c>
      <c r="T241" s="303">
        <v>12</v>
      </c>
      <c r="U241" s="303">
        <v>12</v>
      </c>
      <c r="V241" s="303">
        <v>12</v>
      </c>
      <c r="W241" s="303">
        <v>12</v>
      </c>
      <c r="X241" s="303">
        <v>12</v>
      </c>
      <c r="Y241" s="303">
        <v>10.55</v>
      </c>
      <c r="Z241" s="303">
        <v>10.55</v>
      </c>
      <c r="AA241" s="303">
        <v>10.55</v>
      </c>
      <c r="AB241" s="304">
        <v>1.05</v>
      </c>
      <c r="AC241" s="304">
        <v>2.5</v>
      </c>
      <c r="AD241" s="304">
        <v>2.5</v>
      </c>
      <c r="AE241" s="304">
        <v>2.5</v>
      </c>
      <c r="AF241" s="304">
        <v>2.5</v>
      </c>
      <c r="AG241" s="304">
        <v>2.5</v>
      </c>
      <c r="AH241" s="304">
        <v>2.5</v>
      </c>
      <c r="AI241" s="304">
        <v>2.5</v>
      </c>
      <c r="AJ241" s="304">
        <v>2.5</v>
      </c>
      <c r="AK241" s="304">
        <v>2.5</v>
      </c>
      <c r="AL241" s="304">
        <v>1.05</v>
      </c>
      <c r="AM241" s="304">
        <v>1.05</v>
      </c>
      <c r="AN241" s="304">
        <v>1.05</v>
      </c>
      <c r="AO241" s="255"/>
      <c r="AP241" s="254">
        <f t="shared" si="123"/>
        <v>0</v>
      </c>
      <c r="AQ241" s="255"/>
      <c r="AR241" s="254">
        <f t="shared" si="124"/>
        <v>0</v>
      </c>
      <c r="AS241" s="261">
        <v>280</v>
      </c>
      <c r="AT241" s="254">
        <f t="shared" si="125"/>
        <v>700</v>
      </c>
      <c r="AU241" s="261"/>
      <c r="AV241" s="257">
        <f t="shared" si="126"/>
        <v>0</v>
      </c>
      <c r="AW241" s="386"/>
      <c r="AX241" s="257">
        <f t="shared" si="127"/>
        <v>0</v>
      </c>
      <c r="AY241" s="389">
        <v>21613</v>
      </c>
      <c r="AZ241" s="257">
        <f t="shared" si="128"/>
        <v>54032.5</v>
      </c>
      <c r="BA241" s="261">
        <v>7000</v>
      </c>
      <c r="BB241" s="257">
        <f t="shared" si="129"/>
        <v>17500</v>
      </c>
      <c r="BC241" s="261">
        <v>820</v>
      </c>
      <c r="BD241" s="257">
        <f t="shared" si="130"/>
        <v>2050</v>
      </c>
      <c r="BE241" s="271">
        <v>16018</v>
      </c>
      <c r="BF241" s="257">
        <f t="shared" si="131"/>
        <v>40045</v>
      </c>
      <c r="BG241" s="261">
        <v>22280</v>
      </c>
      <c r="BH241" s="257">
        <f t="shared" si="132"/>
        <v>23394</v>
      </c>
      <c r="BI241" s="389">
        <v>22600</v>
      </c>
      <c r="BJ241" s="257">
        <f t="shared" si="133"/>
        <v>23730</v>
      </c>
      <c r="BK241" s="389">
        <v>27758</v>
      </c>
      <c r="BL241" s="257">
        <f t="shared" si="134"/>
        <v>29145.9</v>
      </c>
      <c r="BM241" s="1" t="s">
        <v>766</v>
      </c>
      <c r="BO241" s="1" t="s">
        <v>457</v>
      </c>
      <c r="BP241" s="1" t="s">
        <v>767</v>
      </c>
    </row>
    <row r="242" spans="1:68" ht="18" customHeight="1">
      <c r="A242" s="250" t="s">
        <v>451</v>
      </c>
      <c r="B242" s="59" t="s">
        <v>221</v>
      </c>
      <c r="C242" s="354" t="s">
        <v>172</v>
      </c>
      <c r="D242" s="476"/>
      <c r="E242" s="359" t="s">
        <v>332</v>
      </c>
      <c r="F242" s="421"/>
      <c r="G242" s="317">
        <v>2025</v>
      </c>
      <c r="H242" s="326" t="s">
        <v>765</v>
      </c>
      <c r="I242" s="332" t="s">
        <v>249</v>
      </c>
      <c r="J242" s="337">
        <v>16</v>
      </c>
      <c r="K242" s="336" t="s">
        <v>726</v>
      </c>
      <c r="L242" s="323" t="s">
        <v>344</v>
      </c>
      <c r="M242" s="303" t="s">
        <v>541</v>
      </c>
      <c r="N242" s="303">
        <v>15.8</v>
      </c>
      <c r="O242" s="303">
        <v>16.55</v>
      </c>
      <c r="P242" s="303">
        <v>18.8</v>
      </c>
      <c r="Q242" s="303">
        <v>18.8</v>
      </c>
      <c r="R242" s="303">
        <v>18.8</v>
      </c>
      <c r="S242" s="303">
        <v>18.8</v>
      </c>
      <c r="T242" s="303">
        <v>18.8</v>
      </c>
      <c r="U242" s="303">
        <v>18.8</v>
      </c>
      <c r="V242" s="303">
        <v>18.8</v>
      </c>
      <c r="W242" s="303">
        <v>18.8</v>
      </c>
      <c r="X242" s="303">
        <v>18.8</v>
      </c>
      <c r="Y242" s="303">
        <v>16.55</v>
      </c>
      <c r="Z242" s="303">
        <v>16.55</v>
      </c>
      <c r="AA242" s="303">
        <v>16.55</v>
      </c>
      <c r="AB242" s="304">
        <v>1.5</v>
      </c>
      <c r="AC242" s="304">
        <v>3.6</v>
      </c>
      <c r="AD242" s="304">
        <v>3.6</v>
      </c>
      <c r="AE242" s="304">
        <v>3.6</v>
      </c>
      <c r="AF242" s="304">
        <v>3.6</v>
      </c>
      <c r="AG242" s="304">
        <v>3.6</v>
      </c>
      <c r="AH242" s="304">
        <v>3.6</v>
      </c>
      <c r="AI242" s="304">
        <v>3.6</v>
      </c>
      <c r="AJ242" s="304">
        <v>3.6</v>
      </c>
      <c r="AK242" s="304">
        <v>3.6</v>
      </c>
      <c r="AL242" s="304">
        <v>1.5</v>
      </c>
      <c r="AM242" s="304">
        <v>1.5</v>
      </c>
      <c r="AN242" s="304">
        <v>1.5</v>
      </c>
      <c r="AO242" s="255"/>
      <c r="AP242" s="254">
        <f t="shared" si="123"/>
        <v>0</v>
      </c>
      <c r="AQ242" s="255"/>
      <c r="AR242" s="254">
        <f t="shared" si="124"/>
        <v>0</v>
      </c>
      <c r="AS242" s="261">
        <v>240</v>
      </c>
      <c r="AT242" s="254">
        <f t="shared" si="125"/>
        <v>864</v>
      </c>
      <c r="AU242" s="256"/>
      <c r="AV242" s="257">
        <f t="shared" si="126"/>
        <v>0</v>
      </c>
      <c r="AW242" s="382"/>
      <c r="AX242" s="257">
        <f t="shared" si="127"/>
        <v>0</v>
      </c>
      <c r="AY242" s="268">
        <v>1400</v>
      </c>
      <c r="AZ242" s="257">
        <f t="shared" si="128"/>
        <v>5040</v>
      </c>
      <c r="BA242" s="270">
        <v>280</v>
      </c>
      <c r="BB242" s="257">
        <f t="shared" si="129"/>
        <v>1008</v>
      </c>
      <c r="BC242" s="270">
        <v>4920</v>
      </c>
      <c r="BD242" s="257">
        <f t="shared" si="130"/>
        <v>17712</v>
      </c>
      <c r="BE242" s="270">
        <v>29157</v>
      </c>
      <c r="BF242" s="257">
        <f t="shared" si="131"/>
        <v>104965.2</v>
      </c>
      <c r="BG242" s="270">
        <v>20392</v>
      </c>
      <c r="BH242" s="257">
        <f t="shared" si="132"/>
        <v>30588</v>
      </c>
      <c r="BI242" s="270">
        <v>30810</v>
      </c>
      <c r="BJ242" s="257">
        <f t="shared" si="133"/>
        <v>46215</v>
      </c>
      <c r="BK242" s="270">
        <v>13196</v>
      </c>
      <c r="BL242" s="257">
        <f t="shared" si="134"/>
        <v>19794</v>
      </c>
      <c r="BM242" s="1" t="s">
        <v>768</v>
      </c>
      <c r="BO242" s="1" t="s">
        <v>457</v>
      </c>
      <c r="BP242" s="1" t="s">
        <v>769</v>
      </c>
    </row>
    <row r="243" spans="1:68" ht="18" customHeight="1">
      <c r="A243" s="250" t="s">
        <v>451</v>
      </c>
      <c r="B243" s="59" t="s">
        <v>221</v>
      </c>
      <c r="C243" s="354" t="s">
        <v>172</v>
      </c>
      <c r="D243" s="476"/>
      <c r="E243" s="359" t="s">
        <v>332</v>
      </c>
      <c r="F243" s="421"/>
      <c r="G243" s="317">
        <v>2025</v>
      </c>
      <c r="H243" s="326" t="s">
        <v>765</v>
      </c>
      <c r="I243" s="332" t="s">
        <v>249</v>
      </c>
      <c r="J243" s="337">
        <v>16</v>
      </c>
      <c r="K243" s="336" t="s">
        <v>770</v>
      </c>
      <c r="L243" s="323" t="s">
        <v>344</v>
      </c>
      <c r="M243" s="303" t="s">
        <v>541</v>
      </c>
      <c r="N243" s="303">
        <v>10.4</v>
      </c>
      <c r="O243" s="303">
        <v>10.55</v>
      </c>
      <c r="P243" s="303">
        <v>12</v>
      </c>
      <c r="Q243" s="303">
        <v>12</v>
      </c>
      <c r="R243" s="303">
        <v>12</v>
      </c>
      <c r="S243" s="303">
        <v>12</v>
      </c>
      <c r="T243" s="303">
        <v>12</v>
      </c>
      <c r="U243" s="303">
        <v>12</v>
      </c>
      <c r="V243" s="303">
        <v>12</v>
      </c>
      <c r="W243" s="303">
        <v>12</v>
      </c>
      <c r="X243" s="303">
        <v>12</v>
      </c>
      <c r="Y243" s="303">
        <v>10.55</v>
      </c>
      <c r="Z243" s="303">
        <v>10.55</v>
      </c>
      <c r="AA243" s="303">
        <v>10.55</v>
      </c>
      <c r="AB243" s="304">
        <v>1.05</v>
      </c>
      <c r="AC243" s="304">
        <v>2.5</v>
      </c>
      <c r="AD243" s="304">
        <v>2.5</v>
      </c>
      <c r="AE243" s="304">
        <v>2.5</v>
      </c>
      <c r="AF243" s="304">
        <v>2.5</v>
      </c>
      <c r="AG243" s="304">
        <v>2.5</v>
      </c>
      <c r="AH243" s="304">
        <v>2.5</v>
      </c>
      <c r="AI243" s="304">
        <v>2.5</v>
      </c>
      <c r="AJ243" s="304">
        <v>2.5</v>
      </c>
      <c r="AK243" s="304">
        <v>2.5</v>
      </c>
      <c r="AL243" s="304">
        <v>1.05</v>
      </c>
      <c r="AM243" s="304">
        <v>1.05</v>
      </c>
      <c r="AN243" s="304">
        <v>1.05</v>
      </c>
      <c r="AO243" s="255"/>
      <c r="AP243" s="254">
        <f t="shared" si="123"/>
        <v>0</v>
      </c>
      <c r="AQ243" s="255"/>
      <c r="AR243" s="254">
        <f t="shared" si="124"/>
        <v>0</v>
      </c>
      <c r="AS243" s="255">
        <v>40</v>
      </c>
      <c r="AT243" s="254">
        <f t="shared" si="125"/>
        <v>100</v>
      </c>
      <c r="AU243" s="255"/>
      <c r="AV243" s="257">
        <f t="shared" si="126"/>
        <v>0</v>
      </c>
      <c r="AW243" s="381"/>
      <c r="AX243" s="257">
        <f t="shared" si="127"/>
        <v>0</v>
      </c>
      <c r="AY243" s="388"/>
      <c r="AZ243" s="257">
        <f t="shared" si="128"/>
        <v>0</v>
      </c>
      <c r="BA243" s="255"/>
      <c r="BB243" s="257">
        <f t="shared" si="129"/>
        <v>0</v>
      </c>
      <c r="BC243" s="255"/>
      <c r="BD243" s="257">
        <f t="shared" si="130"/>
        <v>0</v>
      </c>
      <c r="BE243" s="268"/>
      <c r="BF243" s="257">
        <f t="shared" si="131"/>
        <v>0</v>
      </c>
      <c r="BG243" s="256"/>
      <c r="BH243" s="257">
        <f t="shared" si="132"/>
        <v>0</v>
      </c>
      <c r="BI243" s="268"/>
      <c r="BJ243" s="257">
        <f t="shared" si="133"/>
        <v>0</v>
      </c>
      <c r="BK243" s="268"/>
      <c r="BL243" s="257">
        <f t="shared" si="134"/>
        <v>0</v>
      </c>
      <c r="BM243" s="1" t="s">
        <v>771</v>
      </c>
      <c r="BO243" s="1" t="s">
        <v>457</v>
      </c>
      <c r="BP243" s="1" t="s">
        <v>772</v>
      </c>
    </row>
    <row r="244" spans="1:68" ht="18" customHeight="1">
      <c r="A244" s="250" t="s">
        <v>451</v>
      </c>
      <c r="B244" s="59" t="s">
        <v>221</v>
      </c>
      <c r="C244" s="354" t="s">
        <v>172</v>
      </c>
      <c r="D244" s="476"/>
      <c r="E244" s="359" t="s">
        <v>332</v>
      </c>
      <c r="F244" s="421"/>
      <c r="G244" s="317">
        <v>2025</v>
      </c>
      <c r="H244" s="326" t="s">
        <v>765</v>
      </c>
      <c r="I244" s="332" t="s">
        <v>249</v>
      </c>
      <c r="J244" s="337">
        <v>16</v>
      </c>
      <c r="K244" s="336" t="s">
        <v>756</v>
      </c>
      <c r="L244" s="323" t="s">
        <v>344</v>
      </c>
      <c r="M244" s="303" t="s">
        <v>541</v>
      </c>
      <c r="N244" s="303">
        <v>15.8</v>
      </c>
      <c r="O244" s="303">
        <v>16.55</v>
      </c>
      <c r="P244" s="303">
        <v>18.8</v>
      </c>
      <c r="Q244" s="303">
        <v>18.8</v>
      </c>
      <c r="R244" s="303">
        <v>18.8</v>
      </c>
      <c r="S244" s="303">
        <v>18.8</v>
      </c>
      <c r="T244" s="303">
        <v>18.8</v>
      </c>
      <c r="U244" s="303">
        <v>18.8</v>
      </c>
      <c r="V244" s="303">
        <v>18.8</v>
      </c>
      <c r="W244" s="303">
        <v>18.8</v>
      </c>
      <c r="X244" s="303">
        <v>18.8</v>
      </c>
      <c r="Y244" s="303">
        <v>16.55</v>
      </c>
      <c r="Z244" s="303">
        <v>16.55</v>
      </c>
      <c r="AA244" s="303">
        <v>16.55</v>
      </c>
      <c r="AB244" s="304">
        <v>1.5</v>
      </c>
      <c r="AC244" s="304">
        <v>3.6</v>
      </c>
      <c r="AD244" s="304">
        <v>3.6</v>
      </c>
      <c r="AE244" s="304">
        <v>3.6</v>
      </c>
      <c r="AF244" s="304">
        <v>3.6</v>
      </c>
      <c r="AG244" s="304">
        <v>3.6</v>
      </c>
      <c r="AH244" s="304">
        <v>3.6</v>
      </c>
      <c r="AI244" s="304">
        <v>3.6</v>
      </c>
      <c r="AJ244" s="304">
        <v>3.6</v>
      </c>
      <c r="AK244" s="304">
        <v>3.6</v>
      </c>
      <c r="AL244" s="304">
        <v>1.5</v>
      </c>
      <c r="AM244" s="304">
        <v>1.5</v>
      </c>
      <c r="AN244" s="304">
        <v>1.5</v>
      </c>
      <c r="AO244" s="255"/>
      <c r="AP244" s="254">
        <f t="shared" si="123"/>
        <v>0</v>
      </c>
      <c r="AQ244" s="255"/>
      <c r="AR244" s="254">
        <f t="shared" si="124"/>
        <v>0</v>
      </c>
      <c r="AS244" s="255"/>
      <c r="AT244" s="254">
        <f t="shared" si="125"/>
        <v>0</v>
      </c>
      <c r="AU244" s="255"/>
      <c r="AV244" s="257">
        <f t="shared" si="126"/>
        <v>0</v>
      </c>
      <c r="AW244" s="381"/>
      <c r="AX244" s="257">
        <f t="shared" si="127"/>
        <v>0</v>
      </c>
      <c r="AY244" s="388">
        <v>40</v>
      </c>
      <c r="AZ244" s="257">
        <f t="shared" si="128"/>
        <v>144</v>
      </c>
      <c r="BA244" s="255"/>
      <c r="BB244" s="257">
        <f t="shared" si="129"/>
        <v>0</v>
      </c>
      <c r="BC244" s="255"/>
      <c r="BD244" s="257">
        <f t="shared" si="130"/>
        <v>0</v>
      </c>
      <c r="BE244" s="255">
        <v>1160</v>
      </c>
      <c r="BF244" s="257">
        <f t="shared" si="131"/>
        <v>4176</v>
      </c>
      <c r="BG244" s="255">
        <v>3340</v>
      </c>
      <c r="BH244" s="257">
        <f t="shared" si="132"/>
        <v>5010</v>
      </c>
      <c r="BI244" s="255">
        <v>2960</v>
      </c>
      <c r="BJ244" s="257">
        <f t="shared" si="133"/>
        <v>4440</v>
      </c>
      <c r="BK244" s="255">
        <v>760</v>
      </c>
      <c r="BL244" s="257">
        <f t="shared" si="134"/>
        <v>1140</v>
      </c>
      <c r="BM244" s="1" t="s">
        <v>773</v>
      </c>
      <c r="BO244" s="1" t="s">
        <v>457</v>
      </c>
      <c r="BP244" s="1" t="s">
        <v>774</v>
      </c>
    </row>
    <row r="245" spans="1:68" ht="18" customHeight="1">
      <c r="A245" s="250" t="s">
        <v>451</v>
      </c>
      <c r="B245" s="59" t="s">
        <v>221</v>
      </c>
      <c r="C245" s="354" t="s">
        <v>172</v>
      </c>
      <c r="D245" s="476"/>
      <c r="E245" s="359" t="s">
        <v>332</v>
      </c>
      <c r="F245" s="421"/>
      <c r="G245" s="317">
        <v>2025</v>
      </c>
      <c r="H245" s="326" t="s">
        <v>765</v>
      </c>
      <c r="I245" s="332" t="s">
        <v>249</v>
      </c>
      <c r="J245" s="337">
        <v>16</v>
      </c>
      <c r="K245" s="336" t="s">
        <v>723</v>
      </c>
      <c r="L245" s="323" t="s">
        <v>464</v>
      </c>
      <c r="M245" s="303" t="s">
        <v>465</v>
      </c>
      <c r="N245" s="303">
        <v>10.4</v>
      </c>
      <c r="O245" s="303">
        <v>10.55</v>
      </c>
      <c r="P245" s="303">
        <v>12</v>
      </c>
      <c r="Q245" s="303">
        <v>12</v>
      </c>
      <c r="R245" s="303">
        <v>12</v>
      </c>
      <c r="S245" s="303">
        <v>12</v>
      </c>
      <c r="T245" s="303">
        <v>12</v>
      </c>
      <c r="U245" s="303">
        <v>12</v>
      </c>
      <c r="V245" s="303">
        <v>12</v>
      </c>
      <c r="W245" s="303">
        <v>12</v>
      </c>
      <c r="X245" s="303">
        <v>12</v>
      </c>
      <c r="Y245" s="303">
        <v>10.55</v>
      </c>
      <c r="Z245" s="303">
        <v>10.55</v>
      </c>
      <c r="AA245" s="303">
        <v>10.55</v>
      </c>
      <c r="AB245" s="304">
        <v>1.05</v>
      </c>
      <c r="AC245" s="304">
        <v>2.5</v>
      </c>
      <c r="AD245" s="304">
        <v>2.5</v>
      </c>
      <c r="AE245" s="304">
        <v>2.5</v>
      </c>
      <c r="AF245" s="304">
        <v>2.5</v>
      </c>
      <c r="AG245" s="304">
        <v>2.5</v>
      </c>
      <c r="AH245" s="304">
        <v>2.5</v>
      </c>
      <c r="AI245" s="304">
        <v>2.5</v>
      </c>
      <c r="AJ245" s="304">
        <v>2.5</v>
      </c>
      <c r="AK245" s="304">
        <v>2.5</v>
      </c>
      <c r="AL245" s="304">
        <v>1.05</v>
      </c>
      <c r="AM245" s="304">
        <v>1.05</v>
      </c>
      <c r="AN245" s="304">
        <v>1.05</v>
      </c>
      <c r="AO245" s="255"/>
      <c r="AP245" s="254">
        <f t="shared" si="123"/>
        <v>0</v>
      </c>
      <c r="AQ245" s="255"/>
      <c r="AR245" s="254">
        <f t="shared" si="124"/>
        <v>0</v>
      </c>
      <c r="AS245" s="255"/>
      <c r="AT245" s="254">
        <f t="shared" si="125"/>
        <v>0</v>
      </c>
      <c r="AU245" s="255"/>
      <c r="AV245" s="257">
        <f t="shared" si="126"/>
        <v>0</v>
      </c>
      <c r="AW245" s="381"/>
      <c r="AX245" s="257">
        <f t="shared" si="127"/>
        <v>0</v>
      </c>
      <c r="AY245" s="388"/>
      <c r="AZ245" s="257">
        <f t="shared" si="128"/>
        <v>0</v>
      </c>
      <c r="BA245" s="255"/>
      <c r="BB245" s="257">
        <f t="shared" si="129"/>
        <v>0</v>
      </c>
      <c r="BC245" s="255"/>
      <c r="BD245" s="257">
        <f t="shared" si="130"/>
        <v>0</v>
      </c>
      <c r="BE245" s="255">
        <v>680</v>
      </c>
      <c r="BF245" s="257">
        <f t="shared" si="131"/>
        <v>1700</v>
      </c>
      <c r="BG245" s="255">
        <v>800</v>
      </c>
      <c r="BH245" s="257">
        <f t="shared" si="132"/>
        <v>840</v>
      </c>
      <c r="BI245" s="255">
        <v>360</v>
      </c>
      <c r="BJ245" s="257">
        <f t="shared" si="133"/>
        <v>378</v>
      </c>
      <c r="BK245" s="255">
        <v>1160</v>
      </c>
      <c r="BL245" s="257">
        <f t="shared" si="134"/>
        <v>1218</v>
      </c>
      <c r="BM245" s="1" t="s">
        <v>766</v>
      </c>
      <c r="BO245" s="1" t="s">
        <v>457</v>
      </c>
      <c r="BP245" s="1" t="s">
        <v>767</v>
      </c>
    </row>
    <row r="246" spans="1:68" ht="18" customHeight="1">
      <c r="A246" s="250" t="s">
        <v>451</v>
      </c>
      <c r="B246" s="59" t="s">
        <v>221</v>
      </c>
      <c r="C246" s="354" t="s">
        <v>172</v>
      </c>
      <c r="D246" s="476"/>
      <c r="E246" s="359" t="s">
        <v>332</v>
      </c>
      <c r="F246" s="421"/>
      <c r="G246" s="317">
        <v>2025</v>
      </c>
      <c r="H246" s="326" t="s">
        <v>765</v>
      </c>
      <c r="I246" s="332" t="s">
        <v>249</v>
      </c>
      <c r="J246" s="337">
        <v>16</v>
      </c>
      <c r="K246" s="336" t="s">
        <v>726</v>
      </c>
      <c r="L246" s="323" t="s">
        <v>464</v>
      </c>
      <c r="M246" s="303" t="s">
        <v>465</v>
      </c>
      <c r="N246" s="303">
        <v>15.8</v>
      </c>
      <c r="O246" s="303">
        <v>16.55</v>
      </c>
      <c r="P246" s="303">
        <v>18.8</v>
      </c>
      <c r="Q246" s="303">
        <v>18.8</v>
      </c>
      <c r="R246" s="303">
        <v>18.8</v>
      </c>
      <c r="S246" s="303">
        <v>18.8</v>
      </c>
      <c r="T246" s="303">
        <v>18.8</v>
      </c>
      <c r="U246" s="303">
        <v>18.8</v>
      </c>
      <c r="V246" s="303">
        <v>18.8</v>
      </c>
      <c r="W246" s="303">
        <v>18.8</v>
      </c>
      <c r="X246" s="303">
        <v>18.8</v>
      </c>
      <c r="Y246" s="303">
        <v>16.55</v>
      </c>
      <c r="Z246" s="303">
        <v>16.55</v>
      </c>
      <c r="AA246" s="303">
        <v>16.55</v>
      </c>
      <c r="AB246" s="304">
        <v>1.5</v>
      </c>
      <c r="AC246" s="304">
        <v>3.6</v>
      </c>
      <c r="AD246" s="304">
        <v>3.6</v>
      </c>
      <c r="AE246" s="304">
        <v>3.6</v>
      </c>
      <c r="AF246" s="304">
        <v>3.6</v>
      </c>
      <c r="AG246" s="304">
        <v>3.6</v>
      </c>
      <c r="AH246" s="304">
        <v>3.6</v>
      </c>
      <c r="AI246" s="304">
        <v>3.6</v>
      </c>
      <c r="AJ246" s="304">
        <v>3.6</v>
      </c>
      <c r="AK246" s="304">
        <v>3.6</v>
      </c>
      <c r="AL246" s="304">
        <v>1.5</v>
      </c>
      <c r="AM246" s="304">
        <v>1.5</v>
      </c>
      <c r="AN246" s="304">
        <v>1.5</v>
      </c>
      <c r="AO246" s="255"/>
      <c r="AP246" s="254">
        <f t="shared" si="123"/>
        <v>0</v>
      </c>
      <c r="AQ246" s="255"/>
      <c r="AR246" s="254">
        <f t="shared" si="124"/>
        <v>0</v>
      </c>
      <c r="AS246" s="255"/>
      <c r="AT246" s="254">
        <f t="shared" si="125"/>
        <v>0</v>
      </c>
      <c r="AU246" s="255"/>
      <c r="AV246" s="257">
        <f t="shared" si="126"/>
        <v>0</v>
      </c>
      <c r="AW246" s="381"/>
      <c r="AX246" s="257">
        <f t="shared" si="127"/>
        <v>0</v>
      </c>
      <c r="AY246" s="388"/>
      <c r="AZ246" s="257">
        <f t="shared" si="128"/>
        <v>0</v>
      </c>
      <c r="BA246" s="255">
        <v>400</v>
      </c>
      <c r="BB246" s="257">
        <f t="shared" si="129"/>
        <v>1440</v>
      </c>
      <c r="BC246" s="255"/>
      <c r="BD246" s="257">
        <f t="shared" si="130"/>
        <v>0</v>
      </c>
      <c r="BE246" s="255">
        <v>1280</v>
      </c>
      <c r="BF246" s="257">
        <f t="shared" si="131"/>
        <v>4608</v>
      </c>
      <c r="BG246" s="255">
        <v>5680</v>
      </c>
      <c r="BH246" s="257">
        <f t="shared" si="132"/>
        <v>8520</v>
      </c>
      <c r="BI246" s="255">
        <v>6800</v>
      </c>
      <c r="BJ246" s="257">
        <f t="shared" si="133"/>
        <v>10200</v>
      </c>
      <c r="BK246" s="255">
        <v>8000</v>
      </c>
      <c r="BL246" s="257">
        <f t="shared" si="134"/>
        <v>12000</v>
      </c>
      <c r="BM246" s="1" t="s">
        <v>768</v>
      </c>
      <c r="BO246" s="1" t="s">
        <v>457</v>
      </c>
      <c r="BP246" s="1" t="s">
        <v>769</v>
      </c>
    </row>
    <row r="247" spans="1:68" ht="18" customHeight="1">
      <c r="A247" s="250" t="s">
        <v>451</v>
      </c>
      <c r="B247" s="59" t="s">
        <v>221</v>
      </c>
      <c r="C247" s="354" t="s">
        <v>172</v>
      </c>
      <c r="D247" s="476"/>
      <c r="E247" s="359" t="s">
        <v>332</v>
      </c>
      <c r="F247" s="421"/>
      <c r="G247" s="317">
        <v>2025</v>
      </c>
      <c r="H247" s="326" t="s">
        <v>765</v>
      </c>
      <c r="I247" s="332" t="s">
        <v>249</v>
      </c>
      <c r="J247" s="337">
        <v>16</v>
      </c>
      <c r="K247" s="336" t="s">
        <v>770</v>
      </c>
      <c r="L247" s="323" t="s">
        <v>464</v>
      </c>
      <c r="M247" s="303" t="s">
        <v>465</v>
      </c>
      <c r="N247" s="303">
        <v>10.4</v>
      </c>
      <c r="O247" s="303">
        <v>10.55</v>
      </c>
      <c r="P247" s="303">
        <v>12</v>
      </c>
      <c r="Q247" s="303">
        <v>12</v>
      </c>
      <c r="R247" s="303">
        <v>12</v>
      </c>
      <c r="S247" s="303">
        <v>12</v>
      </c>
      <c r="T247" s="303">
        <v>12</v>
      </c>
      <c r="U247" s="303">
        <v>12</v>
      </c>
      <c r="V247" s="303">
        <v>12</v>
      </c>
      <c r="W247" s="303">
        <v>12</v>
      </c>
      <c r="X247" s="303">
        <v>12</v>
      </c>
      <c r="Y247" s="303">
        <v>10.55</v>
      </c>
      <c r="Z247" s="303">
        <v>10.55</v>
      </c>
      <c r="AA247" s="303">
        <v>10.55</v>
      </c>
      <c r="AB247" s="304">
        <v>1.05</v>
      </c>
      <c r="AC247" s="304">
        <v>2.5</v>
      </c>
      <c r="AD247" s="304">
        <v>2.5</v>
      </c>
      <c r="AE247" s="304">
        <v>2.5</v>
      </c>
      <c r="AF247" s="304">
        <v>2.5</v>
      </c>
      <c r="AG247" s="304">
        <v>2.5</v>
      </c>
      <c r="AH247" s="304">
        <v>2.5</v>
      </c>
      <c r="AI247" s="304">
        <v>2.5</v>
      </c>
      <c r="AJ247" s="304">
        <v>2.5</v>
      </c>
      <c r="AK247" s="304">
        <v>2.5</v>
      </c>
      <c r="AL247" s="304">
        <v>1.05</v>
      </c>
      <c r="AM247" s="304">
        <v>1.05</v>
      </c>
      <c r="AN247" s="304">
        <v>1.05</v>
      </c>
      <c r="AO247" s="255"/>
      <c r="AP247" s="254">
        <f t="shared" si="123"/>
        <v>0</v>
      </c>
      <c r="AQ247" s="255"/>
      <c r="AR247" s="254">
        <f t="shared" si="124"/>
        <v>0</v>
      </c>
      <c r="AS247" s="255"/>
      <c r="AT247" s="254">
        <f t="shared" si="125"/>
        <v>0</v>
      </c>
      <c r="AU247" s="255"/>
      <c r="AV247" s="257">
        <f t="shared" si="126"/>
        <v>0</v>
      </c>
      <c r="AW247" s="381"/>
      <c r="AX247" s="257">
        <f t="shared" si="127"/>
        <v>0</v>
      </c>
      <c r="AY247" s="388"/>
      <c r="AZ247" s="257">
        <f t="shared" si="128"/>
        <v>0</v>
      </c>
      <c r="BA247" s="255"/>
      <c r="BB247" s="257">
        <f t="shared" si="129"/>
        <v>0</v>
      </c>
      <c r="BC247" s="255"/>
      <c r="BD247" s="257">
        <f t="shared" si="130"/>
        <v>0</v>
      </c>
      <c r="BE247" s="255"/>
      <c r="BF247" s="257">
        <f t="shared" si="131"/>
        <v>0</v>
      </c>
      <c r="BG247" s="255"/>
      <c r="BH247" s="257">
        <f t="shared" si="132"/>
        <v>0</v>
      </c>
      <c r="BI247" s="255"/>
      <c r="BJ247" s="257">
        <f t="shared" si="133"/>
        <v>0</v>
      </c>
      <c r="BK247" s="255"/>
      <c r="BL247" s="257">
        <f t="shared" si="134"/>
        <v>0</v>
      </c>
      <c r="BM247" s="1" t="s">
        <v>771</v>
      </c>
      <c r="BO247" s="1" t="s">
        <v>457</v>
      </c>
      <c r="BP247" s="1" t="s">
        <v>772</v>
      </c>
    </row>
    <row r="248" spans="1:68" ht="18" customHeight="1">
      <c r="A248" s="250"/>
      <c r="C248" s="354"/>
      <c r="D248" s="476"/>
      <c r="E248" s="359"/>
      <c r="F248" s="421"/>
      <c r="G248" s="317"/>
      <c r="H248" s="326"/>
      <c r="I248" s="332"/>
      <c r="J248" s="337"/>
      <c r="K248" s="336"/>
      <c r="L248" s="32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303"/>
      <c r="AA248" s="303"/>
      <c r="AB248" s="304"/>
      <c r="AC248" s="304"/>
      <c r="AD248" s="304"/>
      <c r="AE248" s="304"/>
      <c r="AF248" s="304"/>
      <c r="AG248" s="304"/>
      <c r="AH248" s="304"/>
      <c r="AI248" s="304"/>
      <c r="AJ248" s="304"/>
      <c r="AK248" s="304"/>
      <c r="AL248" s="304"/>
      <c r="AM248" s="304"/>
      <c r="AN248" s="304"/>
      <c r="AO248" s="255"/>
      <c r="AP248" s="254">
        <f t="shared" si="123"/>
        <v>0</v>
      </c>
      <c r="AQ248" s="255"/>
      <c r="AR248" s="254">
        <f t="shared" si="124"/>
        <v>0</v>
      </c>
      <c r="AS248" s="261"/>
      <c r="AT248" s="254">
        <f t="shared" si="125"/>
        <v>0</v>
      </c>
      <c r="AU248" s="261"/>
      <c r="AV248" s="257">
        <f t="shared" si="126"/>
        <v>0</v>
      </c>
      <c r="AW248" s="386"/>
      <c r="AX248" s="257">
        <f t="shared" si="127"/>
        <v>0</v>
      </c>
      <c r="AY248" s="389"/>
      <c r="AZ248" s="257">
        <f t="shared" si="128"/>
        <v>0</v>
      </c>
      <c r="BA248" s="261"/>
      <c r="BB248" s="257">
        <f t="shared" si="129"/>
        <v>0</v>
      </c>
      <c r="BC248" s="261"/>
      <c r="BD248" s="257">
        <f t="shared" si="130"/>
        <v>0</v>
      </c>
      <c r="BE248" s="274"/>
      <c r="BF248" s="257">
        <f t="shared" si="131"/>
        <v>0</v>
      </c>
      <c r="BG248" s="261"/>
      <c r="BH248" s="257">
        <f t="shared" si="132"/>
        <v>0</v>
      </c>
      <c r="BI248" s="274"/>
      <c r="BJ248" s="257">
        <f t="shared" si="133"/>
        <v>0</v>
      </c>
      <c r="BK248" s="274"/>
      <c r="BL248" s="257">
        <f t="shared" si="134"/>
        <v>0</v>
      </c>
    </row>
    <row r="249" spans="1:68" ht="18" customHeight="1">
      <c r="A249" s="250"/>
      <c r="C249" s="354"/>
      <c r="D249" s="476"/>
      <c r="E249" s="359"/>
      <c r="F249" s="421"/>
      <c r="G249" s="317"/>
      <c r="H249" s="326"/>
      <c r="I249" s="332"/>
      <c r="J249" s="337"/>
      <c r="K249" s="336"/>
      <c r="L249" s="32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303"/>
      <c r="AA249" s="303"/>
      <c r="AB249" s="304"/>
      <c r="AC249" s="304"/>
      <c r="AD249" s="304"/>
      <c r="AE249" s="304"/>
      <c r="AF249" s="304"/>
      <c r="AG249" s="304"/>
      <c r="AH249" s="304"/>
      <c r="AI249" s="304"/>
      <c r="AJ249" s="304"/>
      <c r="AK249" s="304"/>
      <c r="AL249" s="304"/>
      <c r="AM249" s="304"/>
      <c r="AN249" s="304"/>
      <c r="AO249" s="255"/>
      <c r="AP249" s="254">
        <f t="shared" si="123"/>
        <v>0</v>
      </c>
      <c r="AQ249" s="255"/>
      <c r="AR249" s="254">
        <f t="shared" si="124"/>
        <v>0</v>
      </c>
      <c r="AS249" s="261"/>
      <c r="AT249" s="254">
        <f t="shared" si="125"/>
        <v>0</v>
      </c>
      <c r="AU249" s="256"/>
      <c r="AV249" s="257">
        <f t="shared" si="126"/>
        <v>0</v>
      </c>
      <c r="AW249" s="382"/>
      <c r="AX249" s="257">
        <f t="shared" si="127"/>
        <v>0</v>
      </c>
      <c r="AY249" s="268"/>
      <c r="AZ249" s="257">
        <f t="shared" si="128"/>
        <v>0</v>
      </c>
      <c r="BA249" s="270"/>
      <c r="BB249" s="257">
        <f t="shared" si="129"/>
        <v>0</v>
      </c>
      <c r="BC249" s="270"/>
      <c r="BD249" s="257">
        <f t="shared" si="130"/>
        <v>0</v>
      </c>
      <c r="BE249" s="270"/>
      <c r="BF249" s="257">
        <f t="shared" si="131"/>
        <v>0</v>
      </c>
      <c r="BG249" s="270"/>
      <c r="BH249" s="257">
        <f t="shared" si="132"/>
        <v>0</v>
      </c>
      <c r="BI249" s="270"/>
      <c r="BJ249" s="257">
        <f t="shared" si="133"/>
        <v>0</v>
      </c>
      <c r="BK249" s="270"/>
      <c r="BL249" s="257">
        <f t="shared" si="134"/>
        <v>0</v>
      </c>
    </row>
    <row r="250" spans="1:68" ht="15" customHeight="1">
      <c r="A250" s="250" t="s">
        <v>451</v>
      </c>
      <c r="B250" s="59" t="s">
        <v>404</v>
      </c>
      <c r="C250" s="354" t="s">
        <v>172</v>
      </c>
      <c r="D250" s="476"/>
      <c r="E250" s="359" t="s">
        <v>214</v>
      </c>
      <c r="F250" s="417" t="s">
        <v>215</v>
      </c>
      <c r="G250" s="317"/>
      <c r="H250" s="59"/>
      <c r="I250" s="315"/>
      <c r="J250" s="318"/>
      <c r="K250" s="59"/>
      <c r="L250" s="298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303"/>
      <c r="AB250" s="304"/>
      <c r="AC250" s="304"/>
      <c r="AD250" s="304"/>
      <c r="AE250" s="304"/>
      <c r="AF250" s="304"/>
      <c r="AG250" s="304"/>
      <c r="AH250" s="304"/>
      <c r="AI250" s="304"/>
      <c r="AJ250" s="304"/>
      <c r="AK250" s="304"/>
      <c r="AL250" s="304"/>
      <c r="AM250" s="304"/>
      <c r="AN250" s="304"/>
      <c r="AO250" s="255"/>
      <c r="AP250" s="254"/>
      <c r="AQ250" s="255"/>
      <c r="AR250" s="254"/>
      <c r="AS250" s="255"/>
      <c r="AT250" s="254"/>
      <c r="AU250" s="256"/>
      <c r="AV250" s="257"/>
      <c r="AW250" s="382"/>
      <c r="AX250" s="257"/>
      <c r="AY250" s="268"/>
      <c r="AZ250" s="257"/>
      <c r="BA250" s="268"/>
      <c r="BB250" s="257"/>
      <c r="BC250" s="268"/>
      <c r="BD250" s="257"/>
      <c r="BE250" s="268"/>
      <c r="BF250" s="257"/>
      <c r="BG250" s="59"/>
      <c r="BH250" s="257"/>
      <c r="BI250" s="268"/>
      <c r="BJ250" s="257"/>
      <c r="BK250" s="268"/>
      <c r="BL250" s="257"/>
    </row>
    <row r="251" spans="1:68" ht="15" customHeight="1">
      <c r="A251" s="250" t="s">
        <v>451</v>
      </c>
      <c r="C251" s="354"/>
      <c r="D251" s="476"/>
      <c r="E251" s="359"/>
      <c r="F251" s="417"/>
      <c r="G251" s="59"/>
      <c r="H251" s="59"/>
      <c r="I251" s="59"/>
      <c r="J251" s="302"/>
      <c r="K251" s="59"/>
      <c r="L251" s="59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303"/>
      <c r="Z251" s="303"/>
      <c r="AA251" s="303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255"/>
      <c r="AP251" s="254">
        <f t="shared" si="75"/>
        <v>0</v>
      </c>
      <c r="AQ251" s="255"/>
      <c r="AR251" s="254">
        <f t="shared" si="76"/>
        <v>0</v>
      </c>
      <c r="AS251" s="255"/>
      <c r="AT251" s="254">
        <f t="shared" si="77"/>
        <v>0</v>
      </c>
      <c r="AU251" s="256"/>
      <c r="AV251" s="257">
        <f t="shared" si="78"/>
        <v>0</v>
      </c>
      <c r="AW251" s="382"/>
      <c r="AX251" s="257">
        <f t="shared" si="79"/>
        <v>0</v>
      </c>
      <c r="AY251" s="268"/>
      <c r="AZ251" s="257">
        <f t="shared" si="80"/>
        <v>0</v>
      </c>
      <c r="BA251" s="268"/>
      <c r="BB251" s="257">
        <f t="shared" si="81"/>
        <v>0</v>
      </c>
      <c r="BC251" s="268"/>
      <c r="BD251" s="257">
        <f t="shared" si="82"/>
        <v>0</v>
      </c>
      <c r="BE251" s="268"/>
      <c r="BF251" s="257">
        <f t="shared" si="83"/>
        <v>0</v>
      </c>
      <c r="BG251" s="59"/>
      <c r="BH251" s="257">
        <f t="shared" si="84"/>
        <v>0</v>
      </c>
      <c r="BI251" s="268"/>
      <c r="BJ251" s="257">
        <f t="shared" si="85"/>
        <v>0</v>
      </c>
      <c r="BK251" s="268"/>
      <c r="BL251" s="257">
        <f t="shared" si="134"/>
        <v>0</v>
      </c>
    </row>
    <row r="252" spans="1:68" ht="15" customHeight="1">
      <c r="A252" s="250" t="s">
        <v>451</v>
      </c>
      <c r="C252" s="354"/>
      <c r="D252" s="476"/>
      <c r="E252" s="359"/>
      <c r="F252" s="417"/>
      <c r="G252" s="59"/>
      <c r="H252" s="59"/>
      <c r="I252" s="59"/>
      <c r="J252" s="302"/>
      <c r="K252" s="59"/>
      <c r="L252" s="59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303"/>
      <c r="Z252" s="303"/>
      <c r="AA252" s="303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255"/>
      <c r="AP252" s="254">
        <f t="shared" si="75"/>
        <v>0</v>
      </c>
      <c r="AQ252" s="255"/>
      <c r="AR252" s="254">
        <f t="shared" si="76"/>
        <v>0</v>
      </c>
      <c r="AS252" s="255"/>
      <c r="AT252" s="254">
        <f t="shared" si="77"/>
        <v>0</v>
      </c>
      <c r="AU252" s="256"/>
      <c r="AV252" s="257">
        <f t="shared" si="78"/>
        <v>0</v>
      </c>
      <c r="AW252" s="382"/>
      <c r="AX252" s="257">
        <f t="shared" si="79"/>
        <v>0</v>
      </c>
      <c r="AY252" s="268"/>
      <c r="AZ252" s="257">
        <f t="shared" si="80"/>
        <v>0</v>
      </c>
      <c r="BA252" s="268"/>
      <c r="BB252" s="257">
        <f t="shared" si="81"/>
        <v>0</v>
      </c>
      <c r="BC252" s="268"/>
      <c r="BD252" s="257">
        <f t="shared" si="82"/>
        <v>0</v>
      </c>
      <c r="BE252" s="268"/>
      <c r="BF252" s="257">
        <f t="shared" si="83"/>
        <v>0</v>
      </c>
      <c r="BG252" s="59"/>
      <c r="BH252" s="257">
        <f t="shared" si="84"/>
        <v>0</v>
      </c>
      <c r="BI252" s="268"/>
      <c r="BJ252" s="257">
        <f t="shared" si="85"/>
        <v>0</v>
      </c>
      <c r="BK252" s="268"/>
      <c r="BL252" s="257">
        <f t="shared" si="134"/>
        <v>0</v>
      </c>
    </row>
    <row r="253" spans="1:68" ht="15" customHeight="1">
      <c r="A253" s="250" t="s">
        <v>451</v>
      </c>
      <c r="C253" s="354"/>
      <c r="D253" s="476"/>
      <c r="E253" s="359"/>
      <c r="F253" s="417"/>
      <c r="G253" s="59"/>
      <c r="H253" s="59"/>
      <c r="I253" s="59"/>
      <c r="J253" s="302"/>
      <c r="K253" s="59"/>
      <c r="L253" s="59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303"/>
      <c r="Z253" s="303"/>
      <c r="AA253" s="303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255"/>
      <c r="AP253" s="254">
        <f t="shared" si="75"/>
        <v>0</v>
      </c>
      <c r="AQ253" s="255"/>
      <c r="AR253" s="254">
        <f t="shared" si="76"/>
        <v>0</v>
      </c>
      <c r="AS253" s="255"/>
      <c r="AT253" s="254">
        <f t="shared" si="77"/>
        <v>0</v>
      </c>
      <c r="AU253" s="256"/>
      <c r="AV253" s="257">
        <f t="shared" si="78"/>
        <v>0</v>
      </c>
      <c r="AW253" s="382"/>
      <c r="AX253" s="257">
        <f t="shared" si="79"/>
        <v>0</v>
      </c>
      <c r="AY253" s="268"/>
      <c r="AZ253" s="257">
        <f t="shared" si="80"/>
        <v>0</v>
      </c>
      <c r="BA253" s="268"/>
      <c r="BB253" s="257">
        <f t="shared" si="81"/>
        <v>0</v>
      </c>
      <c r="BC253" s="268"/>
      <c r="BD253" s="257">
        <f t="shared" si="82"/>
        <v>0</v>
      </c>
      <c r="BE253" s="268"/>
      <c r="BF253" s="257">
        <f t="shared" si="83"/>
        <v>0</v>
      </c>
      <c r="BG253" s="59"/>
      <c r="BH253" s="257">
        <f t="shared" si="84"/>
        <v>0</v>
      </c>
      <c r="BI253" s="268"/>
      <c r="BJ253" s="257">
        <f t="shared" si="85"/>
        <v>0</v>
      </c>
      <c r="BK253" s="268"/>
      <c r="BL253" s="257">
        <f t="shared" si="134"/>
        <v>0</v>
      </c>
    </row>
    <row r="254" spans="1:68" ht="15.75" customHeight="1">
      <c r="A254" s="250" t="s">
        <v>451</v>
      </c>
      <c r="C254" s="354"/>
      <c r="D254" s="476"/>
      <c r="E254" s="359"/>
      <c r="F254" s="417"/>
      <c r="G254" s="59"/>
      <c r="H254" s="59"/>
      <c r="I254" s="59"/>
      <c r="J254" s="302"/>
      <c r="K254" s="59"/>
      <c r="L254" s="59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  <c r="X254" s="303"/>
      <c r="Y254" s="303"/>
      <c r="Z254" s="303"/>
      <c r="AA254" s="303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255"/>
      <c r="AP254" s="254">
        <f t="shared" si="75"/>
        <v>0</v>
      </c>
      <c r="AQ254" s="255"/>
      <c r="AR254" s="254">
        <f t="shared" si="76"/>
        <v>0</v>
      </c>
      <c r="AS254" s="255"/>
      <c r="AT254" s="254">
        <f t="shared" si="77"/>
        <v>0</v>
      </c>
      <c r="AU254" s="256"/>
      <c r="AV254" s="257">
        <f t="shared" si="78"/>
        <v>0</v>
      </c>
      <c r="AW254" s="382"/>
      <c r="AX254" s="257">
        <f t="shared" si="79"/>
        <v>0</v>
      </c>
      <c r="AY254" s="268"/>
      <c r="AZ254" s="257">
        <f t="shared" si="80"/>
        <v>0</v>
      </c>
      <c r="BA254" s="268"/>
      <c r="BB254" s="257">
        <f t="shared" si="81"/>
        <v>0</v>
      </c>
      <c r="BC254" s="268"/>
      <c r="BD254" s="257">
        <f t="shared" si="82"/>
        <v>0</v>
      </c>
      <c r="BE254" s="268"/>
      <c r="BF254" s="257">
        <f t="shared" si="83"/>
        <v>0</v>
      </c>
      <c r="BG254" s="59"/>
      <c r="BH254" s="257">
        <f t="shared" si="84"/>
        <v>0</v>
      </c>
      <c r="BI254" s="268"/>
      <c r="BJ254" s="257">
        <f t="shared" si="85"/>
        <v>0</v>
      </c>
      <c r="BK254" s="268"/>
      <c r="BL254" s="257">
        <f t="shared" si="134"/>
        <v>0</v>
      </c>
    </row>
    <row r="255" spans="1:68" ht="15.75" customHeight="1">
      <c r="A255" s="250" t="s">
        <v>451</v>
      </c>
      <c r="C255" s="354"/>
      <c r="D255" s="476"/>
      <c r="E255" s="359"/>
      <c r="F255" s="417"/>
      <c r="G255" s="59"/>
      <c r="H255" s="312"/>
      <c r="I255" s="312"/>
      <c r="J255" s="344"/>
      <c r="K255" s="312"/>
      <c r="L255" s="312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  <c r="X255" s="303"/>
      <c r="Y255" s="303"/>
      <c r="Z255" s="303"/>
      <c r="AA255" s="303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255"/>
      <c r="AP255" s="254">
        <f t="shared" si="75"/>
        <v>0</v>
      </c>
      <c r="AQ255" s="255"/>
      <c r="AR255" s="254">
        <f t="shared" si="76"/>
        <v>0</v>
      </c>
      <c r="AS255" s="255"/>
      <c r="AT255" s="254">
        <f t="shared" si="77"/>
        <v>0</v>
      </c>
      <c r="AU255" s="256"/>
      <c r="AV255" s="257">
        <f t="shared" si="78"/>
        <v>0</v>
      </c>
      <c r="AW255" s="382"/>
      <c r="AX255" s="257">
        <f t="shared" si="79"/>
        <v>0</v>
      </c>
      <c r="AY255" s="268"/>
      <c r="AZ255" s="257">
        <f t="shared" si="80"/>
        <v>0</v>
      </c>
      <c r="BA255" s="268"/>
      <c r="BB255" s="257">
        <f t="shared" si="81"/>
        <v>0</v>
      </c>
      <c r="BC255" s="268"/>
      <c r="BD255" s="257">
        <f t="shared" si="82"/>
        <v>0</v>
      </c>
      <c r="BE255" s="268"/>
      <c r="BF255" s="257">
        <f t="shared" si="83"/>
        <v>0</v>
      </c>
      <c r="BG255" s="59"/>
      <c r="BH255" s="257">
        <f t="shared" si="84"/>
        <v>0</v>
      </c>
      <c r="BI255" s="268"/>
      <c r="BJ255" s="257">
        <f t="shared" si="85"/>
        <v>0</v>
      </c>
      <c r="BK255" s="268"/>
      <c r="BL255" s="257">
        <f t="shared" si="86"/>
        <v>0</v>
      </c>
    </row>
    <row r="256" spans="1:68" ht="15.75" customHeight="1" thickBot="1">
      <c r="A256" s="250" t="s">
        <v>451</v>
      </c>
      <c r="C256" s="354"/>
      <c r="D256" s="477"/>
      <c r="E256" s="359"/>
      <c r="F256" s="417"/>
      <c r="G256" s="59"/>
      <c r="H256" s="312"/>
      <c r="I256" s="312"/>
      <c r="J256" s="344"/>
      <c r="K256" s="312"/>
      <c r="L256" s="312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  <c r="X256" s="303"/>
      <c r="Y256" s="303"/>
      <c r="Z256" s="303"/>
      <c r="AA256" s="303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255"/>
      <c r="AP256" s="254">
        <f t="shared" ref="AP256:AP359" si="135">AC256*AO256</f>
        <v>0</v>
      </c>
      <c r="AQ256" s="255"/>
      <c r="AR256" s="254">
        <f t="shared" ref="AR256:AR359" si="136">AD256*AQ256</f>
        <v>0</v>
      </c>
      <c r="AS256" s="255"/>
      <c r="AT256" s="254">
        <f t="shared" ref="AT256:AT359" si="137">AE256*AS256</f>
        <v>0</v>
      </c>
      <c r="AU256" s="256"/>
      <c r="AV256" s="257">
        <f t="shared" ref="AV256:AV358" si="138">AF256*AU256</f>
        <v>0</v>
      </c>
      <c r="AW256" s="382"/>
      <c r="AX256" s="257">
        <f t="shared" ref="AX256:AX358" si="139">AG256*AW256</f>
        <v>0</v>
      </c>
      <c r="AY256" s="268"/>
      <c r="AZ256" s="257">
        <f t="shared" ref="AZ256:AZ358" si="140">AH256*AY256</f>
        <v>0</v>
      </c>
      <c r="BA256" s="268"/>
      <c r="BB256" s="257">
        <f t="shared" ref="BB256:BB359" si="141">AI256*BA256</f>
        <v>0</v>
      </c>
      <c r="BC256" s="268"/>
      <c r="BD256" s="257">
        <f t="shared" ref="BD256:BD359" si="142">AJ256*BC256</f>
        <v>0</v>
      </c>
      <c r="BE256" s="268"/>
      <c r="BF256" s="257">
        <f t="shared" ref="BF256:BF359" si="143">AK256*BE256</f>
        <v>0</v>
      </c>
      <c r="BG256" s="59"/>
      <c r="BH256" s="257">
        <f t="shared" ref="BH256:BH359" si="144">AL256*BG256</f>
        <v>0</v>
      </c>
      <c r="BI256" s="268"/>
      <c r="BJ256" s="257">
        <f t="shared" ref="BJ256:BJ359" si="145">AM256*BI256</f>
        <v>0</v>
      </c>
      <c r="BK256" s="268"/>
      <c r="BL256" s="257">
        <f t="shared" ref="BL256:BL359" si="146">AN256*BK256</f>
        <v>0</v>
      </c>
    </row>
    <row r="257" spans="1:68" ht="15.75" customHeight="1">
      <c r="A257" s="250" t="s">
        <v>451</v>
      </c>
      <c r="B257" s="59" t="s">
        <v>405</v>
      </c>
      <c r="C257" s="354" t="s">
        <v>172</v>
      </c>
      <c r="D257" s="411" t="s">
        <v>304</v>
      </c>
      <c r="E257" s="414" t="s">
        <v>304</v>
      </c>
      <c r="F257" s="417" t="s">
        <v>305</v>
      </c>
      <c r="G257" s="353">
        <v>2021</v>
      </c>
      <c r="H257" s="345" t="s">
        <v>306</v>
      </c>
      <c r="I257" s="346" t="s">
        <v>183</v>
      </c>
      <c r="J257" s="347" t="s">
        <v>217</v>
      </c>
      <c r="K257" s="345" t="s">
        <v>217</v>
      </c>
      <c r="L257" s="345" t="s">
        <v>177</v>
      </c>
      <c r="M257" s="303" t="s">
        <v>775</v>
      </c>
      <c r="N257" s="303">
        <v>42.7</v>
      </c>
      <c r="O257" s="303">
        <v>43.15</v>
      </c>
      <c r="P257" s="303">
        <v>43.15</v>
      </c>
      <c r="Q257" s="303">
        <v>43.15</v>
      </c>
      <c r="R257" s="303">
        <v>43.15</v>
      </c>
      <c r="S257" s="303">
        <v>43.15</v>
      </c>
      <c r="T257" s="303">
        <v>43.15</v>
      </c>
      <c r="U257" s="303">
        <v>43.15</v>
      </c>
      <c r="V257" s="303">
        <v>43.15</v>
      </c>
      <c r="W257" s="303">
        <v>43.15</v>
      </c>
      <c r="X257" s="303">
        <v>43.15</v>
      </c>
      <c r="Y257" s="303">
        <v>43.15</v>
      </c>
      <c r="Z257" s="303">
        <v>43.15</v>
      </c>
      <c r="AA257" s="303">
        <v>43.15</v>
      </c>
      <c r="AB257" s="304">
        <v>0</v>
      </c>
      <c r="AC257" s="304">
        <v>0</v>
      </c>
      <c r="AD257" s="304">
        <v>0</v>
      </c>
      <c r="AE257" s="304">
        <v>0</v>
      </c>
      <c r="AF257" s="304">
        <v>0</v>
      </c>
      <c r="AG257" s="304">
        <v>0</v>
      </c>
      <c r="AH257" s="304">
        <v>0</v>
      </c>
      <c r="AI257" s="304">
        <v>0</v>
      </c>
      <c r="AJ257" s="304">
        <v>0</v>
      </c>
      <c r="AK257" s="304">
        <v>0</v>
      </c>
      <c r="AL257" s="304">
        <v>0</v>
      </c>
      <c r="AM257" s="304">
        <v>0</v>
      </c>
      <c r="AN257" s="304">
        <v>0</v>
      </c>
      <c r="AO257" s="255">
        <v>1200</v>
      </c>
      <c r="AP257" s="254">
        <f t="shared" si="135"/>
        <v>0</v>
      </c>
      <c r="AQ257" s="255"/>
      <c r="AR257" s="254">
        <f t="shared" si="136"/>
        <v>0</v>
      </c>
      <c r="AS257" s="255"/>
      <c r="AT257" s="254">
        <f t="shared" si="137"/>
        <v>0</v>
      </c>
      <c r="AU257" s="255"/>
      <c r="AV257" s="257">
        <f t="shared" si="138"/>
        <v>0</v>
      </c>
      <c r="AW257" s="381"/>
      <c r="AX257" s="257">
        <f t="shared" si="139"/>
        <v>0</v>
      </c>
      <c r="AY257" s="388"/>
      <c r="AZ257" s="257">
        <f t="shared" si="140"/>
        <v>0</v>
      </c>
      <c r="BA257" s="270"/>
      <c r="BB257" s="257">
        <f t="shared" si="141"/>
        <v>0</v>
      </c>
      <c r="BC257" s="255">
        <v>1200</v>
      </c>
      <c r="BD257" s="257">
        <f t="shared" si="142"/>
        <v>0</v>
      </c>
      <c r="BE257" s="255"/>
      <c r="BF257" s="257">
        <f t="shared" si="143"/>
        <v>0</v>
      </c>
      <c r="BG257" s="255"/>
      <c r="BH257" s="257">
        <f t="shared" si="144"/>
        <v>0</v>
      </c>
      <c r="BI257" s="255"/>
      <c r="BJ257" s="257">
        <f t="shared" si="145"/>
        <v>0</v>
      </c>
      <c r="BK257" s="255"/>
      <c r="BL257" s="257">
        <f t="shared" si="146"/>
        <v>0</v>
      </c>
      <c r="BM257" s="1" t="s">
        <v>776</v>
      </c>
      <c r="BN257" s="1" t="s">
        <v>777</v>
      </c>
      <c r="BO257" s="1" t="s">
        <v>406</v>
      </c>
      <c r="BP257" s="1" t="s">
        <v>778</v>
      </c>
    </row>
    <row r="258" spans="1:68" ht="15.75" customHeight="1">
      <c r="A258" s="250" t="s">
        <v>451</v>
      </c>
      <c r="B258" s="59" t="s">
        <v>405</v>
      </c>
      <c r="C258" s="354" t="s">
        <v>172</v>
      </c>
      <c r="D258" s="412"/>
      <c r="E258" s="415"/>
      <c r="F258" s="417"/>
      <c r="G258" s="353">
        <v>2021</v>
      </c>
      <c r="H258" s="345" t="s">
        <v>306</v>
      </c>
      <c r="I258" s="346" t="s">
        <v>183</v>
      </c>
      <c r="J258" s="347" t="s">
        <v>217</v>
      </c>
      <c r="K258" s="345" t="s">
        <v>217</v>
      </c>
      <c r="L258" s="345" t="s">
        <v>177</v>
      </c>
      <c r="M258" s="303" t="s">
        <v>779</v>
      </c>
      <c r="N258" s="303">
        <v>42.7</v>
      </c>
      <c r="O258" s="303">
        <v>42.7</v>
      </c>
      <c r="P258" s="303">
        <v>42.7</v>
      </c>
      <c r="Q258" s="303">
        <v>42.7</v>
      </c>
      <c r="R258" s="303">
        <v>42.7</v>
      </c>
      <c r="S258" s="303">
        <v>42.7</v>
      </c>
      <c r="T258" s="303">
        <v>42.7</v>
      </c>
      <c r="U258" s="303">
        <v>42.7</v>
      </c>
      <c r="V258" s="303">
        <v>42.7</v>
      </c>
      <c r="W258" s="303">
        <v>42.7</v>
      </c>
      <c r="X258" s="303">
        <v>42.7</v>
      </c>
      <c r="Y258" s="303">
        <v>42.7</v>
      </c>
      <c r="Z258" s="303">
        <v>42.7</v>
      </c>
      <c r="AA258" s="303">
        <v>42.7</v>
      </c>
      <c r="AB258" s="304">
        <v>0</v>
      </c>
      <c r="AC258" s="304">
        <v>0</v>
      </c>
      <c r="AD258" s="304">
        <v>0</v>
      </c>
      <c r="AE258" s="304">
        <v>0</v>
      </c>
      <c r="AF258" s="304">
        <v>0</v>
      </c>
      <c r="AG258" s="304">
        <v>0</v>
      </c>
      <c r="AH258" s="304">
        <v>0</v>
      </c>
      <c r="AI258" s="304">
        <v>0</v>
      </c>
      <c r="AJ258" s="304">
        <v>0</v>
      </c>
      <c r="AK258" s="304">
        <v>0</v>
      </c>
      <c r="AL258" s="304">
        <v>0</v>
      </c>
      <c r="AM258" s="304">
        <v>0</v>
      </c>
      <c r="AN258" s="304">
        <v>0</v>
      </c>
      <c r="AO258" s="255"/>
      <c r="AP258" s="254">
        <f t="shared" si="135"/>
        <v>0</v>
      </c>
      <c r="AQ258" s="255"/>
      <c r="AR258" s="254">
        <f t="shared" si="136"/>
        <v>0</v>
      </c>
      <c r="AS258" s="255"/>
      <c r="AT258" s="254">
        <f t="shared" si="137"/>
        <v>0</v>
      </c>
      <c r="AU258" s="255"/>
      <c r="AV258" s="257">
        <f t="shared" si="138"/>
        <v>0</v>
      </c>
      <c r="AW258" s="381"/>
      <c r="AX258" s="257">
        <f t="shared" si="139"/>
        <v>0</v>
      </c>
      <c r="AY258" s="388"/>
      <c r="AZ258" s="257">
        <f t="shared" si="140"/>
        <v>0</v>
      </c>
      <c r="BA258" s="255"/>
      <c r="BB258" s="257">
        <f t="shared" si="141"/>
        <v>0</v>
      </c>
      <c r="BC258" s="255"/>
      <c r="BD258" s="257">
        <f t="shared" si="142"/>
        <v>0</v>
      </c>
      <c r="BE258" s="255"/>
      <c r="BF258" s="257">
        <f t="shared" si="143"/>
        <v>0</v>
      </c>
      <c r="BG258" s="255"/>
      <c r="BH258" s="257">
        <f t="shared" si="144"/>
        <v>0</v>
      </c>
      <c r="BI258" s="255"/>
      <c r="BJ258" s="257">
        <f t="shared" si="145"/>
        <v>0</v>
      </c>
      <c r="BK258" s="255"/>
      <c r="BL258" s="257">
        <f t="shared" si="146"/>
        <v>0</v>
      </c>
      <c r="BM258" s="1" t="s">
        <v>776</v>
      </c>
      <c r="BN258" s="1" t="s">
        <v>777</v>
      </c>
      <c r="BO258" s="1" t="s">
        <v>408</v>
      </c>
      <c r="BP258" s="1" t="s">
        <v>780</v>
      </c>
    </row>
    <row r="259" spans="1:68" ht="15.75" customHeight="1">
      <c r="A259" s="250" t="s">
        <v>451</v>
      </c>
      <c r="B259" s="59" t="s">
        <v>405</v>
      </c>
      <c r="C259" s="354" t="s">
        <v>172</v>
      </c>
      <c r="D259" s="412"/>
      <c r="E259" s="415"/>
      <c r="F259" s="417"/>
      <c r="G259" s="353">
        <v>2021</v>
      </c>
      <c r="H259" s="345" t="s">
        <v>306</v>
      </c>
      <c r="I259" s="346" t="s">
        <v>183</v>
      </c>
      <c r="J259" s="347" t="s">
        <v>217</v>
      </c>
      <c r="K259" s="345" t="s">
        <v>217</v>
      </c>
      <c r="L259" s="345" t="s">
        <v>177</v>
      </c>
      <c r="M259" s="303" t="s">
        <v>775</v>
      </c>
      <c r="N259" s="303">
        <v>42.7</v>
      </c>
      <c r="O259" s="303">
        <v>43.15</v>
      </c>
      <c r="P259" s="303">
        <v>43.15</v>
      </c>
      <c r="Q259" s="303">
        <v>43.15</v>
      </c>
      <c r="R259" s="303">
        <v>43.15</v>
      </c>
      <c r="S259" s="303">
        <v>43.15</v>
      </c>
      <c r="T259" s="303">
        <v>43.15</v>
      </c>
      <c r="U259" s="303">
        <v>43.15</v>
      </c>
      <c r="V259" s="303">
        <v>43.15</v>
      </c>
      <c r="W259" s="303">
        <v>43.15</v>
      </c>
      <c r="X259" s="303">
        <v>43.15</v>
      </c>
      <c r="Y259" s="303">
        <v>43.15</v>
      </c>
      <c r="Z259" s="303">
        <v>43.15</v>
      </c>
      <c r="AA259" s="303">
        <v>43.15</v>
      </c>
      <c r="AB259" s="304">
        <v>0</v>
      </c>
      <c r="AC259" s="304">
        <v>0</v>
      </c>
      <c r="AD259" s="304">
        <v>0</v>
      </c>
      <c r="AE259" s="304">
        <v>0</v>
      </c>
      <c r="AF259" s="304">
        <v>0</v>
      </c>
      <c r="AG259" s="304">
        <v>0</v>
      </c>
      <c r="AH259" s="304">
        <v>0</v>
      </c>
      <c r="AI259" s="304">
        <v>0</v>
      </c>
      <c r="AJ259" s="304">
        <v>0</v>
      </c>
      <c r="AK259" s="304">
        <v>0</v>
      </c>
      <c r="AL259" s="304">
        <v>0</v>
      </c>
      <c r="AM259" s="304">
        <v>0</v>
      </c>
      <c r="AN259" s="304">
        <v>0</v>
      </c>
      <c r="AO259" s="255"/>
      <c r="AP259" s="254">
        <f t="shared" si="135"/>
        <v>0</v>
      </c>
      <c r="AQ259" s="255">
        <v>1200</v>
      </c>
      <c r="AR259" s="254">
        <f t="shared" si="136"/>
        <v>0</v>
      </c>
      <c r="AS259" s="255"/>
      <c r="AT259" s="254">
        <f t="shared" si="137"/>
        <v>0</v>
      </c>
      <c r="AU259" s="255"/>
      <c r="AV259" s="257">
        <f t="shared" si="138"/>
        <v>0</v>
      </c>
      <c r="AW259" s="381"/>
      <c r="AX259" s="257">
        <f t="shared" si="139"/>
        <v>0</v>
      </c>
      <c r="AY259" s="388">
        <v>1200</v>
      </c>
      <c r="AZ259" s="257">
        <f t="shared" si="140"/>
        <v>0</v>
      </c>
      <c r="BA259" s="363"/>
      <c r="BB259" s="257">
        <f t="shared" si="141"/>
        <v>0</v>
      </c>
      <c r="BC259" s="255"/>
      <c r="BD259" s="257">
        <f t="shared" si="142"/>
        <v>0</v>
      </c>
      <c r="BE259" s="255"/>
      <c r="BF259" s="257">
        <f t="shared" si="143"/>
        <v>0</v>
      </c>
      <c r="BG259" s="255"/>
      <c r="BH259" s="257">
        <f t="shared" si="144"/>
        <v>0</v>
      </c>
      <c r="BI259" s="255"/>
      <c r="BJ259" s="257">
        <f t="shared" si="145"/>
        <v>0</v>
      </c>
      <c r="BK259" s="255"/>
      <c r="BL259" s="257">
        <f t="shared" si="146"/>
        <v>0</v>
      </c>
      <c r="BM259" s="1" t="s">
        <v>776</v>
      </c>
      <c r="BN259" s="1" t="s">
        <v>777</v>
      </c>
      <c r="BO259" s="1" t="s">
        <v>409</v>
      </c>
      <c r="BP259" s="1" t="s">
        <v>780</v>
      </c>
    </row>
    <row r="260" spans="1:68" ht="15.75" customHeight="1">
      <c r="A260" s="250" t="s">
        <v>451</v>
      </c>
      <c r="B260" s="59" t="s">
        <v>405</v>
      </c>
      <c r="C260" s="354" t="s">
        <v>172</v>
      </c>
      <c r="D260" s="412"/>
      <c r="E260" s="415"/>
      <c r="F260" s="417"/>
      <c r="G260" s="353">
        <v>2021</v>
      </c>
      <c r="H260" s="345" t="s">
        <v>306</v>
      </c>
      <c r="I260" s="346" t="s">
        <v>183</v>
      </c>
      <c r="J260" s="347" t="s">
        <v>217</v>
      </c>
      <c r="K260" s="345" t="s">
        <v>217</v>
      </c>
      <c r="L260" s="345" t="s">
        <v>177</v>
      </c>
      <c r="M260" s="303" t="s">
        <v>781</v>
      </c>
      <c r="N260" s="303">
        <v>42.7</v>
      </c>
      <c r="O260" s="303">
        <v>42.7</v>
      </c>
      <c r="P260" s="303">
        <v>42.7</v>
      </c>
      <c r="Q260" s="303">
        <v>42.7</v>
      </c>
      <c r="R260" s="303">
        <v>42.7</v>
      </c>
      <c r="S260" s="303">
        <v>42.7</v>
      </c>
      <c r="T260" s="303">
        <v>42.7</v>
      </c>
      <c r="U260" s="303">
        <v>42.7</v>
      </c>
      <c r="V260" s="303">
        <v>42.7</v>
      </c>
      <c r="W260" s="303">
        <v>42.7</v>
      </c>
      <c r="X260" s="303">
        <v>42.7</v>
      </c>
      <c r="Y260" s="303">
        <v>42.7</v>
      </c>
      <c r="Z260" s="303">
        <v>42.7</v>
      </c>
      <c r="AA260" s="303">
        <v>42.7</v>
      </c>
      <c r="AB260" s="304">
        <v>0</v>
      </c>
      <c r="AC260" s="304">
        <v>0</v>
      </c>
      <c r="AD260" s="304">
        <v>0</v>
      </c>
      <c r="AE260" s="304">
        <v>0</v>
      </c>
      <c r="AF260" s="304">
        <v>0</v>
      </c>
      <c r="AG260" s="304">
        <v>0</v>
      </c>
      <c r="AH260" s="304">
        <v>0</v>
      </c>
      <c r="AI260" s="304">
        <v>0</v>
      </c>
      <c r="AJ260" s="304">
        <v>0</v>
      </c>
      <c r="AK260" s="304">
        <v>0</v>
      </c>
      <c r="AL260" s="304">
        <v>0</v>
      </c>
      <c r="AM260" s="304">
        <v>0</v>
      </c>
      <c r="AN260" s="304">
        <v>0</v>
      </c>
      <c r="AO260" s="255">
        <v>900</v>
      </c>
      <c r="AP260" s="254">
        <f t="shared" si="135"/>
        <v>0</v>
      </c>
      <c r="AQ260" s="255">
        <v>200</v>
      </c>
      <c r="AR260" s="254">
        <f t="shared" si="136"/>
        <v>0</v>
      </c>
      <c r="AS260" s="255">
        <v>200</v>
      </c>
      <c r="AT260" s="254">
        <f t="shared" si="137"/>
        <v>0</v>
      </c>
      <c r="AU260" s="255">
        <v>400</v>
      </c>
      <c r="AV260" s="257">
        <f t="shared" si="138"/>
        <v>0</v>
      </c>
      <c r="AW260" s="381"/>
      <c r="AX260" s="257">
        <f t="shared" si="139"/>
        <v>0</v>
      </c>
      <c r="AY260" s="388"/>
      <c r="AZ260" s="257">
        <f t="shared" si="140"/>
        <v>0</v>
      </c>
      <c r="BA260" s="363"/>
      <c r="BB260" s="257">
        <f t="shared" si="141"/>
        <v>0</v>
      </c>
      <c r="BC260" s="255"/>
      <c r="BD260" s="257">
        <f t="shared" si="142"/>
        <v>0</v>
      </c>
      <c r="BE260" s="255"/>
      <c r="BF260" s="257">
        <f t="shared" si="143"/>
        <v>0</v>
      </c>
      <c r="BG260" s="255"/>
      <c r="BH260" s="257">
        <f t="shared" si="144"/>
        <v>0</v>
      </c>
      <c r="BI260" s="255"/>
      <c r="BJ260" s="257">
        <f t="shared" si="145"/>
        <v>0</v>
      </c>
      <c r="BK260" s="255"/>
      <c r="BL260" s="257">
        <f t="shared" si="146"/>
        <v>0</v>
      </c>
      <c r="BM260" s="1" t="s">
        <v>776</v>
      </c>
      <c r="BN260" s="1" t="s">
        <v>782</v>
      </c>
      <c r="BO260" s="1" t="s">
        <v>406</v>
      </c>
      <c r="BP260" s="1" t="s">
        <v>783</v>
      </c>
    </row>
    <row r="261" spans="1:68" ht="15.75" customHeight="1">
      <c r="A261" s="250" t="s">
        <v>451</v>
      </c>
      <c r="B261" s="59" t="s">
        <v>405</v>
      </c>
      <c r="C261" s="354" t="s">
        <v>172</v>
      </c>
      <c r="D261" s="412"/>
      <c r="E261" s="415"/>
      <c r="F261" s="417"/>
      <c r="G261" s="353">
        <v>2021</v>
      </c>
      <c r="H261" s="345" t="s">
        <v>306</v>
      </c>
      <c r="I261" s="346" t="s">
        <v>183</v>
      </c>
      <c r="J261" s="347" t="s">
        <v>217</v>
      </c>
      <c r="K261" s="345" t="s">
        <v>217</v>
      </c>
      <c r="L261" s="345" t="s">
        <v>177</v>
      </c>
      <c r="M261" s="303" t="s">
        <v>779</v>
      </c>
      <c r="N261" s="303">
        <v>42.7</v>
      </c>
      <c r="O261" s="303">
        <v>42.7</v>
      </c>
      <c r="P261" s="303">
        <v>42.7</v>
      </c>
      <c r="Q261" s="303">
        <v>42.7</v>
      </c>
      <c r="R261" s="303">
        <v>42.7</v>
      </c>
      <c r="S261" s="303">
        <v>42.7</v>
      </c>
      <c r="T261" s="303">
        <v>42.7</v>
      </c>
      <c r="U261" s="303">
        <v>42.7</v>
      </c>
      <c r="V261" s="303">
        <v>42.7</v>
      </c>
      <c r="W261" s="303">
        <v>42.7</v>
      </c>
      <c r="X261" s="303">
        <v>42.7</v>
      </c>
      <c r="Y261" s="303">
        <v>42.7</v>
      </c>
      <c r="Z261" s="303">
        <v>42.7</v>
      </c>
      <c r="AA261" s="303">
        <v>42.7</v>
      </c>
      <c r="AB261" s="304">
        <v>0</v>
      </c>
      <c r="AC261" s="304">
        <v>0</v>
      </c>
      <c r="AD261" s="304">
        <v>0</v>
      </c>
      <c r="AE261" s="304">
        <v>0</v>
      </c>
      <c r="AF261" s="304">
        <v>0</v>
      </c>
      <c r="AG261" s="304">
        <v>0</v>
      </c>
      <c r="AH261" s="304">
        <v>0</v>
      </c>
      <c r="AI261" s="304">
        <v>0</v>
      </c>
      <c r="AJ261" s="304">
        <v>0</v>
      </c>
      <c r="AK261" s="304">
        <v>0</v>
      </c>
      <c r="AL261" s="304">
        <v>0</v>
      </c>
      <c r="AM261" s="304">
        <v>0</v>
      </c>
      <c r="AN261" s="304">
        <v>0</v>
      </c>
      <c r="AO261" s="255">
        <v>3120</v>
      </c>
      <c r="AP261" s="254">
        <f t="shared" si="135"/>
        <v>0</v>
      </c>
      <c r="AQ261" s="255">
        <v>3400</v>
      </c>
      <c r="AR261" s="254">
        <f t="shared" si="136"/>
        <v>0</v>
      </c>
      <c r="AS261" s="255">
        <v>3641</v>
      </c>
      <c r="AT261" s="254">
        <f t="shared" si="137"/>
        <v>0</v>
      </c>
      <c r="AU261" s="255">
        <v>1600</v>
      </c>
      <c r="AV261" s="257">
        <f t="shared" si="138"/>
        <v>0</v>
      </c>
      <c r="AW261" s="381">
        <v>2000</v>
      </c>
      <c r="AX261" s="257">
        <f t="shared" si="139"/>
        <v>0</v>
      </c>
      <c r="AY261" s="388">
        <v>200</v>
      </c>
      <c r="AZ261" s="257">
        <f t="shared" si="140"/>
        <v>0</v>
      </c>
      <c r="BA261" s="270">
        <v>600</v>
      </c>
      <c r="BB261" s="257">
        <f t="shared" si="141"/>
        <v>0</v>
      </c>
      <c r="BC261" s="255">
        <v>2200</v>
      </c>
      <c r="BD261" s="257">
        <f t="shared" si="142"/>
        <v>0</v>
      </c>
      <c r="BE261" s="255">
        <v>500</v>
      </c>
      <c r="BF261" s="257">
        <f t="shared" si="143"/>
        <v>0</v>
      </c>
      <c r="BG261" s="255">
        <v>600</v>
      </c>
      <c r="BH261" s="257">
        <f t="shared" si="144"/>
        <v>0</v>
      </c>
      <c r="BI261" s="255">
        <v>400</v>
      </c>
      <c r="BJ261" s="257">
        <f t="shared" si="145"/>
        <v>0</v>
      </c>
      <c r="BK261" s="255">
        <v>1400</v>
      </c>
      <c r="BL261" s="257">
        <f t="shared" si="146"/>
        <v>0</v>
      </c>
      <c r="BM261" s="1" t="s">
        <v>776</v>
      </c>
      <c r="BN261" s="1" t="s">
        <v>782</v>
      </c>
      <c r="BO261" s="1" t="s">
        <v>408</v>
      </c>
      <c r="BP261" s="1" t="s">
        <v>784</v>
      </c>
    </row>
    <row r="262" spans="1:68" ht="15.75" customHeight="1">
      <c r="A262" s="250" t="s">
        <v>451</v>
      </c>
      <c r="B262" s="59" t="s">
        <v>405</v>
      </c>
      <c r="C262" s="354" t="s">
        <v>172</v>
      </c>
      <c r="D262" s="412"/>
      <c r="E262" s="415"/>
      <c r="F262" s="417"/>
      <c r="G262" s="353">
        <v>2021</v>
      </c>
      <c r="H262" s="345" t="s">
        <v>306</v>
      </c>
      <c r="I262" s="346" t="s">
        <v>183</v>
      </c>
      <c r="J262" s="347" t="s">
        <v>217</v>
      </c>
      <c r="K262" s="345" t="s">
        <v>217</v>
      </c>
      <c r="L262" s="345" t="s">
        <v>177</v>
      </c>
      <c r="M262" s="303" t="s">
        <v>775</v>
      </c>
      <c r="N262" s="303">
        <v>42.7</v>
      </c>
      <c r="O262" s="303">
        <v>43.15</v>
      </c>
      <c r="P262" s="303">
        <v>43.15</v>
      </c>
      <c r="Q262" s="303">
        <v>43.15</v>
      </c>
      <c r="R262" s="303">
        <v>43.15</v>
      </c>
      <c r="S262" s="303">
        <v>43.15</v>
      </c>
      <c r="T262" s="303">
        <v>43.15</v>
      </c>
      <c r="U262" s="303">
        <v>43.15</v>
      </c>
      <c r="V262" s="303">
        <v>43.15</v>
      </c>
      <c r="W262" s="303">
        <v>43.15</v>
      </c>
      <c r="X262" s="303">
        <v>43.15</v>
      </c>
      <c r="Y262" s="303">
        <v>43.15</v>
      </c>
      <c r="Z262" s="303">
        <v>43.15</v>
      </c>
      <c r="AA262" s="303">
        <v>43.15</v>
      </c>
      <c r="AB262" s="304">
        <v>0</v>
      </c>
      <c r="AC262" s="304">
        <v>0</v>
      </c>
      <c r="AD262" s="304">
        <v>0</v>
      </c>
      <c r="AE262" s="304">
        <v>0</v>
      </c>
      <c r="AF262" s="304">
        <v>0</v>
      </c>
      <c r="AG262" s="304">
        <v>0</v>
      </c>
      <c r="AH262" s="304">
        <v>0</v>
      </c>
      <c r="AI262" s="304">
        <v>0</v>
      </c>
      <c r="AJ262" s="304">
        <v>0</v>
      </c>
      <c r="AK262" s="304">
        <v>0</v>
      </c>
      <c r="AL262" s="304">
        <v>0</v>
      </c>
      <c r="AM262" s="304">
        <v>0</v>
      </c>
      <c r="AN262" s="304">
        <v>0</v>
      </c>
      <c r="AO262" s="255"/>
      <c r="AP262" s="254">
        <f t="shared" si="135"/>
        <v>0</v>
      </c>
      <c r="AQ262" s="255"/>
      <c r="AR262" s="254">
        <f t="shared" si="136"/>
        <v>0</v>
      </c>
      <c r="AS262" s="255"/>
      <c r="AT262" s="254">
        <f t="shared" si="137"/>
        <v>0</v>
      </c>
      <c r="AU262" s="255">
        <v>200</v>
      </c>
      <c r="AV262" s="257">
        <f t="shared" si="138"/>
        <v>0</v>
      </c>
      <c r="AW262" s="381"/>
      <c r="AX262" s="257">
        <f t="shared" si="139"/>
        <v>0</v>
      </c>
      <c r="AY262" s="388"/>
      <c r="AZ262" s="257">
        <f t="shared" si="140"/>
        <v>0</v>
      </c>
      <c r="BA262" s="270"/>
      <c r="BB262" s="257">
        <f t="shared" si="141"/>
        <v>0</v>
      </c>
      <c r="BC262" s="255"/>
      <c r="BD262" s="257">
        <f t="shared" si="142"/>
        <v>0</v>
      </c>
      <c r="BE262" s="255"/>
      <c r="BF262" s="257">
        <f t="shared" si="143"/>
        <v>0</v>
      </c>
      <c r="BG262" s="255"/>
      <c r="BH262" s="257">
        <f t="shared" si="144"/>
        <v>0</v>
      </c>
      <c r="BI262" s="255"/>
      <c r="BJ262" s="257">
        <f t="shared" si="145"/>
        <v>0</v>
      </c>
      <c r="BK262" s="255"/>
      <c r="BL262" s="257">
        <f t="shared" si="146"/>
        <v>0</v>
      </c>
      <c r="BM262" s="1" t="s">
        <v>776</v>
      </c>
      <c r="BN262" s="1" t="s">
        <v>782</v>
      </c>
      <c r="BO262" s="1" t="s">
        <v>409</v>
      </c>
      <c r="BP262" s="1" t="s">
        <v>784</v>
      </c>
    </row>
    <row r="263" spans="1:68" ht="15.75" customHeight="1">
      <c r="A263" s="250" t="s">
        <v>451</v>
      </c>
      <c r="B263" s="59" t="s">
        <v>785</v>
      </c>
      <c r="C263" s="354" t="s">
        <v>172</v>
      </c>
      <c r="D263" s="412"/>
      <c r="E263" s="415"/>
      <c r="F263" s="417"/>
      <c r="G263" s="317">
        <v>2023</v>
      </c>
      <c r="H263" s="345" t="s">
        <v>307</v>
      </c>
      <c r="I263" s="346" t="s">
        <v>220</v>
      </c>
      <c r="J263" s="347" t="s">
        <v>308</v>
      </c>
      <c r="K263" s="348" t="s">
        <v>308</v>
      </c>
      <c r="L263" s="345" t="s">
        <v>185</v>
      </c>
      <c r="M263" s="303" t="s">
        <v>775</v>
      </c>
      <c r="N263" s="303">
        <v>32.35</v>
      </c>
      <c r="O263" s="303">
        <v>33.85</v>
      </c>
      <c r="P263" s="303">
        <v>33.85</v>
      </c>
      <c r="Q263" s="303">
        <v>33.85</v>
      </c>
      <c r="R263" s="303">
        <v>33.85</v>
      </c>
      <c r="S263" s="303">
        <v>33.85</v>
      </c>
      <c r="T263" s="303">
        <v>33.85</v>
      </c>
      <c r="U263" s="303">
        <v>33.85</v>
      </c>
      <c r="V263" s="303">
        <v>33.85</v>
      </c>
      <c r="W263" s="303">
        <v>33.85</v>
      </c>
      <c r="X263" s="303">
        <v>33.85</v>
      </c>
      <c r="Y263" s="303">
        <v>33.85</v>
      </c>
      <c r="Z263" s="303">
        <v>33.85</v>
      </c>
      <c r="AA263" s="303">
        <v>33.85</v>
      </c>
      <c r="AB263" s="304">
        <v>0.39</v>
      </c>
      <c r="AC263" s="304">
        <v>0.39</v>
      </c>
      <c r="AD263" s="304">
        <v>0.39</v>
      </c>
      <c r="AE263" s="304">
        <v>0.39</v>
      </c>
      <c r="AF263" s="304">
        <v>0.39</v>
      </c>
      <c r="AG263" s="304">
        <v>0.39</v>
      </c>
      <c r="AH263" s="304">
        <v>0.39</v>
      </c>
      <c r="AI263" s="304">
        <v>0.39</v>
      </c>
      <c r="AJ263" s="304">
        <v>0.39</v>
      </c>
      <c r="AK263" s="304">
        <v>0.39</v>
      </c>
      <c r="AL263" s="304">
        <v>0.39</v>
      </c>
      <c r="AM263" s="304">
        <v>0.39</v>
      </c>
      <c r="AN263" s="304">
        <v>0.39</v>
      </c>
      <c r="AO263" s="255">
        <v>1152</v>
      </c>
      <c r="AP263" s="254">
        <f t="shared" si="135"/>
        <v>449.28000000000003</v>
      </c>
      <c r="AQ263" s="255"/>
      <c r="AR263" s="254">
        <f t="shared" si="136"/>
        <v>0</v>
      </c>
      <c r="AS263" s="255"/>
      <c r="AT263" s="254">
        <f t="shared" si="137"/>
        <v>0</v>
      </c>
      <c r="AU263" s="255"/>
      <c r="AV263" s="257">
        <f t="shared" si="138"/>
        <v>0</v>
      </c>
      <c r="AW263" s="381"/>
      <c r="AX263" s="257">
        <f t="shared" si="139"/>
        <v>0</v>
      </c>
      <c r="AY263" s="388"/>
      <c r="AZ263" s="257">
        <f t="shared" si="140"/>
        <v>0</v>
      </c>
      <c r="BA263" s="270"/>
      <c r="BB263" s="257">
        <f t="shared" si="141"/>
        <v>0</v>
      </c>
      <c r="BC263" s="255">
        <v>1152</v>
      </c>
      <c r="BD263" s="257">
        <f t="shared" si="142"/>
        <v>449.28000000000003</v>
      </c>
      <c r="BE263" s="255"/>
      <c r="BF263" s="257">
        <f t="shared" si="143"/>
        <v>0</v>
      </c>
      <c r="BG263" s="255">
        <v>576</v>
      </c>
      <c r="BH263" s="257">
        <f t="shared" si="144"/>
        <v>224.64000000000001</v>
      </c>
      <c r="BI263" s="255"/>
      <c r="BJ263" s="257">
        <f t="shared" si="145"/>
        <v>0</v>
      </c>
      <c r="BK263" s="255"/>
      <c r="BL263" s="257">
        <f t="shared" si="146"/>
        <v>0</v>
      </c>
      <c r="BM263" s="1" t="s">
        <v>786</v>
      </c>
      <c r="BN263" s="1" t="s">
        <v>787</v>
      </c>
      <c r="BO263" s="1" t="s">
        <v>406</v>
      </c>
      <c r="BP263" s="1" t="s">
        <v>788</v>
      </c>
    </row>
    <row r="264" spans="1:68" ht="15.75" customHeight="1">
      <c r="A264" s="250" t="s">
        <v>451</v>
      </c>
      <c r="B264" s="59" t="s">
        <v>785</v>
      </c>
      <c r="C264" s="354" t="s">
        <v>172</v>
      </c>
      <c r="D264" s="412"/>
      <c r="E264" s="415"/>
      <c r="F264" s="417"/>
      <c r="G264" s="317">
        <v>2023</v>
      </c>
      <c r="H264" s="345" t="s">
        <v>307</v>
      </c>
      <c r="I264" s="346" t="s">
        <v>220</v>
      </c>
      <c r="J264" s="347" t="s">
        <v>308</v>
      </c>
      <c r="K264" s="348" t="s">
        <v>308</v>
      </c>
      <c r="L264" s="345" t="s">
        <v>185</v>
      </c>
      <c r="M264" s="303" t="s">
        <v>779</v>
      </c>
      <c r="N264" s="303">
        <v>32.35</v>
      </c>
      <c r="O264" s="303">
        <v>32.74</v>
      </c>
      <c r="P264" s="303">
        <v>32.74</v>
      </c>
      <c r="Q264" s="303">
        <v>32.74</v>
      </c>
      <c r="R264" s="303">
        <v>32.74</v>
      </c>
      <c r="S264" s="303">
        <v>32.74</v>
      </c>
      <c r="T264" s="303">
        <v>32.74</v>
      </c>
      <c r="U264" s="303">
        <v>32.74</v>
      </c>
      <c r="V264" s="303">
        <v>32.74</v>
      </c>
      <c r="W264" s="303">
        <v>32.74</v>
      </c>
      <c r="X264" s="303">
        <v>32.74</v>
      </c>
      <c r="Y264" s="303">
        <v>32.74</v>
      </c>
      <c r="Z264" s="303">
        <v>32.74</v>
      </c>
      <c r="AA264" s="303">
        <v>32.74</v>
      </c>
      <c r="AB264" s="304">
        <v>0.39</v>
      </c>
      <c r="AC264" s="304">
        <v>0.39</v>
      </c>
      <c r="AD264" s="304">
        <v>0.39</v>
      </c>
      <c r="AE264" s="304">
        <v>0.39</v>
      </c>
      <c r="AF264" s="304">
        <v>0.39</v>
      </c>
      <c r="AG264" s="304">
        <v>0.39</v>
      </c>
      <c r="AH264" s="304">
        <v>0.39</v>
      </c>
      <c r="AI264" s="304">
        <v>0.39</v>
      </c>
      <c r="AJ264" s="304">
        <v>0.39</v>
      </c>
      <c r="AK264" s="304">
        <v>0.39</v>
      </c>
      <c r="AL264" s="304">
        <v>0.39</v>
      </c>
      <c r="AM264" s="304">
        <v>0.39</v>
      </c>
      <c r="AN264" s="304">
        <v>0.39</v>
      </c>
      <c r="AO264" s="255">
        <v>864</v>
      </c>
      <c r="AP264" s="254">
        <f t="shared" si="135"/>
        <v>336.96000000000004</v>
      </c>
      <c r="AQ264" s="255"/>
      <c r="AR264" s="254">
        <f t="shared" si="136"/>
        <v>0</v>
      </c>
      <c r="AS264" s="255">
        <v>1152</v>
      </c>
      <c r="AT264" s="254">
        <f t="shared" si="137"/>
        <v>449.28000000000003</v>
      </c>
      <c r="AU264" s="255">
        <v>288</v>
      </c>
      <c r="AV264" s="257">
        <f t="shared" si="138"/>
        <v>112.32000000000001</v>
      </c>
      <c r="AW264" s="381"/>
      <c r="AX264" s="257">
        <f t="shared" si="139"/>
        <v>0</v>
      </c>
      <c r="AY264" s="388">
        <v>288</v>
      </c>
      <c r="AZ264" s="257">
        <f t="shared" si="140"/>
        <v>112.32000000000001</v>
      </c>
      <c r="BA264" s="270">
        <v>288</v>
      </c>
      <c r="BB264" s="257">
        <f t="shared" si="141"/>
        <v>112.32000000000001</v>
      </c>
      <c r="BC264" s="255"/>
      <c r="BD264" s="257">
        <f t="shared" si="142"/>
        <v>0</v>
      </c>
      <c r="BE264" s="255"/>
      <c r="BF264" s="257">
        <f t="shared" si="143"/>
        <v>0</v>
      </c>
      <c r="BG264" s="255"/>
      <c r="BH264" s="257">
        <f t="shared" si="144"/>
        <v>0</v>
      </c>
      <c r="BI264" s="255"/>
      <c r="BJ264" s="257">
        <f t="shared" si="145"/>
        <v>0</v>
      </c>
      <c r="BK264" s="255"/>
      <c r="BL264" s="257">
        <f t="shared" si="146"/>
        <v>0</v>
      </c>
      <c r="BM264" s="1" t="s">
        <v>789</v>
      </c>
      <c r="BN264" s="1" t="s">
        <v>790</v>
      </c>
      <c r="BO264" s="1" t="s">
        <v>408</v>
      </c>
      <c r="BP264" s="1" t="s">
        <v>791</v>
      </c>
    </row>
    <row r="265" spans="1:68" ht="15.75" customHeight="1">
      <c r="A265" s="250" t="s">
        <v>451</v>
      </c>
      <c r="B265" s="59" t="s">
        <v>785</v>
      </c>
      <c r="C265" s="354" t="s">
        <v>172</v>
      </c>
      <c r="D265" s="412"/>
      <c r="E265" s="415"/>
      <c r="F265" s="417"/>
      <c r="G265" s="317">
        <v>2023</v>
      </c>
      <c r="H265" s="345" t="s">
        <v>307</v>
      </c>
      <c r="I265" s="346" t="s">
        <v>220</v>
      </c>
      <c r="J265" s="347" t="s">
        <v>308</v>
      </c>
      <c r="K265" s="348" t="s">
        <v>308</v>
      </c>
      <c r="L265" s="345" t="s">
        <v>185</v>
      </c>
      <c r="M265" s="303" t="s">
        <v>775</v>
      </c>
      <c r="N265" s="303">
        <v>32.35</v>
      </c>
      <c r="O265" s="303">
        <v>33.85</v>
      </c>
      <c r="P265" s="303">
        <v>33.85</v>
      </c>
      <c r="Q265" s="303">
        <v>33.85</v>
      </c>
      <c r="R265" s="303">
        <v>33.85</v>
      </c>
      <c r="S265" s="303">
        <v>33.85</v>
      </c>
      <c r="T265" s="303">
        <v>33.85</v>
      </c>
      <c r="U265" s="303">
        <v>33.85</v>
      </c>
      <c r="V265" s="303">
        <v>33.85</v>
      </c>
      <c r="W265" s="303">
        <v>33.85</v>
      </c>
      <c r="X265" s="303">
        <v>33.85</v>
      </c>
      <c r="Y265" s="303">
        <v>33.85</v>
      </c>
      <c r="Z265" s="303">
        <v>33.85</v>
      </c>
      <c r="AA265" s="303">
        <v>33.85</v>
      </c>
      <c r="AB265" s="304">
        <v>0.39</v>
      </c>
      <c r="AC265" s="304">
        <v>0.39</v>
      </c>
      <c r="AD265" s="304">
        <v>0.39</v>
      </c>
      <c r="AE265" s="304">
        <v>0.39</v>
      </c>
      <c r="AF265" s="304">
        <v>0.39</v>
      </c>
      <c r="AG265" s="304">
        <v>0.39</v>
      </c>
      <c r="AH265" s="304">
        <v>0.39</v>
      </c>
      <c r="AI265" s="304">
        <v>0.39</v>
      </c>
      <c r="AJ265" s="304">
        <v>0.39</v>
      </c>
      <c r="AK265" s="304">
        <v>0.39</v>
      </c>
      <c r="AL265" s="304">
        <v>0.39</v>
      </c>
      <c r="AM265" s="304">
        <v>0.39</v>
      </c>
      <c r="AN265" s="304">
        <v>0.39</v>
      </c>
      <c r="AO265" s="255">
        <v>1152</v>
      </c>
      <c r="AP265" s="254">
        <f t="shared" si="135"/>
        <v>449.28000000000003</v>
      </c>
      <c r="AQ265" s="255"/>
      <c r="AR265" s="254">
        <f t="shared" si="136"/>
        <v>0</v>
      </c>
      <c r="AS265" s="255"/>
      <c r="AT265" s="254">
        <f t="shared" si="137"/>
        <v>0</v>
      </c>
      <c r="AU265" s="255"/>
      <c r="AV265" s="257">
        <f t="shared" si="138"/>
        <v>0</v>
      </c>
      <c r="AW265" s="381"/>
      <c r="AX265" s="257">
        <f t="shared" si="139"/>
        <v>0</v>
      </c>
      <c r="AY265" s="388"/>
      <c r="AZ265" s="257">
        <f t="shared" si="140"/>
        <v>0</v>
      </c>
      <c r="BA265" s="270"/>
      <c r="BB265" s="257">
        <f t="shared" si="141"/>
        <v>0</v>
      </c>
      <c r="BC265" s="255"/>
      <c r="BD265" s="257">
        <f t="shared" si="142"/>
        <v>0</v>
      </c>
      <c r="BE265" s="255"/>
      <c r="BF265" s="257">
        <f t="shared" si="143"/>
        <v>0</v>
      </c>
      <c r="BG265" s="255"/>
      <c r="BH265" s="257">
        <f t="shared" si="144"/>
        <v>0</v>
      </c>
      <c r="BI265" s="255"/>
      <c r="BJ265" s="257">
        <f t="shared" si="145"/>
        <v>0</v>
      </c>
      <c r="BK265" s="255"/>
      <c r="BL265" s="257">
        <f t="shared" si="146"/>
        <v>0</v>
      </c>
      <c r="BM265" s="1" t="s">
        <v>792</v>
      </c>
      <c r="BN265" s="1" t="s">
        <v>793</v>
      </c>
      <c r="BO265" s="1" t="s">
        <v>409</v>
      </c>
      <c r="BP265" s="1" t="s">
        <v>794</v>
      </c>
    </row>
    <row r="266" spans="1:68" ht="15.75" customHeight="1">
      <c r="A266" s="250">
        <v>5</v>
      </c>
      <c r="B266" s="59" t="s">
        <v>785</v>
      </c>
      <c r="C266" s="354" t="s">
        <v>172</v>
      </c>
      <c r="D266" s="412"/>
      <c r="E266" s="415"/>
      <c r="F266" s="417"/>
      <c r="G266" s="317">
        <v>2023</v>
      </c>
      <c r="H266" s="345" t="s">
        <v>307</v>
      </c>
      <c r="I266" s="346" t="s">
        <v>220</v>
      </c>
      <c r="J266" s="347" t="s">
        <v>308</v>
      </c>
      <c r="K266" s="348" t="s">
        <v>308</v>
      </c>
      <c r="L266" s="345" t="s">
        <v>185</v>
      </c>
      <c r="M266" s="303" t="s">
        <v>775</v>
      </c>
      <c r="N266" s="303">
        <v>32.35</v>
      </c>
      <c r="O266" s="303">
        <v>33.85</v>
      </c>
      <c r="P266" s="303">
        <v>33.85</v>
      </c>
      <c r="Q266" s="303">
        <v>33.85</v>
      </c>
      <c r="R266" s="303">
        <v>33.85</v>
      </c>
      <c r="S266" s="303">
        <v>33.85</v>
      </c>
      <c r="T266" s="303">
        <v>33.85</v>
      </c>
      <c r="U266" s="303">
        <v>33.85</v>
      </c>
      <c r="V266" s="303">
        <v>33.85</v>
      </c>
      <c r="W266" s="303">
        <v>33.85</v>
      </c>
      <c r="X266" s="303">
        <v>33.85</v>
      </c>
      <c r="Y266" s="303">
        <v>33.85</v>
      </c>
      <c r="Z266" s="303">
        <v>33.85</v>
      </c>
      <c r="AA266" s="303">
        <v>33.85</v>
      </c>
      <c r="AB266" s="304">
        <v>0.39</v>
      </c>
      <c r="AC266" s="304">
        <v>0.39</v>
      </c>
      <c r="AD266" s="304">
        <v>0.39</v>
      </c>
      <c r="AE266" s="304">
        <v>0.39</v>
      </c>
      <c r="AF266" s="304">
        <v>0.39</v>
      </c>
      <c r="AG266" s="304">
        <v>0.39</v>
      </c>
      <c r="AH266" s="304">
        <v>0.39</v>
      </c>
      <c r="AI266" s="304">
        <v>0.39</v>
      </c>
      <c r="AJ266" s="304">
        <v>0.39</v>
      </c>
      <c r="AK266" s="304">
        <v>0.39</v>
      </c>
      <c r="AL266" s="304">
        <v>0.39</v>
      </c>
      <c r="AM266" s="304">
        <v>0.39</v>
      </c>
      <c r="AN266" s="304">
        <v>0.39</v>
      </c>
      <c r="AO266" s="255"/>
      <c r="AP266" s="254">
        <f t="shared" si="135"/>
        <v>0</v>
      </c>
      <c r="AQ266" s="255"/>
      <c r="AR266" s="254">
        <f t="shared" si="136"/>
        <v>0</v>
      </c>
      <c r="AS266" s="255"/>
      <c r="AT266" s="254">
        <f t="shared" si="137"/>
        <v>0</v>
      </c>
      <c r="AU266" s="255"/>
      <c r="AV266" s="257">
        <f t="shared" si="138"/>
        <v>0</v>
      </c>
      <c r="AW266" s="381"/>
      <c r="AX266" s="257">
        <f t="shared" si="139"/>
        <v>0</v>
      </c>
      <c r="AY266" s="388">
        <v>1152</v>
      </c>
      <c r="AZ266" s="257">
        <f t="shared" si="140"/>
        <v>449.28000000000003</v>
      </c>
      <c r="BA266" s="270"/>
      <c r="BB266" s="257">
        <f t="shared" si="141"/>
        <v>0</v>
      </c>
      <c r="BC266" s="255"/>
      <c r="BD266" s="257">
        <f t="shared" si="142"/>
        <v>0</v>
      </c>
      <c r="BE266" s="255"/>
      <c r="BF266" s="257">
        <f t="shared" si="143"/>
        <v>0</v>
      </c>
      <c r="BG266" s="255"/>
      <c r="BH266" s="257">
        <f t="shared" si="144"/>
        <v>0</v>
      </c>
      <c r="BI266" s="255"/>
      <c r="BJ266" s="257">
        <f t="shared" si="145"/>
        <v>0</v>
      </c>
      <c r="BK266" s="255"/>
      <c r="BL266" s="257">
        <f t="shared" si="146"/>
        <v>0</v>
      </c>
      <c r="BM266" s="1" t="s">
        <v>795</v>
      </c>
      <c r="BN266" s="1" t="s">
        <v>796</v>
      </c>
      <c r="BO266" s="1" t="s">
        <v>406</v>
      </c>
      <c r="BP266" s="1" t="s">
        <v>797</v>
      </c>
    </row>
    <row r="267" spans="1:68" ht="15.75" customHeight="1">
      <c r="A267" s="250" t="s">
        <v>451</v>
      </c>
      <c r="B267" s="59" t="s">
        <v>785</v>
      </c>
      <c r="C267" s="354" t="s">
        <v>172</v>
      </c>
      <c r="D267" s="412"/>
      <c r="E267" s="415"/>
      <c r="F267" s="417"/>
      <c r="G267" s="317">
        <v>2023</v>
      </c>
      <c r="H267" s="345" t="s">
        <v>307</v>
      </c>
      <c r="I267" s="346" t="s">
        <v>220</v>
      </c>
      <c r="J267" s="347" t="s">
        <v>308</v>
      </c>
      <c r="K267" s="348" t="s">
        <v>308</v>
      </c>
      <c r="L267" s="345" t="s">
        <v>185</v>
      </c>
      <c r="M267" s="303" t="s">
        <v>779</v>
      </c>
      <c r="N267" s="303">
        <v>32.35</v>
      </c>
      <c r="O267" s="303">
        <v>32.74</v>
      </c>
      <c r="P267" s="303">
        <v>32.74</v>
      </c>
      <c r="Q267" s="303">
        <v>32.74</v>
      </c>
      <c r="R267" s="303">
        <v>32.74</v>
      </c>
      <c r="S267" s="303">
        <v>32.74</v>
      </c>
      <c r="T267" s="303">
        <v>32.74</v>
      </c>
      <c r="U267" s="303">
        <v>32.74</v>
      </c>
      <c r="V267" s="303">
        <v>32.74</v>
      </c>
      <c r="W267" s="303">
        <v>32.74</v>
      </c>
      <c r="X267" s="303">
        <v>32.74</v>
      </c>
      <c r="Y267" s="303">
        <v>32.74</v>
      </c>
      <c r="Z267" s="303">
        <v>32.74</v>
      </c>
      <c r="AA267" s="303">
        <v>32.74</v>
      </c>
      <c r="AB267" s="304">
        <v>0.39</v>
      </c>
      <c r="AC267" s="304">
        <v>0.39</v>
      </c>
      <c r="AD267" s="304">
        <v>0.39</v>
      </c>
      <c r="AE267" s="304">
        <v>0.39</v>
      </c>
      <c r="AF267" s="304">
        <v>0.39</v>
      </c>
      <c r="AG267" s="304">
        <v>0.39</v>
      </c>
      <c r="AH267" s="304">
        <v>0.39</v>
      </c>
      <c r="AI267" s="304">
        <v>0.39</v>
      </c>
      <c r="AJ267" s="304">
        <v>0.39</v>
      </c>
      <c r="AK267" s="304">
        <v>0.39</v>
      </c>
      <c r="AL267" s="304">
        <v>0.39</v>
      </c>
      <c r="AM267" s="304">
        <v>0.39</v>
      </c>
      <c r="AN267" s="304">
        <v>0.39</v>
      </c>
      <c r="AO267" s="255"/>
      <c r="AP267" s="254">
        <f t="shared" si="135"/>
        <v>0</v>
      </c>
      <c r="AQ267" s="255"/>
      <c r="AR267" s="254">
        <f t="shared" si="136"/>
        <v>0</v>
      </c>
      <c r="AS267" s="255"/>
      <c r="AT267" s="254">
        <f t="shared" si="137"/>
        <v>0</v>
      </c>
      <c r="AU267" s="255">
        <v>288</v>
      </c>
      <c r="AV267" s="257">
        <f t="shared" si="138"/>
        <v>112.32000000000001</v>
      </c>
      <c r="AW267" s="381"/>
      <c r="AX267" s="257">
        <f t="shared" si="139"/>
        <v>0</v>
      </c>
      <c r="AY267" s="388">
        <v>864</v>
      </c>
      <c r="AZ267" s="257">
        <f t="shared" si="140"/>
        <v>336.96000000000004</v>
      </c>
      <c r="BA267" s="270">
        <v>288</v>
      </c>
      <c r="BB267" s="257">
        <f t="shared" si="141"/>
        <v>112.32000000000001</v>
      </c>
      <c r="BC267" s="255">
        <v>576</v>
      </c>
      <c r="BD267" s="257">
        <f t="shared" si="142"/>
        <v>224.64000000000001</v>
      </c>
      <c r="BE267" s="255"/>
      <c r="BF267" s="257">
        <f t="shared" si="143"/>
        <v>0</v>
      </c>
      <c r="BG267" s="255">
        <v>288</v>
      </c>
      <c r="BH267" s="257">
        <f t="shared" si="144"/>
        <v>112.32000000000001</v>
      </c>
      <c r="BI267" s="255">
        <v>864</v>
      </c>
      <c r="BJ267" s="257">
        <f t="shared" si="145"/>
        <v>336.96000000000004</v>
      </c>
      <c r="BK267" s="255">
        <v>1152</v>
      </c>
      <c r="BL267" s="257">
        <f t="shared" si="146"/>
        <v>449.28000000000003</v>
      </c>
      <c r="BM267" s="1" t="s">
        <v>798</v>
      </c>
      <c r="BN267" s="1" t="s">
        <v>799</v>
      </c>
      <c r="BO267" s="1" t="s">
        <v>408</v>
      </c>
      <c r="BP267" s="1" t="s">
        <v>800</v>
      </c>
    </row>
    <row r="268" spans="1:68" ht="15.75" customHeight="1">
      <c r="A268" s="250" t="s">
        <v>451</v>
      </c>
      <c r="B268" s="59" t="s">
        <v>785</v>
      </c>
      <c r="C268" s="354" t="s">
        <v>172</v>
      </c>
      <c r="D268" s="412"/>
      <c r="E268" s="415"/>
      <c r="F268" s="417"/>
      <c r="G268" s="317">
        <v>2023</v>
      </c>
      <c r="H268" s="345" t="s">
        <v>307</v>
      </c>
      <c r="I268" s="346" t="s">
        <v>220</v>
      </c>
      <c r="J268" s="347" t="s">
        <v>308</v>
      </c>
      <c r="K268" s="348" t="s">
        <v>308</v>
      </c>
      <c r="L268" s="345" t="s">
        <v>185</v>
      </c>
      <c r="M268" s="303" t="s">
        <v>775</v>
      </c>
      <c r="N268" s="303">
        <v>32.35</v>
      </c>
      <c r="O268" s="303">
        <v>33.85</v>
      </c>
      <c r="P268" s="303">
        <v>33.85</v>
      </c>
      <c r="Q268" s="303">
        <v>33.85</v>
      </c>
      <c r="R268" s="303">
        <v>33.85</v>
      </c>
      <c r="S268" s="303">
        <v>33.85</v>
      </c>
      <c r="T268" s="303">
        <v>33.85</v>
      </c>
      <c r="U268" s="303">
        <v>33.85</v>
      </c>
      <c r="V268" s="303">
        <v>33.85</v>
      </c>
      <c r="W268" s="303">
        <v>33.85</v>
      </c>
      <c r="X268" s="303">
        <v>33.85</v>
      </c>
      <c r="Y268" s="303">
        <v>33.85</v>
      </c>
      <c r="Z268" s="303">
        <v>33.85</v>
      </c>
      <c r="AA268" s="303">
        <v>33.85</v>
      </c>
      <c r="AB268" s="304">
        <v>0.39</v>
      </c>
      <c r="AC268" s="304">
        <v>0.39</v>
      </c>
      <c r="AD268" s="304">
        <v>0.39</v>
      </c>
      <c r="AE268" s="304">
        <v>0.39</v>
      </c>
      <c r="AF268" s="304">
        <v>0.39</v>
      </c>
      <c r="AG268" s="304">
        <v>0.39</v>
      </c>
      <c r="AH268" s="304">
        <v>0.39</v>
      </c>
      <c r="AI268" s="304">
        <v>0.39</v>
      </c>
      <c r="AJ268" s="304">
        <v>0.39</v>
      </c>
      <c r="AK268" s="304">
        <v>0.39</v>
      </c>
      <c r="AL268" s="304">
        <v>0.39</v>
      </c>
      <c r="AM268" s="304">
        <v>0.39</v>
      </c>
      <c r="AN268" s="304">
        <v>0.39</v>
      </c>
      <c r="AO268" s="255"/>
      <c r="AP268" s="254">
        <f t="shared" si="135"/>
        <v>0</v>
      </c>
      <c r="AQ268" s="255"/>
      <c r="AR268" s="254">
        <f t="shared" si="136"/>
        <v>0</v>
      </c>
      <c r="AS268" s="255"/>
      <c r="AT268" s="254">
        <f t="shared" si="137"/>
        <v>0</v>
      </c>
      <c r="AU268" s="255"/>
      <c r="AV268" s="257">
        <f t="shared" si="138"/>
        <v>0</v>
      </c>
      <c r="AW268" s="381"/>
      <c r="AX268" s="257">
        <f t="shared" si="139"/>
        <v>0</v>
      </c>
      <c r="AY268" s="388"/>
      <c r="AZ268" s="257">
        <f t="shared" si="140"/>
        <v>0</v>
      </c>
      <c r="BA268" s="270"/>
      <c r="BB268" s="257">
        <f t="shared" si="141"/>
        <v>0</v>
      </c>
      <c r="BC268" s="255"/>
      <c r="BD268" s="257">
        <f t="shared" si="142"/>
        <v>0</v>
      </c>
      <c r="BE268" s="255"/>
      <c r="BF268" s="257">
        <f t="shared" si="143"/>
        <v>0</v>
      </c>
      <c r="BG268" s="255"/>
      <c r="BH268" s="257">
        <f t="shared" si="144"/>
        <v>0</v>
      </c>
      <c r="BI268" s="255"/>
      <c r="BJ268" s="257">
        <f t="shared" si="145"/>
        <v>0</v>
      </c>
      <c r="BK268" s="255"/>
      <c r="BL268" s="257">
        <f t="shared" si="146"/>
        <v>0</v>
      </c>
      <c r="BM268" s="1" t="s">
        <v>801</v>
      </c>
      <c r="BN268" s="1" t="s">
        <v>802</v>
      </c>
      <c r="BO268" s="1" t="s">
        <v>409</v>
      </c>
      <c r="BP268" s="1" t="s">
        <v>803</v>
      </c>
    </row>
    <row r="269" spans="1:68" ht="15.75" customHeight="1">
      <c r="A269" s="250" t="s">
        <v>451</v>
      </c>
      <c r="B269" s="59" t="s">
        <v>405</v>
      </c>
      <c r="C269" s="354" t="s">
        <v>172</v>
      </c>
      <c r="D269" s="412"/>
      <c r="E269" s="415"/>
      <c r="F269" s="417"/>
      <c r="G269" s="317">
        <v>2024</v>
      </c>
      <c r="H269" s="349" t="s">
        <v>410</v>
      </c>
      <c r="I269" s="346" t="s">
        <v>190</v>
      </c>
      <c r="J269" s="347" t="s">
        <v>308</v>
      </c>
      <c r="K269" s="348" t="s">
        <v>308</v>
      </c>
      <c r="L269" s="345" t="s">
        <v>185</v>
      </c>
      <c r="M269" s="303" t="s">
        <v>775</v>
      </c>
      <c r="N269" s="303">
        <v>48.99</v>
      </c>
      <c r="O269" s="303">
        <v>50.27</v>
      </c>
      <c r="P269" s="303">
        <v>50.27</v>
      </c>
      <c r="Q269" s="303">
        <v>50.27</v>
      </c>
      <c r="R269" s="303">
        <v>50.27</v>
      </c>
      <c r="S269" s="303">
        <v>50.27</v>
      </c>
      <c r="T269" s="303">
        <v>50.27</v>
      </c>
      <c r="U269" s="303">
        <v>50.27</v>
      </c>
      <c r="V269" s="303">
        <v>50.27</v>
      </c>
      <c r="W269" s="303">
        <v>50.27</v>
      </c>
      <c r="X269" s="303">
        <v>50.27</v>
      </c>
      <c r="Y269" s="303">
        <v>50.27</v>
      </c>
      <c r="Z269" s="303">
        <v>50.27</v>
      </c>
      <c r="AA269" s="303">
        <v>50.27</v>
      </c>
      <c r="AB269" s="362">
        <v>0.04</v>
      </c>
      <c r="AC269" s="362">
        <v>0.04</v>
      </c>
      <c r="AD269" s="362">
        <v>0.04</v>
      </c>
      <c r="AE269" s="362">
        <v>0.04</v>
      </c>
      <c r="AF269" s="362">
        <v>0.04</v>
      </c>
      <c r="AG269" s="362">
        <v>0.04</v>
      </c>
      <c r="AH269" s="362">
        <v>0.04</v>
      </c>
      <c r="AI269" s="362">
        <v>0.04</v>
      </c>
      <c r="AJ269" s="362">
        <v>0.04</v>
      </c>
      <c r="AK269" s="362">
        <v>0.04</v>
      </c>
      <c r="AL269" s="362">
        <v>0.04</v>
      </c>
      <c r="AM269" s="362">
        <v>0.04</v>
      </c>
      <c r="AN269" s="362">
        <v>0.04</v>
      </c>
      <c r="AO269" s="255">
        <v>3456</v>
      </c>
      <c r="AP269" s="254">
        <f t="shared" si="135"/>
        <v>138.24</v>
      </c>
      <c r="AQ269" s="255">
        <v>1152</v>
      </c>
      <c r="AR269" s="254">
        <f t="shared" si="136"/>
        <v>46.08</v>
      </c>
      <c r="AS269" s="255"/>
      <c r="AT269" s="254">
        <f t="shared" si="137"/>
        <v>0</v>
      </c>
      <c r="AU269" s="256">
        <v>1152</v>
      </c>
      <c r="AV269" s="257">
        <f t="shared" si="138"/>
        <v>46.08</v>
      </c>
      <c r="AW269" s="382"/>
      <c r="AX269" s="257">
        <f t="shared" si="139"/>
        <v>0</v>
      </c>
      <c r="AY269" s="268">
        <v>1152</v>
      </c>
      <c r="AZ269" s="257">
        <f t="shared" si="140"/>
        <v>46.08</v>
      </c>
      <c r="BA269" s="268">
        <v>1152</v>
      </c>
      <c r="BB269" s="257">
        <f t="shared" si="141"/>
        <v>46.08</v>
      </c>
      <c r="BC269" s="268"/>
      <c r="BD269" s="257">
        <f t="shared" si="142"/>
        <v>0</v>
      </c>
      <c r="BE269" s="268"/>
      <c r="BF269" s="257">
        <f t="shared" si="143"/>
        <v>0</v>
      </c>
      <c r="BG269" s="268"/>
      <c r="BH269" s="257">
        <f t="shared" si="144"/>
        <v>0</v>
      </c>
      <c r="BI269" s="268">
        <v>576</v>
      </c>
      <c r="BJ269" s="257">
        <f t="shared" si="145"/>
        <v>23.04</v>
      </c>
      <c r="BK269" s="268">
        <v>576</v>
      </c>
      <c r="BL269" s="257">
        <f t="shared" si="146"/>
        <v>23.04</v>
      </c>
      <c r="BM269" s="1" t="s">
        <v>804</v>
      </c>
      <c r="BN269" s="1" t="s">
        <v>805</v>
      </c>
      <c r="BO269" s="1" t="s">
        <v>406</v>
      </c>
      <c r="BP269" s="1" t="s">
        <v>806</v>
      </c>
    </row>
    <row r="270" spans="1:68" s="14" customFormat="1" ht="14.85" customHeight="1">
      <c r="A270" s="250" t="s">
        <v>451</v>
      </c>
      <c r="B270" s="59" t="s">
        <v>405</v>
      </c>
      <c r="C270" s="354" t="s">
        <v>172</v>
      </c>
      <c r="D270" s="412"/>
      <c r="E270" s="415"/>
      <c r="F270" s="417"/>
      <c r="G270" s="317">
        <v>2024</v>
      </c>
      <c r="H270" s="349" t="s">
        <v>410</v>
      </c>
      <c r="I270" s="346" t="s">
        <v>190</v>
      </c>
      <c r="J270" s="347" t="s">
        <v>308</v>
      </c>
      <c r="K270" s="348" t="s">
        <v>308</v>
      </c>
      <c r="L270" s="345" t="s">
        <v>185</v>
      </c>
      <c r="M270" s="303" t="s">
        <v>779</v>
      </c>
      <c r="N270" s="303">
        <v>48.99</v>
      </c>
      <c r="O270" s="303">
        <v>49.03</v>
      </c>
      <c r="P270" s="303">
        <v>49.03</v>
      </c>
      <c r="Q270" s="303">
        <v>49.03</v>
      </c>
      <c r="R270" s="303">
        <v>49.03</v>
      </c>
      <c r="S270" s="303">
        <v>49.03</v>
      </c>
      <c r="T270" s="303">
        <v>49.03</v>
      </c>
      <c r="U270" s="303">
        <v>49.03</v>
      </c>
      <c r="V270" s="303">
        <v>49.03</v>
      </c>
      <c r="W270" s="303">
        <v>49.03</v>
      </c>
      <c r="X270" s="303">
        <v>49.03</v>
      </c>
      <c r="Y270" s="303">
        <v>49.03</v>
      </c>
      <c r="Z270" s="303">
        <v>49.03</v>
      </c>
      <c r="AA270" s="303">
        <v>49.03</v>
      </c>
      <c r="AB270" s="362">
        <v>0.04</v>
      </c>
      <c r="AC270" s="362">
        <v>0.04</v>
      </c>
      <c r="AD270" s="362">
        <v>0.04</v>
      </c>
      <c r="AE270" s="362">
        <v>0.04</v>
      </c>
      <c r="AF270" s="362">
        <v>0.04</v>
      </c>
      <c r="AG270" s="362">
        <v>0.04</v>
      </c>
      <c r="AH270" s="362">
        <v>0.04</v>
      </c>
      <c r="AI270" s="362">
        <v>0.04</v>
      </c>
      <c r="AJ270" s="362">
        <v>0.04</v>
      </c>
      <c r="AK270" s="362">
        <v>0.04</v>
      </c>
      <c r="AL270" s="362">
        <v>0.04</v>
      </c>
      <c r="AM270" s="362">
        <v>0.04</v>
      </c>
      <c r="AN270" s="362">
        <v>0.04</v>
      </c>
      <c r="AO270" s="255">
        <v>192</v>
      </c>
      <c r="AP270" s="254">
        <f t="shared" si="135"/>
        <v>7.68</v>
      </c>
      <c r="AQ270" s="255"/>
      <c r="AR270" s="254">
        <f t="shared" si="136"/>
        <v>0</v>
      </c>
      <c r="AS270" s="255">
        <v>576</v>
      </c>
      <c r="AT270" s="254">
        <f t="shared" si="137"/>
        <v>23.04</v>
      </c>
      <c r="AU270" s="255"/>
      <c r="AV270" s="257">
        <f t="shared" si="138"/>
        <v>0</v>
      </c>
      <c r="AW270" s="381"/>
      <c r="AX270" s="257">
        <f t="shared" si="139"/>
        <v>0</v>
      </c>
      <c r="AY270" s="388"/>
      <c r="AZ270" s="257">
        <f t="shared" si="140"/>
        <v>0</v>
      </c>
      <c r="BA270" s="270">
        <v>192</v>
      </c>
      <c r="BB270" s="257">
        <f t="shared" si="141"/>
        <v>7.68</v>
      </c>
      <c r="BC270" s="255"/>
      <c r="BD270" s="257">
        <f t="shared" si="142"/>
        <v>0</v>
      </c>
      <c r="BE270" s="255"/>
      <c r="BF270" s="257">
        <f t="shared" si="143"/>
        <v>0</v>
      </c>
      <c r="BG270" s="255"/>
      <c r="BH270" s="257">
        <f t="shared" si="144"/>
        <v>0</v>
      </c>
      <c r="BI270" s="255"/>
      <c r="BJ270" s="257">
        <f t="shared" si="145"/>
        <v>0</v>
      </c>
      <c r="BK270" s="255">
        <v>384</v>
      </c>
      <c r="BL270" s="257">
        <f t="shared" si="146"/>
        <v>15.36</v>
      </c>
      <c r="BM270" s="1" t="s">
        <v>804</v>
      </c>
      <c r="BN270" s="1" t="s">
        <v>805</v>
      </c>
      <c r="BO270" s="1" t="s">
        <v>408</v>
      </c>
      <c r="BP270" s="1" t="s">
        <v>807</v>
      </c>
    </row>
    <row r="271" spans="1:68" s="14" customFormat="1" ht="15.75" customHeight="1">
      <c r="A271" s="250" t="s">
        <v>451</v>
      </c>
      <c r="B271" s="59" t="s">
        <v>405</v>
      </c>
      <c r="C271" s="354" t="s">
        <v>172</v>
      </c>
      <c r="D271" s="412"/>
      <c r="E271" s="415"/>
      <c r="F271" s="417"/>
      <c r="G271" s="317">
        <v>2024</v>
      </c>
      <c r="H271" s="349" t="s">
        <v>410</v>
      </c>
      <c r="I271" s="346" t="s">
        <v>190</v>
      </c>
      <c r="J271" s="347" t="s">
        <v>308</v>
      </c>
      <c r="K271" s="348" t="s">
        <v>308</v>
      </c>
      <c r="L271" s="345" t="s">
        <v>185</v>
      </c>
      <c r="M271" s="303" t="s">
        <v>775</v>
      </c>
      <c r="N271" s="303">
        <v>48.99</v>
      </c>
      <c r="O271" s="303">
        <v>50.27</v>
      </c>
      <c r="P271" s="303">
        <v>50.27</v>
      </c>
      <c r="Q271" s="303">
        <v>50.27</v>
      </c>
      <c r="R271" s="303">
        <v>50.27</v>
      </c>
      <c r="S271" s="303">
        <v>50.27</v>
      </c>
      <c r="T271" s="303">
        <v>50.27</v>
      </c>
      <c r="U271" s="303">
        <v>50.27</v>
      </c>
      <c r="V271" s="303">
        <v>50.27</v>
      </c>
      <c r="W271" s="303">
        <v>50.27</v>
      </c>
      <c r="X271" s="303">
        <v>50.27</v>
      </c>
      <c r="Y271" s="303">
        <v>50.27</v>
      </c>
      <c r="Z271" s="303">
        <v>50.27</v>
      </c>
      <c r="AA271" s="303">
        <v>50.27</v>
      </c>
      <c r="AB271" s="362">
        <v>0.04</v>
      </c>
      <c r="AC271" s="362">
        <v>0.04</v>
      </c>
      <c r="AD271" s="362">
        <v>0.04</v>
      </c>
      <c r="AE271" s="362">
        <v>0.04</v>
      </c>
      <c r="AF271" s="362">
        <v>0.04</v>
      </c>
      <c r="AG271" s="362">
        <v>0.04</v>
      </c>
      <c r="AH271" s="362">
        <v>0.04</v>
      </c>
      <c r="AI271" s="362">
        <v>0.04</v>
      </c>
      <c r="AJ271" s="362">
        <v>0.04</v>
      </c>
      <c r="AK271" s="362">
        <v>0.04</v>
      </c>
      <c r="AL271" s="362">
        <v>0.04</v>
      </c>
      <c r="AM271" s="362">
        <v>0.04</v>
      </c>
      <c r="AN271" s="362">
        <v>0.04</v>
      </c>
      <c r="AO271" s="255"/>
      <c r="AP271" s="254">
        <f t="shared" si="135"/>
        <v>0</v>
      </c>
      <c r="AQ271" s="255"/>
      <c r="AR271" s="254">
        <f t="shared" si="136"/>
        <v>0</v>
      </c>
      <c r="AS271" s="255"/>
      <c r="AT271" s="254">
        <f t="shared" si="137"/>
        <v>0</v>
      </c>
      <c r="AU271" s="256"/>
      <c r="AV271" s="257">
        <f t="shared" si="138"/>
        <v>0</v>
      </c>
      <c r="AW271" s="382"/>
      <c r="AX271" s="257">
        <f t="shared" si="139"/>
        <v>0</v>
      </c>
      <c r="AY271" s="268"/>
      <c r="AZ271" s="257">
        <f t="shared" si="140"/>
        <v>0</v>
      </c>
      <c r="BA271" s="268"/>
      <c r="BB271" s="257">
        <f t="shared" si="141"/>
        <v>0</v>
      </c>
      <c r="BC271" s="268"/>
      <c r="BD271" s="257">
        <f t="shared" si="142"/>
        <v>0</v>
      </c>
      <c r="BE271" s="268"/>
      <c r="BF271" s="257">
        <f t="shared" si="143"/>
        <v>0</v>
      </c>
      <c r="BG271" s="268"/>
      <c r="BH271" s="257">
        <f t="shared" si="144"/>
        <v>0</v>
      </c>
      <c r="BI271" s="268"/>
      <c r="BJ271" s="257">
        <f t="shared" si="145"/>
        <v>0</v>
      </c>
      <c r="BK271" s="268"/>
      <c r="BL271" s="257">
        <f t="shared" si="146"/>
        <v>0</v>
      </c>
      <c r="BM271" s="1" t="s">
        <v>804</v>
      </c>
      <c r="BN271" s="1" t="s">
        <v>805</v>
      </c>
      <c r="BO271" s="1" t="s">
        <v>409</v>
      </c>
      <c r="BP271" s="1" t="s">
        <v>807</v>
      </c>
    </row>
    <row r="272" spans="1:68" s="14" customFormat="1" ht="15.75" customHeight="1">
      <c r="A272" s="250" t="s">
        <v>451</v>
      </c>
      <c r="B272" s="59" t="s">
        <v>405</v>
      </c>
      <c r="C272" s="354" t="s">
        <v>172</v>
      </c>
      <c r="D272" s="412"/>
      <c r="E272" s="415"/>
      <c r="F272" s="417"/>
      <c r="G272" s="317">
        <v>2024</v>
      </c>
      <c r="H272" s="349" t="s">
        <v>410</v>
      </c>
      <c r="I272" s="346" t="s">
        <v>190</v>
      </c>
      <c r="J272" s="347" t="s">
        <v>308</v>
      </c>
      <c r="K272" s="348" t="s">
        <v>308</v>
      </c>
      <c r="L272" s="345" t="s">
        <v>185</v>
      </c>
      <c r="M272" s="303" t="s">
        <v>775</v>
      </c>
      <c r="N272" s="303">
        <v>48.99</v>
      </c>
      <c r="O272" s="303">
        <v>50.27</v>
      </c>
      <c r="P272" s="303">
        <v>50.27</v>
      </c>
      <c r="Q272" s="303">
        <v>50.27</v>
      </c>
      <c r="R272" s="303">
        <v>50.27</v>
      </c>
      <c r="S272" s="303">
        <v>50.27</v>
      </c>
      <c r="T272" s="303">
        <v>50.27</v>
      </c>
      <c r="U272" s="303">
        <v>50.27</v>
      </c>
      <c r="V272" s="303">
        <v>50.27</v>
      </c>
      <c r="W272" s="303">
        <v>50.27</v>
      </c>
      <c r="X272" s="303">
        <v>50.27</v>
      </c>
      <c r="Y272" s="303">
        <v>50.27</v>
      </c>
      <c r="Z272" s="303">
        <v>50.27</v>
      </c>
      <c r="AA272" s="303">
        <v>50.27</v>
      </c>
      <c r="AB272" s="362">
        <v>0.04</v>
      </c>
      <c r="AC272" s="362">
        <v>0.04</v>
      </c>
      <c r="AD272" s="362">
        <v>0.04</v>
      </c>
      <c r="AE272" s="362">
        <v>0.04</v>
      </c>
      <c r="AF272" s="362">
        <v>0.04</v>
      </c>
      <c r="AG272" s="362">
        <v>0.04</v>
      </c>
      <c r="AH272" s="362">
        <v>0.04</v>
      </c>
      <c r="AI272" s="362">
        <v>0.04</v>
      </c>
      <c r="AJ272" s="362">
        <v>0.04</v>
      </c>
      <c r="AK272" s="362">
        <v>0.04</v>
      </c>
      <c r="AL272" s="362">
        <v>0.04</v>
      </c>
      <c r="AM272" s="362">
        <v>0.04</v>
      </c>
      <c r="AN272" s="362">
        <v>0.04</v>
      </c>
      <c r="AO272" s="255"/>
      <c r="AP272" s="254">
        <f t="shared" si="135"/>
        <v>0</v>
      </c>
      <c r="AQ272" s="255">
        <v>576</v>
      </c>
      <c r="AR272" s="254">
        <f t="shared" si="136"/>
        <v>23.04</v>
      </c>
      <c r="AS272" s="255"/>
      <c r="AT272" s="254">
        <f t="shared" si="137"/>
        <v>0</v>
      </c>
      <c r="AU272" s="256"/>
      <c r="AV272" s="257">
        <f t="shared" si="138"/>
        <v>0</v>
      </c>
      <c r="AW272" s="382"/>
      <c r="AX272" s="257">
        <f t="shared" si="139"/>
        <v>0</v>
      </c>
      <c r="AY272" s="268">
        <v>1152</v>
      </c>
      <c r="AZ272" s="257">
        <f t="shared" si="140"/>
        <v>46.08</v>
      </c>
      <c r="BA272" s="268"/>
      <c r="BB272" s="257">
        <f t="shared" si="141"/>
        <v>0</v>
      </c>
      <c r="BC272" s="268"/>
      <c r="BD272" s="257">
        <f t="shared" si="142"/>
        <v>0</v>
      </c>
      <c r="BE272" s="268"/>
      <c r="BF272" s="257">
        <f t="shared" si="143"/>
        <v>0</v>
      </c>
      <c r="BG272" s="268"/>
      <c r="BH272" s="257">
        <f t="shared" si="144"/>
        <v>0</v>
      </c>
      <c r="BI272" s="268"/>
      <c r="BJ272" s="257">
        <f t="shared" si="145"/>
        <v>0</v>
      </c>
      <c r="BK272" s="268"/>
      <c r="BL272" s="257">
        <f t="shared" si="146"/>
        <v>0</v>
      </c>
      <c r="BM272" s="1" t="s">
        <v>804</v>
      </c>
      <c r="BN272" s="1" t="s">
        <v>808</v>
      </c>
      <c r="BO272" s="1" t="s">
        <v>406</v>
      </c>
      <c r="BP272" s="1" t="s">
        <v>809</v>
      </c>
    </row>
    <row r="273" spans="1:68" s="14" customFormat="1" ht="15.75" customHeight="1">
      <c r="A273" s="250" t="s">
        <v>451</v>
      </c>
      <c r="B273" s="59" t="s">
        <v>405</v>
      </c>
      <c r="C273" s="354" t="s">
        <v>172</v>
      </c>
      <c r="D273" s="412"/>
      <c r="E273" s="415"/>
      <c r="F273" s="417"/>
      <c r="G273" s="317">
        <v>2024</v>
      </c>
      <c r="H273" s="349" t="s">
        <v>410</v>
      </c>
      <c r="I273" s="346" t="s">
        <v>190</v>
      </c>
      <c r="J273" s="347" t="s">
        <v>308</v>
      </c>
      <c r="K273" s="348" t="s">
        <v>308</v>
      </c>
      <c r="L273" s="345" t="s">
        <v>185</v>
      </c>
      <c r="M273" s="303" t="s">
        <v>779</v>
      </c>
      <c r="N273" s="303">
        <v>48.99</v>
      </c>
      <c r="O273" s="303">
        <v>49.03</v>
      </c>
      <c r="P273" s="303">
        <v>49.03</v>
      </c>
      <c r="Q273" s="303">
        <v>49.03</v>
      </c>
      <c r="R273" s="303">
        <v>49.03</v>
      </c>
      <c r="S273" s="303">
        <v>49.03</v>
      </c>
      <c r="T273" s="303">
        <v>49.03</v>
      </c>
      <c r="U273" s="303">
        <v>49.03</v>
      </c>
      <c r="V273" s="303">
        <v>49.03</v>
      </c>
      <c r="W273" s="303">
        <v>49.03</v>
      </c>
      <c r="X273" s="303">
        <v>49.03</v>
      </c>
      <c r="Y273" s="303">
        <v>49.03</v>
      </c>
      <c r="Z273" s="303">
        <v>49.03</v>
      </c>
      <c r="AA273" s="303">
        <v>49.03</v>
      </c>
      <c r="AB273" s="362">
        <v>0.04</v>
      </c>
      <c r="AC273" s="362">
        <v>0.04</v>
      </c>
      <c r="AD273" s="362">
        <v>0.04</v>
      </c>
      <c r="AE273" s="362">
        <v>0.04</v>
      </c>
      <c r="AF273" s="362">
        <v>0.04</v>
      </c>
      <c r="AG273" s="362">
        <v>0.04</v>
      </c>
      <c r="AH273" s="362">
        <v>0.04</v>
      </c>
      <c r="AI273" s="362">
        <v>0.04</v>
      </c>
      <c r="AJ273" s="362">
        <v>0.04</v>
      </c>
      <c r="AK273" s="362">
        <v>0.04</v>
      </c>
      <c r="AL273" s="362">
        <v>0.04</v>
      </c>
      <c r="AM273" s="362">
        <v>0.04</v>
      </c>
      <c r="AN273" s="362">
        <v>0.04</v>
      </c>
      <c r="AO273" s="255">
        <v>576</v>
      </c>
      <c r="AP273" s="254">
        <f t="shared" si="135"/>
        <v>23.04</v>
      </c>
      <c r="AQ273" s="255">
        <v>192</v>
      </c>
      <c r="AR273" s="254">
        <f t="shared" si="136"/>
        <v>7.68</v>
      </c>
      <c r="AS273" s="255"/>
      <c r="AT273" s="254">
        <f t="shared" si="137"/>
        <v>0</v>
      </c>
      <c r="AU273" s="256"/>
      <c r="AV273" s="257">
        <f t="shared" si="138"/>
        <v>0</v>
      </c>
      <c r="AW273" s="382">
        <v>192</v>
      </c>
      <c r="AX273" s="257">
        <f t="shared" si="139"/>
        <v>7.68</v>
      </c>
      <c r="AY273" s="268">
        <v>384</v>
      </c>
      <c r="AZ273" s="257">
        <f t="shared" si="140"/>
        <v>15.36</v>
      </c>
      <c r="BA273" s="268">
        <v>384</v>
      </c>
      <c r="BB273" s="257">
        <f t="shared" si="141"/>
        <v>15.36</v>
      </c>
      <c r="BC273" s="268">
        <v>192</v>
      </c>
      <c r="BD273" s="257">
        <f t="shared" si="142"/>
        <v>7.68</v>
      </c>
      <c r="BE273" s="268"/>
      <c r="BF273" s="257">
        <f t="shared" si="143"/>
        <v>0</v>
      </c>
      <c r="BG273" s="268"/>
      <c r="BH273" s="257">
        <f t="shared" si="144"/>
        <v>0</v>
      </c>
      <c r="BI273" s="268"/>
      <c r="BJ273" s="257">
        <f t="shared" si="145"/>
        <v>0</v>
      </c>
      <c r="BK273" s="268"/>
      <c r="BL273" s="257">
        <f t="shared" si="146"/>
        <v>0</v>
      </c>
      <c r="BM273" s="1" t="s">
        <v>804</v>
      </c>
      <c r="BN273" s="1" t="s">
        <v>808</v>
      </c>
      <c r="BO273" s="1" t="s">
        <v>408</v>
      </c>
      <c r="BP273" s="1" t="s">
        <v>810</v>
      </c>
    </row>
    <row r="274" spans="1:68" ht="15" customHeight="1">
      <c r="A274" s="250" t="s">
        <v>451</v>
      </c>
      <c r="B274" s="59" t="s">
        <v>405</v>
      </c>
      <c r="C274" s="354" t="s">
        <v>172</v>
      </c>
      <c r="D274" s="412"/>
      <c r="E274" s="415"/>
      <c r="F274" s="417"/>
      <c r="G274" s="317">
        <v>2024</v>
      </c>
      <c r="H274" s="349" t="s">
        <v>410</v>
      </c>
      <c r="I274" s="346" t="s">
        <v>190</v>
      </c>
      <c r="J274" s="347" t="s">
        <v>308</v>
      </c>
      <c r="K274" s="348" t="s">
        <v>308</v>
      </c>
      <c r="L274" s="345" t="s">
        <v>185</v>
      </c>
      <c r="M274" s="303" t="s">
        <v>775</v>
      </c>
      <c r="N274" s="303">
        <v>48.99</v>
      </c>
      <c r="O274" s="303">
        <v>50.27</v>
      </c>
      <c r="P274" s="303">
        <v>50.27</v>
      </c>
      <c r="Q274" s="303">
        <v>50.27</v>
      </c>
      <c r="R274" s="303">
        <v>50.27</v>
      </c>
      <c r="S274" s="303">
        <v>50.27</v>
      </c>
      <c r="T274" s="303">
        <v>50.27</v>
      </c>
      <c r="U274" s="303">
        <v>50.27</v>
      </c>
      <c r="V274" s="303">
        <v>50.27</v>
      </c>
      <c r="W274" s="303">
        <v>50.27</v>
      </c>
      <c r="X274" s="303">
        <v>50.27</v>
      </c>
      <c r="Y274" s="303">
        <v>50.27</v>
      </c>
      <c r="Z274" s="303">
        <v>50.27</v>
      </c>
      <c r="AA274" s="303">
        <v>50.27</v>
      </c>
      <c r="AB274" s="362">
        <v>0.04</v>
      </c>
      <c r="AC274" s="362">
        <v>0.04</v>
      </c>
      <c r="AD274" s="362">
        <v>0.04</v>
      </c>
      <c r="AE274" s="362">
        <v>0.04</v>
      </c>
      <c r="AF274" s="362">
        <v>0.04</v>
      </c>
      <c r="AG274" s="362">
        <v>0.04</v>
      </c>
      <c r="AH274" s="362">
        <v>0.04</v>
      </c>
      <c r="AI274" s="362">
        <v>0.04</v>
      </c>
      <c r="AJ274" s="362">
        <v>0.04</v>
      </c>
      <c r="AK274" s="362">
        <v>0.04</v>
      </c>
      <c r="AL274" s="362">
        <v>0.04</v>
      </c>
      <c r="AM274" s="362">
        <v>0.04</v>
      </c>
      <c r="AN274" s="362">
        <v>0.04</v>
      </c>
      <c r="AO274" s="255"/>
      <c r="AP274" s="254">
        <f t="shared" si="135"/>
        <v>0</v>
      </c>
      <c r="AQ274" s="255"/>
      <c r="AR274" s="254">
        <f t="shared" si="136"/>
        <v>0</v>
      </c>
      <c r="AS274" s="255"/>
      <c r="AT274" s="254">
        <f t="shared" si="137"/>
        <v>0</v>
      </c>
      <c r="AU274" s="256"/>
      <c r="AV274" s="257">
        <f t="shared" si="138"/>
        <v>0</v>
      </c>
      <c r="AW274" s="382"/>
      <c r="AX274" s="257">
        <f t="shared" si="139"/>
        <v>0</v>
      </c>
      <c r="AY274" s="268"/>
      <c r="AZ274" s="257">
        <f t="shared" si="140"/>
        <v>0</v>
      </c>
      <c r="BA274" s="268"/>
      <c r="BB274" s="257">
        <f t="shared" si="141"/>
        <v>0</v>
      </c>
      <c r="BC274" s="268"/>
      <c r="BD274" s="257">
        <f t="shared" si="142"/>
        <v>0</v>
      </c>
      <c r="BE274" s="268"/>
      <c r="BF274" s="257">
        <f t="shared" si="143"/>
        <v>0</v>
      </c>
      <c r="BG274" s="268"/>
      <c r="BH274" s="257">
        <f t="shared" si="144"/>
        <v>0</v>
      </c>
      <c r="BI274" s="268"/>
      <c r="BJ274" s="257">
        <f t="shared" si="145"/>
        <v>0</v>
      </c>
      <c r="BK274" s="268"/>
      <c r="BL274" s="257">
        <f t="shared" si="146"/>
        <v>0</v>
      </c>
      <c r="BM274" s="1" t="s">
        <v>804</v>
      </c>
      <c r="BN274" s="1" t="s">
        <v>808</v>
      </c>
      <c r="BO274" s="1" t="s">
        <v>409</v>
      </c>
      <c r="BP274" s="1" t="s">
        <v>810</v>
      </c>
    </row>
    <row r="275" spans="1:68" ht="15.75" customHeight="1" thickBot="1">
      <c r="A275" s="250"/>
      <c r="C275" s="354"/>
      <c r="D275" s="413"/>
      <c r="E275" s="416"/>
      <c r="F275" s="417"/>
      <c r="G275" s="321"/>
      <c r="H275" s="321"/>
      <c r="I275" s="321"/>
      <c r="J275" s="322"/>
      <c r="K275" s="321"/>
      <c r="L275" s="321"/>
      <c r="M275" s="303"/>
      <c r="N275" s="303"/>
      <c r="O275" s="303"/>
      <c r="P275" s="303"/>
      <c r="Q275" s="303"/>
      <c r="R275" s="303"/>
      <c r="S275" s="303"/>
      <c r="T275" s="303"/>
      <c r="U275" s="303"/>
      <c r="V275" s="303"/>
      <c r="W275" s="303"/>
      <c r="X275" s="303"/>
      <c r="Y275" s="303"/>
      <c r="Z275" s="303"/>
      <c r="AA275" s="303"/>
      <c r="AB275" s="303"/>
      <c r="AC275" s="304"/>
      <c r="AD275" s="304"/>
      <c r="AE275" s="304"/>
      <c r="AF275" s="59"/>
      <c r="AG275" s="59"/>
      <c r="AH275" s="59"/>
      <c r="AI275" s="59"/>
      <c r="AJ275" s="59"/>
      <c r="AK275" s="59"/>
      <c r="AL275" s="59"/>
      <c r="AM275" s="59"/>
      <c r="AN275" s="59"/>
      <c r="AO275" s="255"/>
      <c r="AP275" s="254">
        <f t="shared" si="135"/>
        <v>0</v>
      </c>
      <c r="AQ275" s="255"/>
      <c r="AR275" s="254">
        <f t="shared" si="136"/>
        <v>0</v>
      </c>
      <c r="AS275" s="255"/>
      <c r="AT275" s="254">
        <f t="shared" si="137"/>
        <v>0</v>
      </c>
      <c r="AU275" s="256"/>
      <c r="AV275" s="257">
        <f t="shared" si="138"/>
        <v>0</v>
      </c>
      <c r="AW275" s="382"/>
      <c r="AX275" s="257">
        <f t="shared" si="139"/>
        <v>0</v>
      </c>
      <c r="AY275" s="268"/>
      <c r="AZ275" s="257">
        <f t="shared" si="140"/>
        <v>0</v>
      </c>
      <c r="BA275" s="59"/>
      <c r="BB275" s="257">
        <f t="shared" si="141"/>
        <v>0</v>
      </c>
      <c r="BC275" s="268"/>
      <c r="BD275" s="257">
        <f t="shared" si="142"/>
        <v>0</v>
      </c>
      <c r="BE275" s="268"/>
      <c r="BF275" s="257">
        <f t="shared" si="143"/>
        <v>0</v>
      </c>
      <c r="BG275" s="59"/>
      <c r="BH275" s="257">
        <f t="shared" si="144"/>
        <v>0</v>
      </c>
      <c r="BI275" s="268"/>
      <c r="BJ275" s="257">
        <f t="shared" si="145"/>
        <v>0</v>
      </c>
      <c r="BK275" s="268"/>
      <c r="BL275" s="257">
        <f t="shared" si="146"/>
        <v>0</v>
      </c>
    </row>
    <row r="276" spans="1:68" ht="15" customHeight="1">
      <c r="A276" s="250" t="s">
        <v>451</v>
      </c>
      <c r="B276" s="59" t="s">
        <v>221</v>
      </c>
      <c r="C276" s="354" t="s">
        <v>172</v>
      </c>
      <c r="D276" s="418" t="s">
        <v>411</v>
      </c>
      <c r="E276" s="281" t="s">
        <v>332</v>
      </c>
      <c r="F276" s="421" t="s">
        <v>412</v>
      </c>
      <c r="G276" s="317" t="s">
        <v>223</v>
      </c>
      <c r="H276" s="323" t="s">
        <v>413</v>
      </c>
      <c r="I276" s="324" t="s">
        <v>183</v>
      </c>
      <c r="J276" s="325" t="s">
        <v>225</v>
      </c>
      <c r="K276" s="323" t="s">
        <v>227</v>
      </c>
      <c r="L276" s="326" t="s">
        <v>177</v>
      </c>
      <c r="M276" s="303" t="s">
        <v>474</v>
      </c>
      <c r="N276" s="303">
        <v>10.9</v>
      </c>
      <c r="O276" s="303">
        <v>10</v>
      </c>
      <c r="P276" s="303">
        <v>10</v>
      </c>
      <c r="Q276" s="303">
        <v>10</v>
      </c>
      <c r="R276" s="303">
        <v>10</v>
      </c>
      <c r="S276" s="303">
        <v>10</v>
      </c>
      <c r="T276" s="303">
        <v>10</v>
      </c>
      <c r="U276" s="303">
        <v>10</v>
      </c>
      <c r="V276" s="303">
        <v>10</v>
      </c>
      <c r="W276" s="303">
        <v>10</v>
      </c>
      <c r="X276" s="303">
        <v>10</v>
      </c>
      <c r="Y276" s="303">
        <v>10</v>
      </c>
      <c r="Z276" s="303">
        <v>10</v>
      </c>
      <c r="AA276" s="303">
        <v>10</v>
      </c>
      <c r="AB276" s="304">
        <v>0</v>
      </c>
      <c r="AC276" s="304">
        <v>0</v>
      </c>
      <c r="AD276" s="304">
        <v>0</v>
      </c>
      <c r="AE276" s="304">
        <v>0</v>
      </c>
      <c r="AF276" s="304">
        <v>0</v>
      </c>
      <c r="AG276" s="304">
        <v>0</v>
      </c>
      <c r="AH276" s="304">
        <v>0</v>
      </c>
      <c r="AI276" s="304">
        <v>0</v>
      </c>
      <c r="AJ276" s="304">
        <v>0</v>
      </c>
      <c r="AK276" s="304">
        <v>0</v>
      </c>
      <c r="AL276" s="304">
        <v>0</v>
      </c>
      <c r="AM276" s="304">
        <v>0</v>
      </c>
      <c r="AN276" s="304">
        <v>0</v>
      </c>
      <c r="AO276" s="260">
        <v>1000</v>
      </c>
      <c r="AP276" s="254">
        <f t="shared" si="135"/>
        <v>0</v>
      </c>
      <c r="AQ276" s="260">
        <v>1512</v>
      </c>
      <c r="AR276" s="254">
        <f t="shared" si="136"/>
        <v>0</v>
      </c>
      <c r="AS276" s="260">
        <v>80</v>
      </c>
      <c r="AT276" s="254">
        <f t="shared" si="137"/>
        <v>0</v>
      </c>
      <c r="AU276" s="260">
        <v>80</v>
      </c>
      <c r="AV276" s="257">
        <f t="shared" si="138"/>
        <v>0</v>
      </c>
      <c r="AW276" s="383">
        <v>40</v>
      </c>
      <c r="AX276" s="257">
        <f t="shared" si="139"/>
        <v>0</v>
      </c>
      <c r="AY276" s="389"/>
      <c r="AZ276" s="257">
        <f t="shared" si="140"/>
        <v>0</v>
      </c>
      <c r="BA276" s="261"/>
      <c r="BB276" s="257">
        <f t="shared" si="141"/>
        <v>0</v>
      </c>
      <c r="BC276" s="271"/>
      <c r="BD276" s="257">
        <f t="shared" si="142"/>
        <v>0</v>
      </c>
      <c r="BE276" s="274"/>
      <c r="BF276" s="257">
        <f t="shared" si="143"/>
        <v>0</v>
      </c>
      <c r="BG276" s="260"/>
      <c r="BH276" s="257">
        <f t="shared" si="144"/>
        <v>0</v>
      </c>
      <c r="BI276" s="260"/>
      <c r="BJ276" s="257">
        <f t="shared" si="145"/>
        <v>0</v>
      </c>
      <c r="BK276" s="260"/>
      <c r="BL276" s="257">
        <f t="shared" si="146"/>
        <v>0</v>
      </c>
      <c r="BM276" s="1" t="s">
        <v>811</v>
      </c>
      <c r="BO276" s="1" t="s">
        <v>457</v>
      </c>
      <c r="BP276" s="1" t="s">
        <v>812</v>
      </c>
    </row>
    <row r="277" spans="1:68" ht="15.6">
      <c r="A277" s="250" t="s">
        <v>451</v>
      </c>
      <c r="B277" s="59" t="s">
        <v>221</v>
      </c>
      <c r="C277" s="354" t="s">
        <v>172</v>
      </c>
      <c r="D277" s="419"/>
      <c r="E277" s="281" t="s">
        <v>332</v>
      </c>
      <c r="F277" s="422"/>
      <c r="G277" s="317" t="s">
        <v>223</v>
      </c>
      <c r="H277" s="323" t="s">
        <v>413</v>
      </c>
      <c r="I277" s="327" t="s">
        <v>190</v>
      </c>
      <c r="J277" s="325" t="s">
        <v>225</v>
      </c>
      <c r="K277" s="323" t="s">
        <v>227</v>
      </c>
      <c r="L277" s="328" t="s">
        <v>177</v>
      </c>
      <c r="M277" s="303" t="s">
        <v>474</v>
      </c>
      <c r="N277" s="303">
        <v>3.3</v>
      </c>
      <c r="O277" s="303">
        <v>3.5</v>
      </c>
      <c r="P277" s="303">
        <v>3.5</v>
      </c>
      <c r="Q277" s="303">
        <v>3.5</v>
      </c>
      <c r="R277" s="303">
        <v>3.5</v>
      </c>
      <c r="S277" s="303">
        <v>3.5</v>
      </c>
      <c r="T277" s="303">
        <v>3.5</v>
      </c>
      <c r="U277" s="303">
        <v>3.5</v>
      </c>
      <c r="V277" s="303">
        <v>3.5</v>
      </c>
      <c r="W277" s="303">
        <v>3.5</v>
      </c>
      <c r="X277" s="303">
        <v>3.5</v>
      </c>
      <c r="Y277" s="303">
        <v>3.5</v>
      </c>
      <c r="Z277" s="303">
        <v>3.5</v>
      </c>
      <c r="AA277" s="303">
        <v>3.5</v>
      </c>
      <c r="AB277" s="304">
        <v>0.4</v>
      </c>
      <c r="AC277" s="304">
        <v>0.4</v>
      </c>
      <c r="AD277" s="304">
        <v>0.4</v>
      </c>
      <c r="AE277" s="304">
        <v>0.4</v>
      </c>
      <c r="AF277" s="304">
        <v>0.4</v>
      </c>
      <c r="AG277" s="304">
        <v>0.4</v>
      </c>
      <c r="AH277" s="304">
        <v>0.4</v>
      </c>
      <c r="AI277" s="304">
        <v>0.4</v>
      </c>
      <c r="AJ277" s="304">
        <v>0.4</v>
      </c>
      <c r="AK277" s="304">
        <v>0.4</v>
      </c>
      <c r="AL277" s="304">
        <v>0.4</v>
      </c>
      <c r="AM277" s="304">
        <v>0.4</v>
      </c>
      <c r="AN277" s="304">
        <v>0.4</v>
      </c>
      <c r="AO277" s="260">
        <v>680</v>
      </c>
      <c r="AP277" s="254">
        <f t="shared" si="135"/>
        <v>272</v>
      </c>
      <c r="AQ277" s="260">
        <v>40</v>
      </c>
      <c r="AR277" s="254">
        <f t="shared" si="136"/>
        <v>16</v>
      </c>
      <c r="AS277" s="260"/>
      <c r="AT277" s="254">
        <f t="shared" si="137"/>
        <v>0</v>
      </c>
      <c r="AU277" s="260">
        <v>280</v>
      </c>
      <c r="AV277" s="257">
        <f t="shared" si="138"/>
        <v>112</v>
      </c>
      <c r="AW277" s="383">
        <v>120</v>
      </c>
      <c r="AX277" s="257">
        <f t="shared" si="139"/>
        <v>48</v>
      </c>
      <c r="AY277" s="389"/>
      <c r="AZ277" s="257">
        <f t="shared" si="140"/>
        <v>0</v>
      </c>
      <c r="BA277" s="261"/>
      <c r="BB277" s="257">
        <f t="shared" si="141"/>
        <v>0</v>
      </c>
      <c r="BC277" s="271"/>
      <c r="BD277" s="257">
        <f t="shared" si="142"/>
        <v>0</v>
      </c>
      <c r="BE277" s="274"/>
      <c r="BF277" s="257">
        <f t="shared" si="143"/>
        <v>0</v>
      </c>
      <c r="BG277" s="260"/>
      <c r="BH277" s="257">
        <f t="shared" si="144"/>
        <v>0</v>
      </c>
      <c r="BI277" s="260">
        <v>40</v>
      </c>
      <c r="BJ277" s="257">
        <f t="shared" si="145"/>
        <v>16</v>
      </c>
      <c r="BK277" s="389">
        <v>40</v>
      </c>
      <c r="BL277" s="257">
        <f t="shared" si="146"/>
        <v>16</v>
      </c>
      <c r="BM277" s="1" t="s">
        <v>813</v>
      </c>
      <c r="BO277" s="1" t="s">
        <v>457</v>
      </c>
      <c r="BP277" s="1" t="s">
        <v>814</v>
      </c>
    </row>
    <row r="278" spans="1:68" ht="15.6">
      <c r="A278" s="250" t="s">
        <v>451</v>
      </c>
      <c r="B278" s="59" t="s">
        <v>221</v>
      </c>
      <c r="C278" s="354" t="s">
        <v>172</v>
      </c>
      <c r="D278" s="419"/>
      <c r="E278" s="281" t="s">
        <v>332</v>
      </c>
      <c r="F278" s="422"/>
      <c r="G278" s="351" t="s">
        <v>228</v>
      </c>
      <c r="H278" s="323" t="s">
        <v>414</v>
      </c>
      <c r="I278" s="324" t="s">
        <v>190</v>
      </c>
      <c r="J278" s="325" t="s">
        <v>230</v>
      </c>
      <c r="K278" s="329" t="s">
        <v>227</v>
      </c>
      <c r="L278" s="323" t="s">
        <v>185</v>
      </c>
      <c r="M278" s="303" t="s">
        <v>815</v>
      </c>
      <c r="N278" s="303">
        <v>3.5</v>
      </c>
      <c r="O278" s="303">
        <v>3.3</v>
      </c>
      <c r="P278" s="303">
        <v>3.5</v>
      </c>
      <c r="Q278" s="303">
        <v>3.5</v>
      </c>
      <c r="R278" s="303">
        <v>3.5</v>
      </c>
      <c r="S278" s="303">
        <v>3.5</v>
      </c>
      <c r="T278" s="303">
        <v>3.5</v>
      </c>
      <c r="U278" s="303">
        <v>3.5</v>
      </c>
      <c r="V278" s="303">
        <v>3.5</v>
      </c>
      <c r="W278" s="303">
        <v>3.5</v>
      </c>
      <c r="X278" s="303">
        <v>3.3</v>
      </c>
      <c r="Y278" s="303">
        <v>3.3</v>
      </c>
      <c r="Z278" s="303">
        <v>3.3</v>
      </c>
      <c r="AA278" s="303">
        <v>3.3</v>
      </c>
      <c r="AB278" s="304">
        <v>0.5</v>
      </c>
      <c r="AC278" s="304">
        <v>0.6</v>
      </c>
      <c r="AD278" s="304">
        <v>0.6</v>
      </c>
      <c r="AE278" s="304">
        <v>0.6</v>
      </c>
      <c r="AF278" s="304">
        <v>0.6</v>
      </c>
      <c r="AG278" s="304">
        <v>0.6</v>
      </c>
      <c r="AH278" s="304">
        <v>0.6</v>
      </c>
      <c r="AI278" s="304">
        <v>0.6</v>
      </c>
      <c r="AJ278" s="304">
        <v>0.6</v>
      </c>
      <c r="AK278" s="304">
        <v>0.5</v>
      </c>
      <c r="AL278" s="304">
        <v>0.5</v>
      </c>
      <c r="AM278" s="304">
        <v>0.5</v>
      </c>
      <c r="AN278" s="304">
        <v>0.5</v>
      </c>
      <c r="AO278" s="260">
        <v>1120</v>
      </c>
      <c r="AP278" s="254">
        <f t="shared" si="135"/>
        <v>672</v>
      </c>
      <c r="AQ278" s="260">
        <v>143</v>
      </c>
      <c r="AR278" s="254">
        <f t="shared" si="136"/>
        <v>85.8</v>
      </c>
      <c r="AS278" s="261">
        <v>40</v>
      </c>
      <c r="AT278" s="254">
        <f t="shared" si="137"/>
        <v>24</v>
      </c>
      <c r="AU278" s="261">
        <v>120</v>
      </c>
      <c r="AV278" s="257">
        <f t="shared" si="138"/>
        <v>72</v>
      </c>
      <c r="AW278" s="387">
        <v>240</v>
      </c>
      <c r="AX278" s="257">
        <f t="shared" si="139"/>
        <v>144</v>
      </c>
      <c r="AY278" s="389">
        <v>560</v>
      </c>
      <c r="AZ278" s="257">
        <f t="shared" si="140"/>
        <v>336</v>
      </c>
      <c r="BA278" s="261">
        <v>200</v>
      </c>
      <c r="BB278" s="257">
        <f t="shared" si="141"/>
        <v>120</v>
      </c>
      <c r="BC278" s="271">
        <v>160</v>
      </c>
      <c r="BD278" s="257">
        <f t="shared" si="142"/>
        <v>96</v>
      </c>
      <c r="BE278" s="274">
        <v>880</v>
      </c>
      <c r="BF278" s="257">
        <f t="shared" si="143"/>
        <v>440</v>
      </c>
      <c r="BG278" s="260">
        <v>240</v>
      </c>
      <c r="BH278" s="257">
        <f t="shared" si="144"/>
        <v>120</v>
      </c>
      <c r="BI278" s="260">
        <v>240</v>
      </c>
      <c r="BJ278" s="257">
        <f t="shared" si="145"/>
        <v>120</v>
      </c>
      <c r="BK278" s="389">
        <v>600</v>
      </c>
      <c r="BL278" s="257">
        <f t="shared" si="146"/>
        <v>300</v>
      </c>
      <c r="BM278" s="1" t="s">
        <v>816</v>
      </c>
      <c r="BO278" s="1" t="s">
        <v>457</v>
      </c>
      <c r="BP278" s="1" t="s">
        <v>817</v>
      </c>
    </row>
    <row r="279" spans="1:68" ht="15.6">
      <c r="A279" s="250" t="s">
        <v>451</v>
      </c>
      <c r="B279" s="59" t="s">
        <v>221</v>
      </c>
      <c r="C279" s="354" t="s">
        <v>172</v>
      </c>
      <c r="D279" s="419"/>
      <c r="E279" s="281" t="s">
        <v>332</v>
      </c>
      <c r="F279" s="422"/>
      <c r="G279" s="351" t="s">
        <v>228</v>
      </c>
      <c r="H279" s="323" t="s">
        <v>414</v>
      </c>
      <c r="I279" s="324" t="s">
        <v>190</v>
      </c>
      <c r="J279" s="325" t="s">
        <v>230</v>
      </c>
      <c r="K279" s="323" t="s">
        <v>208</v>
      </c>
      <c r="L279" s="59" t="s">
        <v>185</v>
      </c>
      <c r="M279" s="303" t="s">
        <v>815</v>
      </c>
      <c r="N279" s="303">
        <v>5</v>
      </c>
      <c r="O279" s="303">
        <v>6.2</v>
      </c>
      <c r="P279" s="303">
        <v>6.2</v>
      </c>
      <c r="Q279" s="303">
        <v>6.2</v>
      </c>
      <c r="R279" s="303">
        <v>6.2</v>
      </c>
      <c r="S279" s="303">
        <v>6.2</v>
      </c>
      <c r="T279" s="303">
        <v>6.2</v>
      </c>
      <c r="U279" s="303">
        <v>6.2</v>
      </c>
      <c r="V279" s="303">
        <v>6.2</v>
      </c>
      <c r="W279" s="303">
        <v>6.2</v>
      </c>
      <c r="X279" s="303">
        <v>6.2</v>
      </c>
      <c r="Y279" s="303">
        <v>6.2</v>
      </c>
      <c r="Z279" s="303">
        <v>6.2</v>
      </c>
      <c r="AA279" s="303">
        <v>6.2</v>
      </c>
      <c r="AB279" s="304">
        <v>1.2</v>
      </c>
      <c r="AC279" s="304">
        <v>1.2</v>
      </c>
      <c r="AD279" s="304">
        <v>1.2</v>
      </c>
      <c r="AE279" s="304">
        <v>1.2</v>
      </c>
      <c r="AF279" s="304">
        <v>1.2</v>
      </c>
      <c r="AG279" s="304">
        <v>1.2</v>
      </c>
      <c r="AH279" s="304">
        <v>1.2</v>
      </c>
      <c r="AI279" s="304">
        <v>1.2</v>
      </c>
      <c r="AJ279" s="304">
        <v>1.2</v>
      </c>
      <c r="AK279" s="304">
        <v>1.2</v>
      </c>
      <c r="AL279" s="304">
        <v>1.2</v>
      </c>
      <c r="AM279" s="304">
        <v>1.2</v>
      </c>
      <c r="AN279" s="304">
        <v>1.2</v>
      </c>
      <c r="AO279" s="260"/>
      <c r="AP279" s="254">
        <f t="shared" si="135"/>
        <v>0</v>
      </c>
      <c r="AQ279" s="262"/>
      <c r="AR279" s="254">
        <f t="shared" si="136"/>
        <v>0</v>
      </c>
      <c r="AS279" s="261"/>
      <c r="AT279" s="254">
        <f t="shared" si="137"/>
        <v>0</v>
      </c>
      <c r="AU279" s="256"/>
      <c r="AV279" s="257">
        <f t="shared" si="138"/>
        <v>0</v>
      </c>
      <c r="AW279" s="383"/>
      <c r="AX279" s="257">
        <f t="shared" si="139"/>
        <v>0</v>
      </c>
      <c r="AY279" s="389"/>
      <c r="AZ279" s="257">
        <f t="shared" si="140"/>
        <v>0</v>
      </c>
      <c r="BA279" s="260"/>
      <c r="BB279" s="257">
        <f t="shared" si="141"/>
        <v>0</v>
      </c>
      <c r="BC279" s="260"/>
      <c r="BD279" s="257">
        <f t="shared" si="142"/>
        <v>0</v>
      </c>
      <c r="BE279" s="274"/>
      <c r="BF279" s="257">
        <f t="shared" si="143"/>
        <v>0</v>
      </c>
      <c r="BG279" s="260"/>
      <c r="BH279" s="257">
        <f t="shared" si="144"/>
        <v>0</v>
      </c>
      <c r="BI279" s="260"/>
      <c r="BJ279" s="257">
        <f t="shared" si="145"/>
        <v>0</v>
      </c>
      <c r="BK279" s="274"/>
      <c r="BL279" s="257">
        <f t="shared" si="146"/>
        <v>0</v>
      </c>
      <c r="BM279" s="1" t="s">
        <v>818</v>
      </c>
      <c r="BO279" s="1" t="s">
        <v>457</v>
      </c>
      <c r="BP279" s="1" t="s">
        <v>819</v>
      </c>
    </row>
    <row r="280" spans="1:68" ht="15.6">
      <c r="A280" s="250" t="s">
        <v>451</v>
      </c>
      <c r="B280" s="59" t="s">
        <v>221</v>
      </c>
      <c r="C280" s="354" t="s">
        <v>172</v>
      </c>
      <c r="D280" s="419"/>
      <c r="E280" s="281" t="s">
        <v>332</v>
      </c>
      <c r="F280" s="422"/>
      <c r="G280" s="351" t="s">
        <v>236</v>
      </c>
      <c r="H280" s="323" t="s">
        <v>237</v>
      </c>
      <c r="I280" s="324" t="s">
        <v>183</v>
      </c>
      <c r="J280" s="325" t="s">
        <v>238</v>
      </c>
      <c r="K280" s="323" t="s">
        <v>234</v>
      </c>
      <c r="L280" s="323" t="s">
        <v>177</v>
      </c>
      <c r="M280" s="303" t="s">
        <v>474</v>
      </c>
      <c r="N280" s="303">
        <v>9</v>
      </c>
      <c r="O280" s="303">
        <v>11.5</v>
      </c>
      <c r="P280" s="303">
        <v>11.5</v>
      </c>
      <c r="Q280" s="303">
        <v>11.5</v>
      </c>
      <c r="R280" s="303">
        <v>11.5</v>
      </c>
      <c r="S280" s="303">
        <v>11.5</v>
      </c>
      <c r="T280" s="303">
        <v>11.5</v>
      </c>
      <c r="U280" s="303">
        <v>11.5</v>
      </c>
      <c r="V280" s="303">
        <v>11.5</v>
      </c>
      <c r="W280" s="303">
        <v>11.5</v>
      </c>
      <c r="X280" s="303">
        <v>11.5</v>
      </c>
      <c r="Y280" s="303">
        <v>11.5</v>
      </c>
      <c r="Z280" s="303">
        <v>11.5</v>
      </c>
      <c r="AA280" s="303">
        <v>11.5</v>
      </c>
      <c r="AB280" s="304">
        <v>0.6</v>
      </c>
      <c r="AC280" s="304">
        <v>0.6</v>
      </c>
      <c r="AD280" s="304">
        <v>0.6</v>
      </c>
      <c r="AE280" s="304">
        <v>0.6</v>
      </c>
      <c r="AF280" s="304">
        <v>0.6</v>
      </c>
      <c r="AG280" s="304">
        <v>0.6</v>
      </c>
      <c r="AH280" s="304">
        <v>0.6</v>
      </c>
      <c r="AI280" s="304">
        <v>0.6</v>
      </c>
      <c r="AJ280" s="304">
        <v>0.6</v>
      </c>
      <c r="AK280" s="304">
        <v>0.6</v>
      </c>
      <c r="AL280" s="304">
        <v>0.6</v>
      </c>
      <c r="AM280" s="304">
        <v>0.6</v>
      </c>
      <c r="AN280" s="304">
        <v>0.6</v>
      </c>
      <c r="AO280" s="260"/>
      <c r="AP280" s="254">
        <f t="shared" si="135"/>
        <v>0</v>
      </c>
      <c r="AQ280" s="260"/>
      <c r="AR280" s="254">
        <f t="shared" si="136"/>
        <v>0</v>
      </c>
      <c r="AS280" s="261"/>
      <c r="AT280" s="254">
        <f t="shared" si="137"/>
        <v>0</v>
      </c>
      <c r="AU280" s="256"/>
      <c r="AV280" s="257">
        <f t="shared" si="138"/>
        <v>0</v>
      </c>
      <c r="AW280" s="383"/>
      <c r="AX280" s="257">
        <f t="shared" si="139"/>
        <v>0</v>
      </c>
      <c r="AY280" s="389"/>
      <c r="AZ280" s="257">
        <f t="shared" si="140"/>
        <v>0</v>
      </c>
      <c r="BA280" s="260"/>
      <c r="BB280" s="257">
        <f t="shared" si="141"/>
        <v>0</v>
      </c>
      <c r="BC280" s="260"/>
      <c r="BD280" s="257">
        <f t="shared" si="142"/>
        <v>0</v>
      </c>
      <c r="BE280" s="274"/>
      <c r="BF280" s="257">
        <f t="shared" si="143"/>
        <v>0</v>
      </c>
      <c r="BG280" s="260"/>
      <c r="BH280" s="257">
        <f t="shared" si="144"/>
        <v>0</v>
      </c>
      <c r="BI280" s="260"/>
      <c r="BJ280" s="257">
        <f t="shared" si="145"/>
        <v>0</v>
      </c>
      <c r="BK280" s="274"/>
      <c r="BL280" s="257">
        <f t="shared" si="146"/>
        <v>0</v>
      </c>
      <c r="BM280" s="1" t="s">
        <v>820</v>
      </c>
      <c r="BO280" s="1" t="s">
        <v>457</v>
      </c>
      <c r="BP280" s="1" t="s">
        <v>821</v>
      </c>
    </row>
    <row r="281" spans="1:68" ht="15.6">
      <c r="A281" s="250" t="s">
        <v>451</v>
      </c>
      <c r="B281" s="59" t="s">
        <v>221</v>
      </c>
      <c r="C281" s="354" t="s">
        <v>172</v>
      </c>
      <c r="D281" s="419"/>
      <c r="E281" s="281" t="s">
        <v>332</v>
      </c>
      <c r="F281" s="422"/>
      <c r="G281" s="351" t="s">
        <v>236</v>
      </c>
      <c r="H281" s="323" t="s">
        <v>237</v>
      </c>
      <c r="I281" s="330" t="s">
        <v>190</v>
      </c>
      <c r="J281" s="325" t="s">
        <v>238</v>
      </c>
      <c r="K281" s="323" t="s">
        <v>234</v>
      </c>
      <c r="L281" s="323" t="s">
        <v>177</v>
      </c>
      <c r="M281" s="303" t="s">
        <v>474</v>
      </c>
      <c r="N281" s="303">
        <v>2.8</v>
      </c>
      <c r="O281" s="303">
        <v>3.7</v>
      </c>
      <c r="P281" s="303">
        <v>3.8</v>
      </c>
      <c r="Q281" s="303">
        <v>3.8</v>
      </c>
      <c r="R281" s="303">
        <v>3.8</v>
      </c>
      <c r="S281" s="303">
        <v>3.8</v>
      </c>
      <c r="T281" s="303">
        <v>3.8</v>
      </c>
      <c r="U281" s="303">
        <v>3.8</v>
      </c>
      <c r="V281" s="303">
        <v>3.8</v>
      </c>
      <c r="W281" s="303">
        <v>3.8</v>
      </c>
      <c r="X281" s="303">
        <v>3.7</v>
      </c>
      <c r="Y281" s="303">
        <v>3.7</v>
      </c>
      <c r="Z281" s="303">
        <v>3.7</v>
      </c>
      <c r="AA281" s="303">
        <v>3.7</v>
      </c>
      <c r="AB281" s="304">
        <v>0.85</v>
      </c>
      <c r="AC281" s="304">
        <v>0.95</v>
      </c>
      <c r="AD281" s="304">
        <v>0.95</v>
      </c>
      <c r="AE281" s="304">
        <v>0.95</v>
      </c>
      <c r="AF281" s="304">
        <v>0.95</v>
      </c>
      <c r="AG281" s="304">
        <v>0.95</v>
      </c>
      <c r="AH281" s="304">
        <v>0.95</v>
      </c>
      <c r="AI281" s="304">
        <v>0.95</v>
      </c>
      <c r="AJ281" s="304">
        <v>0.95</v>
      </c>
      <c r="AK281" s="304">
        <v>0.85</v>
      </c>
      <c r="AL281" s="304">
        <v>0.85</v>
      </c>
      <c r="AM281" s="304">
        <v>0.85</v>
      </c>
      <c r="AN281" s="304">
        <v>0.85</v>
      </c>
      <c r="AO281" s="260"/>
      <c r="AP281" s="254">
        <f t="shared" si="135"/>
        <v>0</v>
      </c>
      <c r="AQ281" s="260"/>
      <c r="AR281" s="254">
        <f t="shared" si="136"/>
        <v>0</v>
      </c>
      <c r="AS281" s="261"/>
      <c r="AT281" s="254">
        <f t="shared" si="137"/>
        <v>0</v>
      </c>
      <c r="AU281" s="256"/>
      <c r="AV281" s="257">
        <f t="shared" si="138"/>
        <v>0</v>
      </c>
      <c r="AW281" s="383"/>
      <c r="AX281" s="257">
        <f t="shared" si="139"/>
        <v>0</v>
      </c>
      <c r="AY281" s="389"/>
      <c r="AZ281" s="257">
        <f t="shared" si="140"/>
        <v>0</v>
      </c>
      <c r="BA281" s="260"/>
      <c r="BB281" s="257">
        <f t="shared" si="141"/>
        <v>0</v>
      </c>
      <c r="BC281" s="260"/>
      <c r="BD281" s="257">
        <f t="shared" si="142"/>
        <v>0</v>
      </c>
      <c r="BE281" s="274"/>
      <c r="BF281" s="257">
        <f t="shared" si="143"/>
        <v>0</v>
      </c>
      <c r="BG281" s="260"/>
      <c r="BH281" s="257">
        <f t="shared" si="144"/>
        <v>0</v>
      </c>
      <c r="BI281" s="260"/>
      <c r="BJ281" s="257">
        <f t="shared" si="145"/>
        <v>0</v>
      </c>
      <c r="BK281" s="274"/>
      <c r="BL281" s="257">
        <f t="shared" si="146"/>
        <v>0</v>
      </c>
      <c r="BM281" s="1" t="s">
        <v>822</v>
      </c>
      <c r="BO281" s="1" t="s">
        <v>457</v>
      </c>
      <c r="BP281" s="1" t="s">
        <v>823</v>
      </c>
    </row>
    <row r="282" spans="1:68" ht="15.6">
      <c r="A282" s="250" t="s">
        <v>451</v>
      </c>
      <c r="B282" s="59" t="s">
        <v>221</v>
      </c>
      <c r="C282" s="354" t="s">
        <v>172</v>
      </c>
      <c r="D282" s="419"/>
      <c r="E282" s="281" t="s">
        <v>332</v>
      </c>
      <c r="F282" s="422"/>
      <c r="G282" s="351" t="s">
        <v>239</v>
      </c>
      <c r="H282" s="323" t="s">
        <v>240</v>
      </c>
      <c r="I282" s="330" t="s">
        <v>190</v>
      </c>
      <c r="J282" s="325" t="s">
        <v>241</v>
      </c>
      <c r="K282" s="323" t="s">
        <v>637</v>
      </c>
      <c r="L282" s="323" t="s">
        <v>177</v>
      </c>
      <c r="M282" s="303" t="s">
        <v>474</v>
      </c>
      <c r="N282" s="303">
        <v>2.8</v>
      </c>
      <c r="O282" s="303">
        <v>3.7</v>
      </c>
      <c r="P282" s="303">
        <v>3.8</v>
      </c>
      <c r="Q282" s="303">
        <v>3.8</v>
      </c>
      <c r="R282" s="303">
        <v>3.8</v>
      </c>
      <c r="S282" s="303">
        <v>3.8</v>
      </c>
      <c r="T282" s="303">
        <v>3.8</v>
      </c>
      <c r="U282" s="303">
        <v>3.8</v>
      </c>
      <c r="V282" s="303">
        <v>3.8</v>
      </c>
      <c r="W282" s="303">
        <v>3.8</v>
      </c>
      <c r="X282" s="303">
        <v>3.7</v>
      </c>
      <c r="Y282" s="303">
        <v>3.7</v>
      </c>
      <c r="Z282" s="303">
        <v>3.7</v>
      </c>
      <c r="AA282" s="303">
        <v>3.7</v>
      </c>
      <c r="AB282" s="304">
        <v>0.85</v>
      </c>
      <c r="AC282" s="304">
        <v>0.95</v>
      </c>
      <c r="AD282" s="304">
        <v>0.95</v>
      </c>
      <c r="AE282" s="304">
        <v>0.95</v>
      </c>
      <c r="AF282" s="304">
        <v>0.95</v>
      </c>
      <c r="AG282" s="304">
        <v>0.95</v>
      </c>
      <c r="AH282" s="304">
        <v>0.95</v>
      </c>
      <c r="AI282" s="304">
        <v>0.95</v>
      </c>
      <c r="AJ282" s="304">
        <v>0.95</v>
      </c>
      <c r="AK282" s="304">
        <v>0.85</v>
      </c>
      <c r="AL282" s="304">
        <v>0.85</v>
      </c>
      <c r="AM282" s="304">
        <v>0.85</v>
      </c>
      <c r="AN282" s="304">
        <v>0.85</v>
      </c>
      <c r="AO282" s="260"/>
      <c r="AP282" s="254">
        <f t="shared" si="135"/>
        <v>0</v>
      </c>
      <c r="AQ282" s="260"/>
      <c r="AR282" s="254">
        <f t="shared" si="136"/>
        <v>0</v>
      </c>
      <c r="AS282" s="261"/>
      <c r="AT282" s="254">
        <f t="shared" si="137"/>
        <v>0</v>
      </c>
      <c r="AU282" s="256"/>
      <c r="AV282" s="257">
        <f t="shared" si="138"/>
        <v>0</v>
      </c>
      <c r="AW282" s="383"/>
      <c r="AX282" s="257">
        <f t="shared" si="139"/>
        <v>0</v>
      </c>
      <c r="AY282" s="389"/>
      <c r="AZ282" s="257">
        <f t="shared" si="140"/>
        <v>0</v>
      </c>
      <c r="BA282" s="260"/>
      <c r="BB282" s="257">
        <f t="shared" si="141"/>
        <v>0</v>
      </c>
      <c r="BC282" s="260"/>
      <c r="BD282" s="257">
        <f t="shared" si="142"/>
        <v>0</v>
      </c>
      <c r="BE282" s="274"/>
      <c r="BF282" s="257">
        <f t="shared" si="143"/>
        <v>0</v>
      </c>
      <c r="BG282" s="260"/>
      <c r="BH282" s="257">
        <f t="shared" si="144"/>
        <v>0</v>
      </c>
      <c r="BI282" s="260"/>
      <c r="BJ282" s="257">
        <f t="shared" si="145"/>
        <v>0</v>
      </c>
      <c r="BK282" s="274"/>
      <c r="BL282" s="257">
        <f t="shared" si="146"/>
        <v>0</v>
      </c>
      <c r="BM282" s="1" t="s">
        <v>824</v>
      </c>
      <c r="BO282" s="1" t="s">
        <v>457</v>
      </c>
      <c r="BP282" s="1" t="s">
        <v>825</v>
      </c>
    </row>
    <row r="283" spans="1:68" ht="15.6">
      <c r="A283" s="250" t="s">
        <v>451</v>
      </c>
      <c r="B283" s="59" t="s">
        <v>221</v>
      </c>
      <c r="C283" s="354" t="s">
        <v>172</v>
      </c>
      <c r="D283" s="419"/>
      <c r="E283" s="281" t="s">
        <v>332</v>
      </c>
      <c r="F283" s="422"/>
      <c r="G283" s="351" t="s">
        <v>239</v>
      </c>
      <c r="H283" s="323" t="s">
        <v>240</v>
      </c>
      <c r="I283" s="330" t="s">
        <v>190</v>
      </c>
      <c r="J283" s="325" t="s">
        <v>241</v>
      </c>
      <c r="K283" s="323" t="s">
        <v>637</v>
      </c>
      <c r="L283" s="323" t="s">
        <v>177</v>
      </c>
      <c r="M283" s="303" t="s">
        <v>474</v>
      </c>
      <c r="N283" s="303">
        <v>2.8</v>
      </c>
      <c r="O283" s="303">
        <v>3.7</v>
      </c>
      <c r="P283" s="303">
        <v>3.8</v>
      </c>
      <c r="Q283" s="303">
        <v>3.8</v>
      </c>
      <c r="R283" s="303">
        <v>3.8</v>
      </c>
      <c r="S283" s="303">
        <v>3.8</v>
      </c>
      <c r="T283" s="303">
        <v>3.8</v>
      </c>
      <c r="U283" s="303">
        <v>3.8</v>
      </c>
      <c r="V283" s="303">
        <v>3.8</v>
      </c>
      <c r="W283" s="303">
        <v>3.8</v>
      </c>
      <c r="X283" s="303">
        <v>3.7</v>
      </c>
      <c r="Y283" s="303">
        <v>3.7</v>
      </c>
      <c r="Z283" s="303">
        <v>3.7</v>
      </c>
      <c r="AA283" s="303">
        <v>3.7</v>
      </c>
      <c r="AB283" s="304">
        <v>0.85</v>
      </c>
      <c r="AC283" s="304">
        <v>0.95</v>
      </c>
      <c r="AD283" s="304">
        <v>0.95</v>
      </c>
      <c r="AE283" s="304">
        <v>0.95</v>
      </c>
      <c r="AF283" s="304">
        <v>0.95</v>
      </c>
      <c r="AG283" s="304">
        <v>0.95</v>
      </c>
      <c r="AH283" s="304">
        <v>0.95</v>
      </c>
      <c r="AI283" s="304">
        <v>0.95</v>
      </c>
      <c r="AJ283" s="304">
        <v>0.95</v>
      </c>
      <c r="AK283" s="304">
        <v>0.85</v>
      </c>
      <c r="AL283" s="304">
        <v>0.85</v>
      </c>
      <c r="AM283" s="304">
        <v>0.85</v>
      </c>
      <c r="AN283" s="304">
        <v>0.85</v>
      </c>
      <c r="AO283" s="260"/>
      <c r="AP283" s="254">
        <f t="shared" si="135"/>
        <v>0</v>
      </c>
      <c r="AQ283" s="260"/>
      <c r="AR283" s="254">
        <f t="shared" si="136"/>
        <v>0</v>
      </c>
      <c r="AS283" s="261"/>
      <c r="AT283" s="254">
        <f t="shared" si="137"/>
        <v>0</v>
      </c>
      <c r="AU283" s="256"/>
      <c r="AV283" s="257">
        <f t="shared" si="138"/>
        <v>0</v>
      </c>
      <c r="AW283" s="383"/>
      <c r="AX283" s="257">
        <f t="shared" si="139"/>
        <v>0</v>
      </c>
      <c r="AY283" s="389"/>
      <c r="AZ283" s="257">
        <f t="shared" si="140"/>
        <v>0</v>
      </c>
      <c r="BA283" s="260"/>
      <c r="BB283" s="257">
        <f t="shared" si="141"/>
        <v>0</v>
      </c>
      <c r="BC283" s="260"/>
      <c r="BD283" s="257">
        <f t="shared" si="142"/>
        <v>0</v>
      </c>
      <c r="BE283" s="274"/>
      <c r="BF283" s="257">
        <f t="shared" si="143"/>
        <v>0</v>
      </c>
      <c r="BG283" s="260"/>
      <c r="BH283" s="257">
        <f t="shared" si="144"/>
        <v>0</v>
      </c>
      <c r="BI283" s="260"/>
      <c r="BJ283" s="257">
        <f t="shared" si="145"/>
        <v>0</v>
      </c>
      <c r="BK283" s="274"/>
      <c r="BL283" s="257">
        <f t="shared" si="146"/>
        <v>0</v>
      </c>
      <c r="BM283" s="1" t="s">
        <v>826</v>
      </c>
      <c r="BN283" s="1" t="s">
        <v>532</v>
      </c>
      <c r="BO283" s="1" t="s">
        <v>457</v>
      </c>
      <c r="BP283" s="1" t="s">
        <v>827</v>
      </c>
    </row>
    <row r="284" spans="1:68" ht="15.6">
      <c r="A284" s="250" t="s">
        <v>451</v>
      </c>
      <c r="B284" s="59" t="s">
        <v>221</v>
      </c>
      <c r="C284" s="354" t="s">
        <v>172</v>
      </c>
      <c r="D284" s="419"/>
      <c r="E284" s="281" t="s">
        <v>332</v>
      </c>
      <c r="F284" s="422"/>
      <c r="G284" s="351" t="s">
        <v>239</v>
      </c>
      <c r="H284" s="323" t="s">
        <v>240</v>
      </c>
      <c r="I284" s="330" t="s">
        <v>190</v>
      </c>
      <c r="J284" s="325" t="s">
        <v>241</v>
      </c>
      <c r="K284" s="323" t="s">
        <v>227</v>
      </c>
      <c r="L284" s="323" t="s">
        <v>177</v>
      </c>
      <c r="M284" s="303" t="s">
        <v>474</v>
      </c>
      <c r="N284" s="303">
        <v>2.8</v>
      </c>
      <c r="O284" s="303">
        <v>3.7</v>
      </c>
      <c r="P284" s="303">
        <v>3.8</v>
      </c>
      <c r="Q284" s="303">
        <v>3.8</v>
      </c>
      <c r="R284" s="303">
        <v>3.8</v>
      </c>
      <c r="S284" s="303">
        <v>3.8</v>
      </c>
      <c r="T284" s="303">
        <v>3.8</v>
      </c>
      <c r="U284" s="303">
        <v>3.8</v>
      </c>
      <c r="V284" s="303">
        <v>3.8</v>
      </c>
      <c r="W284" s="303">
        <v>3.8</v>
      </c>
      <c r="X284" s="303">
        <v>3.7</v>
      </c>
      <c r="Y284" s="303">
        <v>3.7</v>
      </c>
      <c r="Z284" s="303">
        <v>3.7</v>
      </c>
      <c r="AA284" s="303">
        <v>3.7</v>
      </c>
      <c r="AB284" s="304">
        <v>0.85</v>
      </c>
      <c r="AC284" s="304">
        <v>0.95</v>
      </c>
      <c r="AD284" s="304">
        <v>0.95</v>
      </c>
      <c r="AE284" s="304">
        <v>0.95</v>
      </c>
      <c r="AF284" s="304">
        <v>0.95</v>
      </c>
      <c r="AG284" s="304">
        <v>0.95</v>
      </c>
      <c r="AH284" s="304">
        <v>0.95</v>
      </c>
      <c r="AI284" s="304">
        <v>0.95</v>
      </c>
      <c r="AJ284" s="304">
        <v>0.95</v>
      </c>
      <c r="AK284" s="304">
        <v>0.85</v>
      </c>
      <c r="AL284" s="304">
        <v>0.85</v>
      </c>
      <c r="AM284" s="304">
        <v>0.85</v>
      </c>
      <c r="AN284" s="304">
        <v>0.85</v>
      </c>
      <c r="AO284" s="260"/>
      <c r="AP284" s="254">
        <f t="shared" ref="AP284:AP330" si="147">AC284*AO284</f>
        <v>0</v>
      </c>
      <c r="AQ284" s="260"/>
      <c r="AR284" s="254">
        <f t="shared" ref="AR284:AR330" si="148">AD284*AQ284</f>
        <v>0</v>
      </c>
      <c r="AS284" s="261"/>
      <c r="AT284" s="254">
        <f t="shared" ref="AT284:AT330" si="149">AE284*AS284</f>
        <v>0</v>
      </c>
      <c r="AU284" s="256"/>
      <c r="AV284" s="257">
        <f t="shared" si="138"/>
        <v>0</v>
      </c>
      <c r="AW284" s="383"/>
      <c r="AX284" s="257">
        <f t="shared" ref="AX284:AX329" si="150">AG284*AW284</f>
        <v>0</v>
      </c>
      <c r="AY284" s="389"/>
      <c r="AZ284" s="257">
        <f t="shared" si="140"/>
        <v>0</v>
      </c>
      <c r="BA284" s="260"/>
      <c r="BB284" s="257">
        <f t="shared" ref="BB284:BB330" si="151">AI284*BA284</f>
        <v>0</v>
      </c>
      <c r="BC284" s="260"/>
      <c r="BD284" s="257">
        <f t="shared" si="142"/>
        <v>0</v>
      </c>
      <c r="BE284" s="274"/>
      <c r="BF284" s="257">
        <f t="shared" si="143"/>
        <v>0</v>
      </c>
      <c r="BG284" s="260"/>
      <c r="BH284" s="257">
        <f t="shared" si="144"/>
        <v>0</v>
      </c>
      <c r="BI284" s="260"/>
      <c r="BJ284" s="257">
        <f t="shared" si="145"/>
        <v>0</v>
      </c>
      <c r="BK284" s="274"/>
      <c r="BL284" s="257">
        <f t="shared" ref="BL284:BL330" si="152">AN284*BK284</f>
        <v>0</v>
      </c>
      <c r="BM284" s="1" t="s">
        <v>828</v>
      </c>
      <c r="BO284" s="1" t="s">
        <v>457</v>
      </c>
      <c r="BP284" s="1" t="s">
        <v>829</v>
      </c>
    </row>
    <row r="285" spans="1:68" ht="15.6">
      <c r="A285" s="250" t="s">
        <v>451</v>
      </c>
      <c r="B285" s="59" t="s">
        <v>221</v>
      </c>
      <c r="C285" s="354" t="s">
        <v>172</v>
      </c>
      <c r="D285" s="419"/>
      <c r="E285" s="281" t="s">
        <v>332</v>
      </c>
      <c r="F285" s="422"/>
      <c r="G285" s="351" t="s">
        <v>239</v>
      </c>
      <c r="H285" s="323" t="s">
        <v>240</v>
      </c>
      <c r="I285" s="324" t="s">
        <v>183</v>
      </c>
      <c r="J285" s="325" t="s">
        <v>241</v>
      </c>
      <c r="K285" s="323" t="s">
        <v>227</v>
      </c>
      <c r="L285" s="323" t="s">
        <v>177</v>
      </c>
      <c r="M285" s="303" t="s">
        <v>474</v>
      </c>
      <c r="N285" s="303">
        <v>8.4</v>
      </c>
      <c r="O285" s="303">
        <v>9.8000000000000007</v>
      </c>
      <c r="P285" s="303">
        <v>9.8000000000000007</v>
      </c>
      <c r="Q285" s="303">
        <v>9.8000000000000007</v>
      </c>
      <c r="R285" s="303">
        <v>9.8000000000000007</v>
      </c>
      <c r="S285" s="303">
        <v>9.8000000000000007</v>
      </c>
      <c r="T285" s="303">
        <v>9.8000000000000007</v>
      </c>
      <c r="U285" s="303">
        <v>9.8000000000000007</v>
      </c>
      <c r="V285" s="303">
        <v>9.8000000000000007</v>
      </c>
      <c r="W285" s="303">
        <v>9.8000000000000007</v>
      </c>
      <c r="X285" s="303">
        <v>9.8000000000000007</v>
      </c>
      <c r="Y285" s="303">
        <v>9.8000000000000007</v>
      </c>
      <c r="Z285" s="303">
        <v>9.8000000000000007</v>
      </c>
      <c r="AA285" s="303">
        <v>9.8000000000000007</v>
      </c>
      <c r="AB285" s="304">
        <v>1.35</v>
      </c>
      <c r="AC285" s="304">
        <v>1.35</v>
      </c>
      <c r="AD285" s="304">
        <v>1.35</v>
      </c>
      <c r="AE285" s="304">
        <v>1.35</v>
      </c>
      <c r="AF285" s="304">
        <v>1.35</v>
      </c>
      <c r="AG285" s="304">
        <v>1.35</v>
      </c>
      <c r="AH285" s="304">
        <v>1.35</v>
      </c>
      <c r="AI285" s="304">
        <v>1.35</v>
      </c>
      <c r="AJ285" s="304">
        <v>1.35</v>
      </c>
      <c r="AK285" s="304">
        <v>1.35</v>
      </c>
      <c r="AL285" s="304">
        <v>1.35</v>
      </c>
      <c r="AM285" s="304">
        <v>1.35</v>
      </c>
      <c r="AN285" s="304">
        <v>1.35</v>
      </c>
      <c r="AO285" s="260"/>
      <c r="AP285" s="254">
        <f t="shared" si="147"/>
        <v>0</v>
      </c>
      <c r="AQ285" s="260"/>
      <c r="AR285" s="254">
        <f t="shared" si="148"/>
        <v>0</v>
      </c>
      <c r="AS285" s="261"/>
      <c r="AT285" s="254">
        <f t="shared" si="149"/>
        <v>0</v>
      </c>
      <c r="AU285" s="256"/>
      <c r="AV285" s="257">
        <f t="shared" ref="AV285:AV331" si="153">AF285*AU285</f>
        <v>0</v>
      </c>
      <c r="AW285" s="383"/>
      <c r="AX285" s="257">
        <f t="shared" si="150"/>
        <v>0</v>
      </c>
      <c r="AY285" s="389"/>
      <c r="AZ285" s="257">
        <f t="shared" ref="AZ285:AZ329" si="154">AH285*AY285</f>
        <v>0</v>
      </c>
      <c r="BA285" s="260"/>
      <c r="BB285" s="257">
        <f t="shared" si="151"/>
        <v>0</v>
      </c>
      <c r="BC285" s="260"/>
      <c r="BD285" s="257">
        <f t="shared" ref="BD285:BD330" si="155">AJ285*BC285</f>
        <v>0</v>
      </c>
      <c r="BE285" s="274"/>
      <c r="BF285" s="257">
        <f t="shared" ref="BF285:BF330" si="156">AK285*BE285</f>
        <v>0</v>
      </c>
      <c r="BG285" s="260"/>
      <c r="BH285" s="257">
        <f t="shared" ref="BH285:BH330" si="157">AL285*BG285</f>
        <v>0</v>
      </c>
      <c r="BI285" s="260"/>
      <c r="BJ285" s="257">
        <f t="shared" ref="BJ285:BJ329" si="158">AM285*BI285</f>
        <v>0</v>
      </c>
      <c r="BK285" s="274"/>
      <c r="BL285" s="257">
        <f t="shared" si="152"/>
        <v>0</v>
      </c>
      <c r="BM285" s="1" t="s">
        <v>830</v>
      </c>
      <c r="BO285" s="1" t="s">
        <v>457</v>
      </c>
      <c r="BP285" s="1" t="s">
        <v>831</v>
      </c>
    </row>
    <row r="286" spans="1:68" ht="15.6">
      <c r="A286" s="250" t="s">
        <v>451</v>
      </c>
      <c r="B286" s="59" t="s">
        <v>221</v>
      </c>
      <c r="C286" s="354" t="s">
        <v>172</v>
      </c>
      <c r="D286" s="419"/>
      <c r="E286" s="281" t="s">
        <v>332</v>
      </c>
      <c r="F286" s="422"/>
      <c r="G286" s="351" t="s">
        <v>239</v>
      </c>
      <c r="H286" s="323" t="s">
        <v>240</v>
      </c>
      <c r="I286" s="324" t="s">
        <v>183</v>
      </c>
      <c r="J286" s="325" t="s">
        <v>241</v>
      </c>
      <c r="K286" s="323" t="s">
        <v>208</v>
      </c>
      <c r="L286" s="323" t="s">
        <v>177</v>
      </c>
      <c r="M286" s="303" t="s">
        <v>474</v>
      </c>
      <c r="N286" s="303">
        <v>8.4</v>
      </c>
      <c r="O286" s="303">
        <v>9.8000000000000007</v>
      </c>
      <c r="P286" s="303">
        <v>9.8000000000000007</v>
      </c>
      <c r="Q286" s="303">
        <v>9.8000000000000007</v>
      </c>
      <c r="R286" s="303">
        <v>9.8000000000000007</v>
      </c>
      <c r="S286" s="303">
        <v>9.8000000000000007</v>
      </c>
      <c r="T286" s="303">
        <v>9.8000000000000007</v>
      </c>
      <c r="U286" s="303">
        <v>9.8000000000000007</v>
      </c>
      <c r="V286" s="303">
        <v>9.8000000000000007</v>
      </c>
      <c r="W286" s="303">
        <v>9.8000000000000007</v>
      </c>
      <c r="X286" s="303">
        <v>9.8000000000000007</v>
      </c>
      <c r="Y286" s="303">
        <v>9.8000000000000007</v>
      </c>
      <c r="Z286" s="303">
        <v>9.8000000000000007</v>
      </c>
      <c r="AA286" s="303">
        <v>9.8000000000000007</v>
      </c>
      <c r="AB286" s="304">
        <v>1.35</v>
      </c>
      <c r="AC286" s="304">
        <v>1.35</v>
      </c>
      <c r="AD286" s="304">
        <v>1.35</v>
      </c>
      <c r="AE286" s="304">
        <v>1.35</v>
      </c>
      <c r="AF286" s="304">
        <v>1.35</v>
      </c>
      <c r="AG286" s="304">
        <v>1.35</v>
      </c>
      <c r="AH286" s="304">
        <v>1.35</v>
      </c>
      <c r="AI286" s="304">
        <v>1.35</v>
      </c>
      <c r="AJ286" s="304">
        <v>1.35</v>
      </c>
      <c r="AK286" s="304">
        <v>1.35</v>
      </c>
      <c r="AL286" s="304">
        <v>1.35</v>
      </c>
      <c r="AM286" s="304">
        <v>1.35</v>
      </c>
      <c r="AN286" s="304">
        <v>1.35</v>
      </c>
      <c r="AO286" s="260"/>
      <c r="AP286" s="254">
        <f t="shared" si="147"/>
        <v>0</v>
      </c>
      <c r="AQ286" s="260"/>
      <c r="AR286" s="254">
        <f t="shared" si="148"/>
        <v>0</v>
      </c>
      <c r="AS286" s="261"/>
      <c r="AT286" s="254">
        <f t="shared" si="149"/>
        <v>0</v>
      </c>
      <c r="AU286" s="261"/>
      <c r="AV286" s="257">
        <f t="shared" si="153"/>
        <v>0</v>
      </c>
      <c r="AW286" s="386"/>
      <c r="AX286" s="257">
        <f t="shared" si="150"/>
        <v>0</v>
      </c>
      <c r="AY286" s="389"/>
      <c r="AZ286" s="257">
        <f t="shared" si="154"/>
        <v>0</v>
      </c>
      <c r="BA286" s="261"/>
      <c r="BB286" s="257">
        <f t="shared" si="151"/>
        <v>0</v>
      </c>
      <c r="BC286" s="274"/>
      <c r="BD286" s="257">
        <f t="shared" si="155"/>
        <v>0</v>
      </c>
      <c r="BE286" s="274"/>
      <c r="BF286" s="257">
        <f t="shared" si="156"/>
        <v>0</v>
      </c>
      <c r="BG286" s="261"/>
      <c r="BH286" s="257">
        <f t="shared" si="157"/>
        <v>0</v>
      </c>
      <c r="BI286" s="274"/>
      <c r="BJ286" s="257">
        <f t="shared" si="158"/>
        <v>0</v>
      </c>
      <c r="BK286" s="274"/>
      <c r="BL286" s="257">
        <f t="shared" si="152"/>
        <v>0</v>
      </c>
      <c r="BM286" s="1" t="s">
        <v>832</v>
      </c>
      <c r="BO286" s="1" t="s">
        <v>457</v>
      </c>
      <c r="BP286" s="1" t="s">
        <v>833</v>
      </c>
    </row>
    <row r="287" spans="1:68" ht="15.6">
      <c r="A287" s="250" t="s">
        <v>451</v>
      </c>
      <c r="B287" s="59" t="s">
        <v>221</v>
      </c>
      <c r="C287" s="354" t="s">
        <v>172</v>
      </c>
      <c r="D287" s="419"/>
      <c r="E287" s="281" t="s">
        <v>332</v>
      </c>
      <c r="F287" s="422"/>
      <c r="G287" s="351" t="s">
        <v>239</v>
      </c>
      <c r="H287" s="323" t="s">
        <v>240</v>
      </c>
      <c r="I287" s="330" t="s">
        <v>190</v>
      </c>
      <c r="J287" s="325" t="s">
        <v>241</v>
      </c>
      <c r="K287" s="323" t="s">
        <v>208</v>
      </c>
      <c r="L287" s="323" t="s">
        <v>177</v>
      </c>
      <c r="M287" s="303" t="s">
        <v>474</v>
      </c>
      <c r="N287" s="303">
        <v>4.4000000000000004</v>
      </c>
      <c r="O287" s="303">
        <v>5.6</v>
      </c>
      <c r="P287" s="303">
        <v>5.6</v>
      </c>
      <c r="Q287" s="303">
        <v>5.6</v>
      </c>
      <c r="R287" s="303">
        <v>5.6</v>
      </c>
      <c r="S287" s="303">
        <v>5.6</v>
      </c>
      <c r="T287" s="303">
        <v>5.6</v>
      </c>
      <c r="U287" s="303">
        <v>5.6</v>
      </c>
      <c r="V287" s="303">
        <v>5.6</v>
      </c>
      <c r="W287" s="303">
        <v>5.6</v>
      </c>
      <c r="X287" s="303">
        <v>5.6</v>
      </c>
      <c r="Y287" s="303">
        <v>5.6</v>
      </c>
      <c r="Z287" s="303">
        <v>5.6</v>
      </c>
      <c r="AA287" s="303">
        <v>5.6</v>
      </c>
      <c r="AB287" s="304">
        <v>1</v>
      </c>
      <c r="AC287" s="304">
        <v>1</v>
      </c>
      <c r="AD287" s="304">
        <v>1</v>
      </c>
      <c r="AE287" s="304">
        <v>1</v>
      </c>
      <c r="AF287" s="304">
        <v>1</v>
      </c>
      <c r="AG287" s="304">
        <v>1</v>
      </c>
      <c r="AH287" s="304">
        <v>1</v>
      </c>
      <c r="AI287" s="304">
        <v>1</v>
      </c>
      <c r="AJ287" s="304">
        <v>1</v>
      </c>
      <c r="AK287" s="304">
        <v>1</v>
      </c>
      <c r="AL287" s="304">
        <v>1</v>
      </c>
      <c r="AM287" s="304">
        <v>1</v>
      </c>
      <c r="AN287" s="304">
        <v>1</v>
      </c>
      <c r="AO287" s="260"/>
      <c r="AP287" s="254">
        <f t="shared" si="147"/>
        <v>0</v>
      </c>
      <c r="AQ287" s="260"/>
      <c r="AR287" s="254">
        <f t="shared" si="148"/>
        <v>0</v>
      </c>
      <c r="AS287" s="260"/>
      <c r="AT287" s="254">
        <f t="shared" si="149"/>
        <v>0</v>
      </c>
      <c r="AU287" s="260"/>
      <c r="AV287" s="257">
        <f t="shared" si="153"/>
        <v>0</v>
      </c>
      <c r="AW287" s="383"/>
      <c r="AX287" s="257">
        <f t="shared" si="150"/>
        <v>0</v>
      </c>
      <c r="AY287" s="392"/>
      <c r="AZ287" s="257">
        <f t="shared" si="154"/>
        <v>0</v>
      </c>
      <c r="BA287" s="260"/>
      <c r="BB287" s="257">
        <f t="shared" si="151"/>
        <v>0</v>
      </c>
      <c r="BC287" s="260"/>
      <c r="BD287" s="257">
        <f t="shared" si="155"/>
        <v>0</v>
      </c>
      <c r="BE287" s="274"/>
      <c r="BF287" s="257">
        <f t="shared" si="156"/>
        <v>0</v>
      </c>
      <c r="BG287" s="261"/>
      <c r="BH287" s="257">
        <f t="shared" si="157"/>
        <v>0</v>
      </c>
      <c r="BI287" s="274"/>
      <c r="BJ287" s="257">
        <f t="shared" si="158"/>
        <v>0</v>
      </c>
      <c r="BK287" s="260"/>
      <c r="BL287" s="257">
        <f t="shared" si="152"/>
        <v>0</v>
      </c>
      <c r="BM287" s="1" t="s">
        <v>834</v>
      </c>
      <c r="BO287" s="1" t="s">
        <v>457</v>
      </c>
      <c r="BP287" s="1" t="s">
        <v>835</v>
      </c>
    </row>
    <row r="288" spans="1:68" ht="15.6">
      <c r="A288" s="250" t="s">
        <v>451</v>
      </c>
      <c r="B288" s="59" t="s">
        <v>221</v>
      </c>
      <c r="C288" s="354" t="s">
        <v>172</v>
      </c>
      <c r="D288" s="419"/>
      <c r="E288" s="281" t="s">
        <v>332</v>
      </c>
      <c r="F288" s="422"/>
      <c r="G288" s="351" t="s">
        <v>239</v>
      </c>
      <c r="H288" s="323" t="s">
        <v>240</v>
      </c>
      <c r="I288" s="324" t="s">
        <v>183</v>
      </c>
      <c r="J288" s="325" t="s">
        <v>241</v>
      </c>
      <c r="K288" s="323" t="s">
        <v>243</v>
      </c>
      <c r="L288" s="323" t="s">
        <v>177</v>
      </c>
      <c r="M288" s="303" t="s">
        <v>474</v>
      </c>
      <c r="N288" s="303">
        <v>8.6</v>
      </c>
      <c r="O288" s="303">
        <v>9.8000000000000007</v>
      </c>
      <c r="P288" s="303">
        <v>10.5</v>
      </c>
      <c r="Q288" s="303">
        <v>10.5</v>
      </c>
      <c r="R288" s="303">
        <v>10.5</v>
      </c>
      <c r="S288" s="303">
        <v>10.5</v>
      </c>
      <c r="T288" s="303">
        <v>10.5</v>
      </c>
      <c r="U288" s="303">
        <v>10.5</v>
      </c>
      <c r="V288" s="303">
        <v>10.5</v>
      </c>
      <c r="W288" s="303">
        <v>10.5</v>
      </c>
      <c r="X288" s="303">
        <v>10.5</v>
      </c>
      <c r="Y288" s="303">
        <v>9.8000000000000007</v>
      </c>
      <c r="Z288" s="303">
        <v>9.8000000000000007</v>
      </c>
      <c r="AA288" s="303">
        <v>9.8000000000000007</v>
      </c>
      <c r="AB288" s="304">
        <v>2.0499999999999998</v>
      </c>
      <c r="AC288" s="304">
        <v>2.0499999999999998</v>
      </c>
      <c r="AD288" s="304">
        <v>2.0499999999999998</v>
      </c>
      <c r="AE288" s="304">
        <v>2.0499999999999998</v>
      </c>
      <c r="AF288" s="304">
        <v>2.0499999999999998</v>
      </c>
      <c r="AG288" s="304">
        <v>2.0499999999999998</v>
      </c>
      <c r="AH288" s="304">
        <v>2.0499999999999998</v>
      </c>
      <c r="AI288" s="304">
        <v>2.0499999999999998</v>
      </c>
      <c r="AJ288" s="304">
        <v>2.0499999999999998</v>
      </c>
      <c r="AK288" s="304">
        <v>2.0499999999999998</v>
      </c>
      <c r="AL288" s="304">
        <v>2.6</v>
      </c>
      <c r="AM288" s="304">
        <v>2.6</v>
      </c>
      <c r="AN288" s="304">
        <v>2.6</v>
      </c>
      <c r="AO288" s="260">
        <v>10638</v>
      </c>
      <c r="AP288" s="254">
        <f t="shared" si="147"/>
        <v>21807.899999999998</v>
      </c>
      <c r="AQ288" s="260">
        <v>5000</v>
      </c>
      <c r="AR288" s="254">
        <f t="shared" si="148"/>
        <v>10250</v>
      </c>
      <c r="AS288" s="260">
        <v>1000</v>
      </c>
      <c r="AT288" s="254">
        <f t="shared" si="149"/>
        <v>2050</v>
      </c>
      <c r="AU288" s="260">
        <v>2080</v>
      </c>
      <c r="AV288" s="257">
        <f t="shared" si="153"/>
        <v>4264</v>
      </c>
      <c r="AW288" s="383">
        <v>2000</v>
      </c>
      <c r="AX288" s="257">
        <f t="shared" si="150"/>
        <v>4100</v>
      </c>
      <c r="AY288" s="392">
        <v>1440</v>
      </c>
      <c r="AZ288" s="257">
        <f t="shared" si="154"/>
        <v>2951.9999999999995</v>
      </c>
      <c r="BA288" s="260">
        <v>2039</v>
      </c>
      <c r="BB288" s="257">
        <f t="shared" si="151"/>
        <v>4179.95</v>
      </c>
      <c r="BC288" s="260">
        <v>480</v>
      </c>
      <c r="BD288" s="257">
        <f t="shared" si="155"/>
        <v>983.99999999999989</v>
      </c>
      <c r="BE288" s="260">
        <v>150</v>
      </c>
      <c r="BF288" s="257">
        <f t="shared" si="156"/>
        <v>307.5</v>
      </c>
      <c r="BG288" s="260"/>
      <c r="BH288" s="257">
        <f t="shared" si="157"/>
        <v>0</v>
      </c>
      <c r="BI288" s="268"/>
      <c r="BJ288" s="257">
        <f t="shared" si="158"/>
        <v>0</v>
      </c>
      <c r="BK288" s="268"/>
      <c r="BL288" s="257">
        <f t="shared" si="152"/>
        <v>0</v>
      </c>
      <c r="BM288" s="1" t="s">
        <v>836</v>
      </c>
      <c r="BO288" s="1" t="s">
        <v>457</v>
      </c>
      <c r="BP288" s="1" t="s">
        <v>837</v>
      </c>
    </row>
    <row r="289" spans="1:68" ht="15.6">
      <c r="A289" s="250" t="s">
        <v>451</v>
      </c>
      <c r="B289" s="59" t="s">
        <v>221</v>
      </c>
      <c r="C289" s="354" t="s">
        <v>172</v>
      </c>
      <c r="D289" s="419"/>
      <c r="E289" s="281" t="s">
        <v>332</v>
      </c>
      <c r="F289" s="422"/>
      <c r="G289" s="351" t="s">
        <v>239</v>
      </c>
      <c r="H289" s="323" t="s">
        <v>240</v>
      </c>
      <c r="I289" s="324" t="s">
        <v>183</v>
      </c>
      <c r="J289" s="325" t="s">
        <v>241</v>
      </c>
      <c r="K289" s="323" t="s">
        <v>243</v>
      </c>
      <c r="L289" s="323" t="s">
        <v>177</v>
      </c>
      <c r="M289" s="303" t="s">
        <v>474</v>
      </c>
      <c r="N289" s="303">
        <v>8.6</v>
      </c>
      <c r="O289" s="303">
        <v>9.8000000000000007</v>
      </c>
      <c r="P289" s="303">
        <v>10.5</v>
      </c>
      <c r="Q289" s="303">
        <v>10.5</v>
      </c>
      <c r="R289" s="303">
        <v>10.5</v>
      </c>
      <c r="S289" s="303">
        <v>10.5</v>
      </c>
      <c r="T289" s="303">
        <v>10.5</v>
      </c>
      <c r="U289" s="303">
        <v>10.5</v>
      </c>
      <c r="V289" s="303">
        <v>10.5</v>
      </c>
      <c r="W289" s="303">
        <v>10.5</v>
      </c>
      <c r="X289" s="303">
        <v>10.5</v>
      </c>
      <c r="Y289" s="303">
        <v>9.8000000000000007</v>
      </c>
      <c r="Z289" s="303">
        <v>9.8000000000000007</v>
      </c>
      <c r="AA289" s="303">
        <v>9.8000000000000007</v>
      </c>
      <c r="AB289" s="304">
        <v>2.0499999999999998</v>
      </c>
      <c r="AC289" s="304">
        <v>2.0499999999999998</v>
      </c>
      <c r="AD289" s="304">
        <v>2.0499999999999998</v>
      </c>
      <c r="AE289" s="304">
        <v>2.0499999999999998</v>
      </c>
      <c r="AF289" s="304">
        <v>2.0499999999999998</v>
      </c>
      <c r="AG289" s="304">
        <v>2.0499999999999998</v>
      </c>
      <c r="AH289" s="304">
        <v>2.0499999999999998</v>
      </c>
      <c r="AI289" s="304">
        <v>2.0499999999999998</v>
      </c>
      <c r="AJ289" s="304">
        <v>2.0499999999999998</v>
      </c>
      <c r="AK289" s="304">
        <v>2.0499999999999998</v>
      </c>
      <c r="AL289" s="304">
        <v>2.6</v>
      </c>
      <c r="AM289" s="304">
        <v>2.6</v>
      </c>
      <c r="AN289" s="304">
        <v>2.6</v>
      </c>
      <c r="AO289" s="260"/>
      <c r="AP289" s="254">
        <f t="shared" si="147"/>
        <v>0</v>
      </c>
      <c r="AQ289" s="260">
        <v>36</v>
      </c>
      <c r="AR289" s="254">
        <f t="shared" si="148"/>
        <v>73.8</v>
      </c>
      <c r="AS289" s="260">
        <v>40</v>
      </c>
      <c r="AT289" s="254">
        <f t="shared" si="149"/>
        <v>82</v>
      </c>
      <c r="AU289" s="260">
        <v>13210</v>
      </c>
      <c r="AV289" s="257">
        <f t="shared" si="153"/>
        <v>27080.499999999996</v>
      </c>
      <c r="AW289" s="383">
        <v>1240</v>
      </c>
      <c r="AX289" s="257">
        <f t="shared" si="150"/>
        <v>2542</v>
      </c>
      <c r="AY289" s="392">
        <v>1480</v>
      </c>
      <c r="AZ289" s="257">
        <f t="shared" si="154"/>
        <v>3033.9999999999995</v>
      </c>
      <c r="BA289" s="260">
        <v>1080</v>
      </c>
      <c r="BB289" s="257">
        <f t="shared" si="151"/>
        <v>2214</v>
      </c>
      <c r="BC289" s="260">
        <v>1240</v>
      </c>
      <c r="BD289" s="257">
        <f t="shared" si="155"/>
        <v>2542</v>
      </c>
      <c r="BE289" s="260">
        <v>1880</v>
      </c>
      <c r="BF289" s="257">
        <f t="shared" si="156"/>
        <v>3853.9999999999995</v>
      </c>
      <c r="BG289" s="260">
        <v>3360</v>
      </c>
      <c r="BH289" s="257">
        <f t="shared" si="157"/>
        <v>8736</v>
      </c>
      <c r="BI289" s="268">
        <v>3400</v>
      </c>
      <c r="BJ289" s="257">
        <f t="shared" si="158"/>
        <v>8840</v>
      </c>
      <c r="BK289" s="268">
        <v>1160</v>
      </c>
      <c r="BL289" s="257">
        <f t="shared" si="152"/>
        <v>3016</v>
      </c>
      <c r="BM289" s="1" t="s">
        <v>838</v>
      </c>
      <c r="BN289" s="1" t="s">
        <v>532</v>
      </c>
      <c r="BO289" s="1" t="s">
        <v>457</v>
      </c>
      <c r="BP289" s="1" t="s">
        <v>839</v>
      </c>
    </row>
    <row r="290" spans="1:68" ht="15.6">
      <c r="A290" s="250" t="s">
        <v>451</v>
      </c>
      <c r="B290" s="59" t="s">
        <v>221</v>
      </c>
      <c r="C290" s="354" t="s">
        <v>172</v>
      </c>
      <c r="D290" s="419"/>
      <c r="E290" s="281" t="s">
        <v>332</v>
      </c>
      <c r="F290" s="422"/>
      <c r="G290" s="351" t="s">
        <v>239</v>
      </c>
      <c r="H290" s="323" t="s">
        <v>240</v>
      </c>
      <c r="I290" s="330" t="s">
        <v>190</v>
      </c>
      <c r="J290" s="325" t="s">
        <v>241</v>
      </c>
      <c r="K290" s="323" t="s">
        <v>243</v>
      </c>
      <c r="L290" s="323" t="s">
        <v>177</v>
      </c>
      <c r="M290" s="303" t="s">
        <v>474</v>
      </c>
      <c r="N290" s="303">
        <v>2.8</v>
      </c>
      <c r="O290" s="303">
        <v>3.7</v>
      </c>
      <c r="P290" s="303">
        <v>3.8</v>
      </c>
      <c r="Q290" s="303">
        <v>3.8</v>
      </c>
      <c r="R290" s="303">
        <v>3.8</v>
      </c>
      <c r="S290" s="303">
        <v>3.8</v>
      </c>
      <c r="T290" s="303">
        <v>3.8</v>
      </c>
      <c r="U290" s="303">
        <v>3.8</v>
      </c>
      <c r="V290" s="303">
        <v>3.8</v>
      </c>
      <c r="W290" s="303">
        <v>3.8</v>
      </c>
      <c r="X290" s="303">
        <v>3.7</v>
      </c>
      <c r="Y290" s="303">
        <v>3.7</v>
      </c>
      <c r="Z290" s="303">
        <v>3.7</v>
      </c>
      <c r="AA290" s="303">
        <v>3.7</v>
      </c>
      <c r="AB290" s="304">
        <v>0.85</v>
      </c>
      <c r="AC290" s="304">
        <v>0.95</v>
      </c>
      <c r="AD290" s="304">
        <v>0.95</v>
      </c>
      <c r="AE290" s="304">
        <v>0.95</v>
      </c>
      <c r="AF290" s="304">
        <v>0.95</v>
      </c>
      <c r="AG290" s="304">
        <v>0.95</v>
      </c>
      <c r="AH290" s="304">
        <v>0.95</v>
      </c>
      <c r="AI290" s="304">
        <v>0.95</v>
      </c>
      <c r="AJ290" s="304">
        <v>0.95</v>
      </c>
      <c r="AK290" s="304">
        <v>0.85</v>
      </c>
      <c r="AL290" s="304">
        <v>0.85</v>
      </c>
      <c r="AM290" s="304">
        <v>0.85</v>
      </c>
      <c r="AN290" s="304">
        <v>0.85</v>
      </c>
      <c r="AO290" s="260">
        <v>11720</v>
      </c>
      <c r="AP290" s="254">
        <f t="shared" si="147"/>
        <v>11134</v>
      </c>
      <c r="AQ290" s="260">
        <v>12880</v>
      </c>
      <c r="AR290" s="254">
        <f t="shared" si="148"/>
        <v>12236</v>
      </c>
      <c r="AS290" s="260">
        <v>1120</v>
      </c>
      <c r="AT290" s="254">
        <f t="shared" si="149"/>
        <v>1064</v>
      </c>
      <c r="AU290" s="260">
        <v>120</v>
      </c>
      <c r="AV290" s="257">
        <f t="shared" si="153"/>
        <v>114</v>
      </c>
      <c r="AW290" s="383">
        <v>4680</v>
      </c>
      <c r="AX290" s="257">
        <f t="shared" si="150"/>
        <v>4446</v>
      </c>
      <c r="AY290" s="392">
        <v>7920</v>
      </c>
      <c r="AZ290" s="257">
        <f t="shared" si="154"/>
        <v>7524</v>
      </c>
      <c r="BA290" s="260">
        <v>3920</v>
      </c>
      <c r="BB290" s="257">
        <f t="shared" si="151"/>
        <v>3724</v>
      </c>
      <c r="BC290" s="260">
        <v>2800</v>
      </c>
      <c r="BD290" s="257">
        <f t="shared" si="155"/>
        <v>2660</v>
      </c>
      <c r="BE290" s="268">
        <v>1080</v>
      </c>
      <c r="BF290" s="257">
        <f t="shared" si="156"/>
        <v>918</v>
      </c>
      <c r="BG290" s="256">
        <v>960</v>
      </c>
      <c r="BH290" s="257">
        <f t="shared" si="157"/>
        <v>816</v>
      </c>
      <c r="BI290" s="268">
        <v>200</v>
      </c>
      <c r="BJ290" s="257">
        <f t="shared" si="158"/>
        <v>170</v>
      </c>
      <c r="BK290" s="268"/>
      <c r="BL290" s="257">
        <f t="shared" si="152"/>
        <v>0</v>
      </c>
      <c r="BM290" s="1" t="s">
        <v>840</v>
      </c>
      <c r="BO290" s="1" t="s">
        <v>457</v>
      </c>
      <c r="BP290" s="1" t="s">
        <v>841</v>
      </c>
    </row>
    <row r="291" spans="1:68" ht="15.6">
      <c r="A291" s="250" t="s">
        <v>451</v>
      </c>
      <c r="B291" s="59" t="s">
        <v>221</v>
      </c>
      <c r="C291" s="354" t="s">
        <v>172</v>
      </c>
      <c r="D291" s="419"/>
      <c r="E291" s="281" t="s">
        <v>332</v>
      </c>
      <c r="F291" s="422"/>
      <c r="G291" s="351" t="s">
        <v>239</v>
      </c>
      <c r="H291" s="323" t="s">
        <v>240</v>
      </c>
      <c r="I291" s="330" t="s">
        <v>190</v>
      </c>
      <c r="J291" s="325" t="s">
        <v>241</v>
      </c>
      <c r="K291" s="323" t="s">
        <v>243</v>
      </c>
      <c r="L291" s="323" t="s">
        <v>177</v>
      </c>
      <c r="M291" s="303" t="s">
        <v>474</v>
      </c>
      <c r="N291" s="303">
        <v>2.8</v>
      </c>
      <c r="O291" s="303">
        <v>3.7</v>
      </c>
      <c r="P291" s="303">
        <v>3.8</v>
      </c>
      <c r="Q291" s="303">
        <v>3.8</v>
      </c>
      <c r="R291" s="303">
        <v>3.8</v>
      </c>
      <c r="S291" s="303">
        <v>3.8</v>
      </c>
      <c r="T291" s="303">
        <v>3.8</v>
      </c>
      <c r="U291" s="303">
        <v>3.8</v>
      </c>
      <c r="V291" s="303">
        <v>3.8</v>
      </c>
      <c r="W291" s="303">
        <v>3.8</v>
      </c>
      <c r="X291" s="303">
        <v>3.7</v>
      </c>
      <c r="Y291" s="303">
        <v>3.7</v>
      </c>
      <c r="Z291" s="303">
        <v>3.7</v>
      </c>
      <c r="AA291" s="303">
        <v>3.7</v>
      </c>
      <c r="AB291" s="304">
        <v>0.85</v>
      </c>
      <c r="AC291" s="304">
        <v>0.95</v>
      </c>
      <c r="AD291" s="304">
        <v>0.95</v>
      </c>
      <c r="AE291" s="304">
        <v>0.95</v>
      </c>
      <c r="AF291" s="304">
        <v>0.95</v>
      </c>
      <c r="AG291" s="304">
        <v>0.95</v>
      </c>
      <c r="AH291" s="304">
        <v>0.95</v>
      </c>
      <c r="AI291" s="304">
        <v>0.95</v>
      </c>
      <c r="AJ291" s="304">
        <v>0.95</v>
      </c>
      <c r="AK291" s="304">
        <v>0.85</v>
      </c>
      <c r="AL291" s="304">
        <v>0.85</v>
      </c>
      <c r="AM291" s="304">
        <v>0.85</v>
      </c>
      <c r="AN291" s="304">
        <v>0.85</v>
      </c>
      <c r="AO291" s="260"/>
      <c r="AP291" s="254">
        <f t="shared" si="147"/>
        <v>0</v>
      </c>
      <c r="AQ291" s="260">
        <v>16280</v>
      </c>
      <c r="AR291" s="254">
        <f t="shared" si="148"/>
        <v>15466</v>
      </c>
      <c r="AS291" s="260"/>
      <c r="AT291" s="254">
        <f t="shared" si="149"/>
        <v>0</v>
      </c>
      <c r="AU291" s="260">
        <v>280</v>
      </c>
      <c r="AV291" s="257">
        <f t="shared" si="153"/>
        <v>266</v>
      </c>
      <c r="AW291" s="383">
        <v>1240</v>
      </c>
      <c r="AX291" s="257">
        <f t="shared" si="150"/>
        <v>1178</v>
      </c>
      <c r="AY291" s="392">
        <v>2480</v>
      </c>
      <c r="AZ291" s="257">
        <f t="shared" si="154"/>
        <v>2356</v>
      </c>
      <c r="BA291" s="260">
        <v>3160</v>
      </c>
      <c r="BB291" s="257">
        <f t="shared" si="151"/>
        <v>3002</v>
      </c>
      <c r="BC291" s="260">
        <v>11960</v>
      </c>
      <c r="BD291" s="257">
        <f t="shared" si="155"/>
        <v>11362</v>
      </c>
      <c r="BE291" s="268">
        <v>6440</v>
      </c>
      <c r="BF291" s="257">
        <f t="shared" si="156"/>
        <v>5474</v>
      </c>
      <c r="BG291" s="256">
        <v>14475</v>
      </c>
      <c r="BH291" s="257">
        <f t="shared" si="157"/>
        <v>12303.75</v>
      </c>
      <c r="BI291" s="268">
        <v>9040</v>
      </c>
      <c r="BJ291" s="257">
        <f t="shared" si="158"/>
        <v>7684</v>
      </c>
      <c r="BK291" s="268">
        <v>7400</v>
      </c>
      <c r="BL291" s="257">
        <f t="shared" si="152"/>
        <v>6290</v>
      </c>
      <c r="BM291" s="1" t="s">
        <v>842</v>
      </c>
      <c r="BN291" s="1" t="s">
        <v>532</v>
      </c>
      <c r="BO291" s="1" t="s">
        <v>457</v>
      </c>
      <c r="BP291" s="1" t="s">
        <v>843</v>
      </c>
    </row>
    <row r="292" spans="1:68" ht="15.6">
      <c r="A292" s="250" t="s">
        <v>451</v>
      </c>
      <c r="B292" s="59" t="s">
        <v>221</v>
      </c>
      <c r="C292" s="354" t="s">
        <v>172</v>
      </c>
      <c r="D292" s="419"/>
      <c r="E292" s="281" t="s">
        <v>332</v>
      </c>
      <c r="F292" s="422"/>
      <c r="G292" s="317" t="s">
        <v>239</v>
      </c>
      <c r="H292" s="323" t="s">
        <v>240</v>
      </c>
      <c r="I292" s="332" t="s">
        <v>249</v>
      </c>
      <c r="J292" s="331" t="s">
        <v>241</v>
      </c>
      <c r="K292" s="323" t="s">
        <v>844</v>
      </c>
      <c r="L292" s="323" t="s">
        <v>344</v>
      </c>
      <c r="M292" s="303" t="s">
        <v>474</v>
      </c>
      <c r="N292" s="303">
        <v>8.6</v>
      </c>
      <c r="O292" s="303">
        <v>10.5</v>
      </c>
      <c r="P292" s="303">
        <v>10.5</v>
      </c>
      <c r="Q292" s="303">
        <v>10.5</v>
      </c>
      <c r="R292" s="303">
        <v>10.5</v>
      </c>
      <c r="S292" s="303">
        <v>10.5</v>
      </c>
      <c r="T292" s="303">
        <v>10.5</v>
      </c>
      <c r="U292" s="303">
        <v>10.5</v>
      </c>
      <c r="V292" s="303">
        <v>10.5</v>
      </c>
      <c r="W292" s="303">
        <v>10.5</v>
      </c>
      <c r="X292" s="303">
        <v>10.5</v>
      </c>
      <c r="Y292" s="303">
        <v>10.5</v>
      </c>
      <c r="Z292" s="303">
        <v>10.5</v>
      </c>
      <c r="AA292" s="303">
        <v>10.5</v>
      </c>
      <c r="AB292" s="304">
        <v>2.0499999999999998</v>
      </c>
      <c r="AC292" s="304">
        <v>2.0499999999999998</v>
      </c>
      <c r="AD292" s="304">
        <v>2.0499999999999998</v>
      </c>
      <c r="AE292" s="304">
        <v>2.0499999999999998</v>
      </c>
      <c r="AF292" s="304">
        <v>2.0499999999999998</v>
      </c>
      <c r="AG292" s="304">
        <v>2.0499999999999998</v>
      </c>
      <c r="AH292" s="304">
        <v>2.0499999999999998</v>
      </c>
      <c r="AI292" s="304">
        <v>2.0499999999999998</v>
      </c>
      <c r="AJ292" s="304">
        <v>2.0499999999999998</v>
      </c>
      <c r="AK292" s="304">
        <v>2.0499999999999998</v>
      </c>
      <c r="AL292" s="304">
        <v>2.0499999999999998</v>
      </c>
      <c r="AM292" s="304">
        <v>2.0499999999999998</v>
      </c>
      <c r="AN292" s="304">
        <v>2.0499999999999998</v>
      </c>
      <c r="AO292" s="260"/>
      <c r="AP292" s="254">
        <f t="shared" si="147"/>
        <v>0</v>
      </c>
      <c r="AQ292" s="260"/>
      <c r="AR292" s="254">
        <f t="shared" si="148"/>
        <v>0</v>
      </c>
      <c r="AS292" s="261"/>
      <c r="AT292" s="254">
        <f t="shared" si="149"/>
        <v>0</v>
      </c>
      <c r="AU292" s="256"/>
      <c r="AV292" s="257">
        <f t="shared" si="153"/>
        <v>0</v>
      </c>
      <c r="AW292" s="382"/>
      <c r="AX292" s="257">
        <f t="shared" si="150"/>
        <v>0</v>
      </c>
      <c r="AY292" s="268"/>
      <c r="AZ292" s="257">
        <f t="shared" si="154"/>
        <v>0</v>
      </c>
      <c r="BA292" s="268"/>
      <c r="BB292" s="257">
        <f t="shared" si="151"/>
        <v>0</v>
      </c>
      <c r="BC292" s="268"/>
      <c r="BD292" s="257">
        <f t="shared" si="155"/>
        <v>0</v>
      </c>
      <c r="BE292" s="268"/>
      <c r="BF292" s="257">
        <f t="shared" si="156"/>
        <v>0</v>
      </c>
      <c r="BG292" s="59"/>
      <c r="BH292" s="257">
        <f t="shared" si="157"/>
        <v>0</v>
      </c>
      <c r="BI292" s="268"/>
      <c r="BJ292" s="257">
        <f t="shared" si="158"/>
        <v>0</v>
      </c>
      <c r="BK292" s="268"/>
      <c r="BL292" s="257">
        <f t="shared" si="152"/>
        <v>0</v>
      </c>
      <c r="BM292" s="1" t="s">
        <v>845</v>
      </c>
      <c r="BO292" s="1" t="s">
        <v>457</v>
      </c>
      <c r="BP292" s="1" t="s">
        <v>846</v>
      </c>
    </row>
    <row r="293" spans="1:68" ht="15.6">
      <c r="A293" s="250" t="s">
        <v>451</v>
      </c>
      <c r="B293" s="59" t="s">
        <v>221</v>
      </c>
      <c r="C293" s="354" t="s">
        <v>172</v>
      </c>
      <c r="D293" s="419"/>
      <c r="E293" s="281" t="s">
        <v>332</v>
      </c>
      <c r="F293" s="422"/>
      <c r="G293" s="317" t="s">
        <v>239</v>
      </c>
      <c r="H293" s="323" t="s">
        <v>240</v>
      </c>
      <c r="I293" s="327" t="s">
        <v>249</v>
      </c>
      <c r="J293" s="331" t="s">
        <v>241</v>
      </c>
      <c r="K293" s="323" t="s">
        <v>847</v>
      </c>
      <c r="L293" s="323" t="s">
        <v>344</v>
      </c>
      <c r="M293" s="303" t="s">
        <v>474</v>
      </c>
      <c r="N293" s="303">
        <v>8.6</v>
      </c>
      <c r="O293" s="303">
        <v>10.5</v>
      </c>
      <c r="P293" s="303">
        <v>10.5</v>
      </c>
      <c r="Q293" s="303">
        <v>10.5</v>
      </c>
      <c r="R293" s="303">
        <v>10.5</v>
      </c>
      <c r="S293" s="303">
        <v>10.5</v>
      </c>
      <c r="T293" s="303">
        <v>10.5</v>
      </c>
      <c r="U293" s="303">
        <v>10.5</v>
      </c>
      <c r="V293" s="303">
        <v>10.5</v>
      </c>
      <c r="W293" s="303">
        <v>10.5</v>
      </c>
      <c r="X293" s="303">
        <v>10.5</v>
      </c>
      <c r="Y293" s="303">
        <v>10.5</v>
      </c>
      <c r="Z293" s="303">
        <v>10.5</v>
      </c>
      <c r="AA293" s="303">
        <v>10.5</v>
      </c>
      <c r="AB293" s="304">
        <v>2.0499999999999998</v>
      </c>
      <c r="AC293" s="304">
        <v>2.0499999999999998</v>
      </c>
      <c r="AD293" s="304">
        <v>2.0499999999999998</v>
      </c>
      <c r="AE293" s="304">
        <v>2.0499999999999998</v>
      </c>
      <c r="AF293" s="304">
        <v>2.0499999999999998</v>
      </c>
      <c r="AG293" s="304">
        <v>2.0499999999999998</v>
      </c>
      <c r="AH293" s="304">
        <v>2.0499999999999998</v>
      </c>
      <c r="AI293" s="304">
        <v>2.0499999999999998</v>
      </c>
      <c r="AJ293" s="304">
        <v>2.0499999999999998</v>
      </c>
      <c r="AK293" s="304">
        <v>2.0499999999999998</v>
      </c>
      <c r="AL293" s="304">
        <v>2.0499999999999998</v>
      </c>
      <c r="AM293" s="304">
        <v>2.0499999999999998</v>
      </c>
      <c r="AN293" s="304">
        <v>2.0499999999999998</v>
      </c>
      <c r="AO293" s="260"/>
      <c r="AP293" s="254">
        <f t="shared" si="147"/>
        <v>0</v>
      </c>
      <c r="AQ293" s="260"/>
      <c r="AR293" s="254">
        <f t="shared" si="148"/>
        <v>0</v>
      </c>
      <c r="AS293" s="261"/>
      <c r="AT293" s="254">
        <f t="shared" si="149"/>
        <v>0</v>
      </c>
      <c r="AU293" s="256"/>
      <c r="AV293" s="257">
        <f t="shared" si="153"/>
        <v>0</v>
      </c>
      <c r="AW293" s="382"/>
      <c r="AX293" s="257">
        <f t="shared" si="150"/>
        <v>0</v>
      </c>
      <c r="AY293" s="268"/>
      <c r="AZ293" s="257">
        <f t="shared" si="154"/>
        <v>0</v>
      </c>
      <c r="BA293" s="268"/>
      <c r="BB293" s="257">
        <f t="shared" si="151"/>
        <v>0</v>
      </c>
      <c r="BC293" s="268"/>
      <c r="BD293" s="257">
        <f t="shared" si="155"/>
        <v>0</v>
      </c>
      <c r="BE293" s="268"/>
      <c r="BF293" s="257">
        <f t="shared" si="156"/>
        <v>0</v>
      </c>
      <c r="BG293" s="59"/>
      <c r="BH293" s="257">
        <f t="shared" si="157"/>
        <v>0</v>
      </c>
      <c r="BI293" s="268"/>
      <c r="BJ293" s="257">
        <f t="shared" si="158"/>
        <v>0</v>
      </c>
      <c r="BK293" s="268"/>
      <c r="BL293" s="257">
        <f t="shared" si="152"/>
        <v>0</v>
      </c>
      <c r="BM293" s="1" t="s">
        <v>848</v>
      </c>
      <c r="BO293" s="1" t="s">
        <v>457</v>
      </c>
      <c r="BP293" s="1" t="s">
        <v>849</v>
      </c>
    </row>
    <row r="294" spans="1:68" ht="15.6">
      <c r="A294" s="250" t="s">
        <v>451</v>
      </c>
      <c r="B294" s="59" t="s">
        <v>221</v>
      </c>
      <c r="C294" s="354" t="s">
        <v>172</v>
      </c>
      <c r="D294" s="419"/>
      <c r="E294" s="281" t="s">
        <v>332</v>
      </c>
      <c r="F294" s="422"/>
      <c r="G294" s="317" t="s">
        <v>239</v>
      </c>
      <c r="H294" s="323" t="s">
        <v>240</v>
      </c>
      <c r="I294" s="332" t="s">
        <v>249</v>
      </c>
      <c r="J294" s="331" t="s">
        <v>241</v>
      </c>
      <c r="K294" s="323" t="s">
        <v>422</v>
      </c>
      <c r="L294" s="323" t="s">
        <v>344</v>
      </c>
      <c r="M294" s="303" t="s">
        <v>474</v>
      </c>
      <c r="N294" s="303">
        <v>10.9</v>
      </c>
      <c r="O294" s="303">
        <v>11.5</v>
      </c>
      <c r="P294" s="303">
        <v>11.5</v>
      </c>
      <c r="Q294" s="303">
        <v>11.5</v>
      </c>
      <c r="R294" s="303">
        <v>11.5</v>
      </c>
      <c r="S294" s="303">
        <v>11.5</v>
      </c>
      <c r="T294" s="303">
        <v>11.5</v>
      </c>
      <c r="U294" s="303">
        <v>11.5</v>
      </c>
      <c r="V294" s="303">
        <v>11.5</v>
      </c>
      <c r="W294" s="303">
        <v>11.5</v>
      </c>
      <c r="X294" s="303">
        <v>11.5</v>
      </c>
      <c r="Y294" s="303">
        <v>11.5</v>
      </c>
      <c r="Z294" s="303">
        <v>11.5</v>
      </c>
      <c r="AA294" s="303">
        <v>11.5</v>
      </c>
      <c r="AB294" s="304">
        <v>0.6</v>
      </c>
      <c r="AC294" s="304">
        <v>0.6</v>
      </c>
      <c r="AD294" s="304">
        <v>0.6</v>
      </c>
      <c r="AE294" s="304">
        <v>0.6</v>
      </c>
      <c r="AF294" s="304">
        <v>0.6</v>
      </c>
      <c r="AG294" s="304">
        <v>0.6</v>
      </c>
      <c r="AH294" s="304">
        <v>0.6</v>
      </c>
      <c r="AI294" s="304">
        <v>0.6</v>
      </c>
      <c r="AJ294" s="304">
        <v>0.6</v>
      </c>
      <c r="AK294" s="304">
        <v>0.6</v>
      </c>
      <c r="AL294" s="304">
        <v>0.6</v>
      </c>
      <c r="AM294" s="304">
        <v>0.6</v>
      </c>
      <c r="AN294" s="304">
        <v>0.6</v>
      </c>
      <c r="AO294" s="260">
        <v>360</v>
      </c>
      <c r="AP294" s="254">
        <f t="shared" si="147"/>
        <v>216</v>
      </c>
      <c r="AQ294" s="260"/>
      <c r="AR294" s="254">
        <f t="shared" si="148"/>
        <v>0</v>
      </c>
      <c r="AS294" s="261"/>
      <c r="AT294" s="254">
        <f t="shared" si="149"/>
        <v>0</v>
      </c>
      <c r="AU294" s="256"/>
      <c r="AV294" s="257">
        <f t="shared" si="153"/>
        <v>0</v>
      </c>
      <c r="AW294" s="382"/>
      <c r="AX294" s="257">
        <f t="shared" si="150"/>
        <v>0</v>
      </c>
      <c r="AY294" s="268"/>
      <c r="AZ294" s="257">
        <f t="shared" si="154"/>
        <v>0</v>
      </c>
      <c r="BA294" s="268"/>
      <c r="BB294" s="257">
        <f t="shared" si="151"/>
        <v>0</v>
      </c>
      <c r="BC294" s="268"/>
      <c r="BD294" s="257">
        <f t="shared" si="155"/>
        <v>0</v>
      </c>
      <c r="BE294" s="268"/>
      <c r="BF294" s="257">
        <f t="shared" si="156"/>
        <v>0</v>
      </c>
      <c r="BG294" s="59"/>
      <c r="BH294" s="257">
        <f t="shared" si="157"/>
        <v>0</v>
      </c>
      <c r="BI294" s="268"/>
      <c r="BJ294" s="257">
        <f t="shared" si="158"/>
        <v>0</v>
      </c>
      <c r="BK294" s="268"/>
      <c r="BL294" s="257">
        <f t="shared" si="152"/>
        <v>0</v>
      </c>
      <c r="BM294" s="1" t="s">
        <v>850</v>
      </c>
      <c r="BO294" s="1" t="s">
        <v>457</v>
      </c>
      <c r="BP294" s="1" t="s">
        <v>851</v>
      </c>
    </row>
    <row r="295" spans="1:68" ht="15.6">
      <c r="A295" s="250" t="s">
        <v>451</v>
      </c>
      <c r="B295" s="59" t="s">
        <v>221</v>
      </c>
      <c r="C295" s="354" t="s">
        <v>172</v>
      </c>
      <c r="D295" s="419"/>
      <c r="E295" s="281" t="s">
        <v>332</v>
      </c>
      <c r="F295" s="422"/>
      <c r="G295" s="317" t="s">
        <v>239</v>
      </c>
      <c r="H295" s="323" t="s">
        <v>240</v>
      </c>
      <c r="I295" s="327" t="s">
        <v>249</v>
      </c>
      <c r="J295" s="331" t="s">
        <v>241</v>
      </c>
      <c r="K295" s="323" t="s">
        <v>423</v>
      </c>
      <c r="L295" s="323" t="s">
        <v>344</v>
      </c>
      <c r="M295" s="303" t="s">
        <v>474</v>
      </c>
      <c r="N295" s="303">
        <v>10.9</v>
      </c>
      <c r="O295" s="303">
        <v>11.5</v>
      </c>
      <c r="P295" s="303">
        <v>11.5</v>
      </c>
      <c r="Q295" s="303">
        <v>11.5</v>
      </c>
      <c r="R295" s="303">
        <v>11.5</v>
      </c>
      <c r="S295" s="303">
        <v>11.5</v>
      </c>
      <c r="T295" s="303">
        <v>11.5</v>
      </c>
      <c r="U295" s="303">
        <v>11.5</v>
      </c>
      <c r="V295" s="303">
        <v>11.5</v>
      </c>
      <c r="W295" s="303">
        <v>11.5</v>
      </c>
      <c r="X295" s="303">
        <v>11.5</v>
      </c>
      <c r="Y295" s="303">
        <v>11.5</v>
      </c>
      <c r="Z295" s="303">
        <v>11.5</v>
      </c>
      <c r="AA295" s="303">
        <v>11.5</v>
      </c>
      <c r="AB295" s="304">
        <v>0.6</v>
      </c>
      <c r="AC295" s="304">
        <v>0.6</v>
      </c>
      <c r="AD295" s="304">
        <v>0.6</v>
      </c>
      <c r="AE295" s="304">
        <v>0.6</v>
      </c>
      <c r="AF295" s="304">
        <v>0.6</v>
      </c>
      <c r="AG295" s="304">
        <v>0.6</v>
      </c>
      <c r="AH295" s="304">
        <v>0.6</v>
      </c>
      <c r="AI295" s="304">
        <v>0.6</v>
      </c>
      <c r="AJ295" s="304">
        <v>0.6</v>
      </c>
      <c r="AK295" s="304">
        <v>0.6</v>
      </c>
      <c r="AL295" s="304">
        <v>0.6</v>
      </c>
      <c r="AM295" s="304">
        <v>0.6</v>
      </c>
      <c r="AN295" s="304">
        <v>0.6</v>
      </c>
      <c r="AO295" s="260"/>
      <c r="AP295" s="254">
        <f t="shared" si="147"/>
        <v>0</v>
      </c>
      <c r="AQ295" s="260"/>
      <c r="AR295" s="254">
        <f t="shared" si="148"/>
        <v>0</v>
      </c>
      <c r="AS295" s="261"/>
      <c r="AT295" s="254">
        <f t="shared" si="149"/>
        <v>0</v>
      </c>
      <c r="AU295" s="256"/>
      <c r="AV295" s="257">
        <f t="shared" si="153"/>
        <v>0</v>
      </c>
      <c r="AW295" s="382"/>
      <c r="AX295" s="257">
        <f t="shared" si="150"/>
        <v>0</v>
      </c>
      <c r="AY295" s="268"/>
      <c r="AZ295" s="257">
        <f t="shared" si="154"/>
        <v>0</v>
      </c>
      <c r="BA295" s="268"/>
      <c r="BB295" s="257">
        <f t="shared" si="151"/>
        <v>0</v>
      </c>
      <c r="BC295" s="268"/>
      <c r="BD295" s="257">
        <f t="shared" si="155"/>
        <v>0</v>
      </c>
      <c r="BE295" s="268"/>
      <c r="BF295" s="257">
        <f t="shared" si="156"/>
        <v>0</v>
      </c>
      <c r="BG295" s="59"/>
      <c r="BH295" s="257">
        <f t="shared" si="157"/>
        <v>0</v>
      </c>
      <c r="BI295" s="268"/>
      <c r="BJ295" s="257">
        <f t="shared" si="158"/>
        <v>0</v>
      </c>
      <c r="BK295" s="268"/>
      <c r="BL295" s="257">
        <f t="shared" si="152"/>
        <v>0</v>
      </c>
      <c r="BM295" s="1" t="s">
        <v>852</v>
      </c>
      <c r="BO295" s="1" t="s">
        <v>457</v>
      </c>
      <c r="BP295" s="1" t="s">
        <v>853</v>
      </c>
    </row>
    <row r="296" spans="1:68" ht="15.6">
      <c r="A296" s="250" t="s">
        <v>451</v>
      </c>
      <c r="B296" s="59" t="s">
        <v>221</v>
      </c>
      <c r="C296" s="354" t="s">
        <v>172</v>
      </c>
      <c r="D296" s="419"/>
      <c r="E296" s="281" t="s">
        <v>332</v>
      </c>
      <c r="F296" s="422"/>
      <c r="G296" s="351" t="s">
        <v>239</v>
      </c>
      <c r="H296" s="323" t="s">
        <v>240</v>
      </c>
      <c r="I296" s="324" t="s">
        <v>183</v>
      </c>
      <c r="J296" s="325" t="s">
        <v>241</v>
      </c>
      <c r="K296" s="323" t="s">
        <v>243</v>
      </c>
      <c r="L296" s="323" t="s">
        <v>464</v>
      </c>
      <c r="M296" s="303" t="s">
        <v>513</v>
      </c>
      <c r="N296" s="303">
        <v>8.6</v>
      </c>
      <c r="O296" s="303">
        <v>9.8000000000000007</v>
      </c>
      <c r="P296" s="303">
        <v>10.5</v>
      </c>
      <c r="Q296" s="303">
        <v>10.5</v>
      </c>
      <c r="R296" s="303">
        <v>10.5</v>
      </c>
      <c r="S296" s="303">
        <v>10.5</v>
      </c>
      <c r="T296" s="303">
        <v>10.5</v>
      </c>
      <c r="U296" s="303">
        <v>10.5</v>
      </c>
      <c r="V296" s="303">
        <v>10.5</v>
      </c>
      <c r="W296" s="303">
        <v>10.5</v>
      </c>
      <c r="X296" s="303">
        <v>10.5</v>
      </c>
      <c r="Y296" s="303">
        <v>9.8000000000000007</v>
      </c>
      <c r="Z296" s="303">
        <v>9.8000000000000007</v>
      </c>
      <c r="AA296" s="303">
        <v>9.8000000000000007</v>
      </c>
      <c r="AB296" s="304">
        <v>2.0499999999999998</v>
      </c>
      <c r="AC296" s="304">
        <v>2.0499999999999998</v>
      </c>
      <c r="AD296" s="304">
        <v>2.0499999999999998</v>
      </c>
      <c r="AE296" s="304">
        <v>2.0499999999999998</v>
      </c>
      <c r="AF296" s="304">
        <v>2.0499999999999998</v>
      </c>
      <c r="AG296" s="304">
        <v>2.0499999999999998</v>
      </c>
      <c r="AH296" s="304">
        <v>2.0499999999999998</v>
      </c>
      <c r="AI296" s="304">
        <v>2.0499999999999998</v>
      </c>
      <c r="AJ296" s="304">
        <v>2.0499999999999998</v>
      </c>
      <c r="AK296" s="304">
        <v>2.0499999999999998</v>
      </c>
      <c r="AL296" s="304">
        <v>2.6</v>
      </c>
      <c r="AM296" s="304">
        <v>2.6</v>
      </c>
      <c r="AN296" s="304">
        <v>2.6</v>
      </c>
      <c r="AO296" s="260"/>
      <c r="AP296" s="254">
        <f t="shared" si="147"/>
        <v>0</v>
      </c>
      <c r="AQ296" s="260">
        <v>6800</v>
      </c>
      <c r="AR296" s="254">
        <f t="shared" si="148"/>
        <v>13939.999999999998</v>
      </c>
      <c r="AS296" s="260">
        <v>4320</v>
      </c>
      <c r="AT296" s="254">
        <f t="shared" si="149"/>
        <v>8856</v>
      </c>
      <c r="AU296" s="260">
        <v>2520</v>
      </c>
      <c r="AV296" s="257">
        <f t="shared" si="153"/>
        <v>5166</v>
      </c>
      <c r="AW296" s="383">
        <v>6600</v>
      </c>
      <c r="AX296" s="257">
        <f t="shared" si="150"/>
        <v>13529.999999999998</v>
      </c>
      <c r="AY296" s="392">
        <v>960</v>
      </c>
      <c r="AZ296" s="257">
        <f t="shared" si="154"/>
        <v>1967.9999999999998</v>
      </c>
      <c r="BA296" s="260"/>
      <c r="BB296" s="257">
        <f t="shared" si="151"/>
        <v>0</v>
      </c>
      <c r="BC296" s="260">
        <v>1120</v>
      </c>
      <c r="BD296" s="257">
        <f t="shared" si="155"/>
        <v>2296</v>
      </c>
      <c r="BE296" s="268">
        <v>120</v>
      </c>
      <c r="BF296" s="257">
        <f t="shared" si="156"/>
        <v>245.99999999999997</v>
      </c>
      <c r="BG296" s="256"/>
      <c r="BH296" s="257">
        <f t="shared" si="157"/>
        <v>0</v>
      </c>
      <c r="BI296" s="268"/>
      <c r="BJ296" s="257">
        <f t="shared" si="158"/>
        <v>0</v>
      </c>
      <c r="BK296" s="268"/>
      <c r="BL296" s="257">
        <f t="shared" si="152"/>
        <v>0</v>
      </c>
      <c r="BM296" s="1" t="s">
        <v>836</v>
      </c>
      <c r="BO296" s="1" t="s">
        <v>457</v>
      </c>
      <c r="BP296" s="1" t="s">
        <v>837</v>
      </c>
    </row>
    <row r="297" spans="1:68" ht="15.6">
      <c r="A297" s="250" t="s">
        <v>451</v>
      </c>
      <c r="B297" s="59" t="s">
        <v>221</v>
      </c>
      <c r="C297" s="354" t="s">
        <v>172</v>
      </c>
      <c r="D297" s="419"/>
      <c r="E297" s="281" t="s">
        <v>332</v>
      </c>
      <c r="F297" s="422"/>
      <c r="G297" s="351" t="s">
        <v>239</v>
      </c>
      <c r="H297" s="323" t="s">
        <v>240</v>
      </c>
      <c r="I297" s="324" t="s">
        <v>183</v>
      </c>
      <c r="J297" s="325" t="s">
        <v>241</v>
      </c>
      <c r="K297" s="323" t="s">
        <v>243</v>
      </c>
      <c r="L297" s="323" t="s">
        <v>464</v>
      </c>
      <c r="M297" s="303" t="s">
        <v>513</v>
      </c>
      <c r="N297" s="303">
        <v>8.6</v>
      </c>
      <c r="O297" s="303">
        <v>9.8000000000000007</v>
      </c>
      <c r="P297" s="303">
        <v>10.5</v>
      </c>
      <c r="Q297" s="303">
        <v>10.5</v>
      </c>
      <c r="R297" s="303">
        <v>10.5</v>
      </c>
      <c r="S297" s="303">
        <v>10.5</v>
      </c>
      <c r="T297" s="303">
        <v>10.5</v>
      </c>
      <c r="U297" s="303">
        <v>10.5</v>
      </c>
      <c r="V297" s="303">
        <v>10.5</v>
      </c>
      <c r="W297" s="303">
        <v>10.5</v>
      </c>
      <c r="X297" s="303">
        <v>10.5</v>
      </c>
      <c r="Y297" s="303">
        <v>9.8000000000000007</v>
      </c>
      <c r="Z297" s="303">
        <v>9.8000000000000007</v>
      </c>
      <c r="AA297" s="303">
        <v>9.8000000000000007</v>
      </c>
      <c r="AB297" s="304">
        <v>2.0499999999999998</v>
      </c>
      <c r="AC297" s="304">
        <v>2.0499999999999998</v>
      </c>
      <c r="AD297" s="304">
        <v>2.0499999999999998</v>
      </c>
      <c r="AE297" s="304">
        <v>2.0499999999999998</v>
      </c>
      <c r="AF297" s="304">
        <v>2.0499999999999998</v>
      </c>
      <c r="AG297" s="304">
        <v>2.0499999999999998</v>
      </c>
      <c r="AH297" s="304">
        <v>2.0499999999999998</v>
      </c>
      <c r="AI297" s="304">
        <v>2.0499999999999998</v>
      </c>
      <c r="AJ297" s="304">
        <v>2.0499999999999998</v>
      </c>
      <c r="AK297" s="304">
        <v>2.0499999999999998</v>
      </c>
      <c r="AL297" s="304">
        <v>2.6</v>
      </c>
      <c r="AM297" s="304">
        <v>2.6</v>
      </c>
      <c r="AN297" s="304">
        <v>2.6</v>
      </c>
      <c r="AO297" s="260"/>
      <c r="AP297" s="254">
        <f t="shared" si="147"/>
        <v>0</v>
      </c>
      <c r="AQ297" s="260">
        <v>680</v>
      </c>
      <c r="AR297" s="254">
        <f t="shared" si="148"/>
        <v>1393.9999999999998</v>
      </c>
      <c r="AS297" s="260"/>
      <c r="AT297" s="254">
        <f t="shared" si="149"/>
        <v>0</v>
      </c>
      <c r="AU297" s="260">
        <v>8840</v>
      </c>
      <c r="AV297" s="257">
        <f t="shared" si="153"/>
        <v>18122</v>
      </c>
      <c r="AW297" s="383">
        <v>16040</v>
      </c>
      <c r="AX297" s="257">
        <f t="shared" si="150"/>
        <v>32882</v>
      </c>
      <c r="AY297" s="392">
        <v>9800</v>
      </c>
      <c r="AZ297" s="257">
        <f t="shared" si="154"/>
        <v>20090</v>
      </c>
      <c r="BA297" s="260">
        <v>13680</v>
      </c>
      <c r="BB297" s="257">
        <f t="shared" si="151"/>
        <v>28043.999999999996</v>
      </c>
      <c r="BC297" s="260">
        <v>9040</v>
      </c>
      <c r="BD297" s="257">
        <f t="shared" si="155"/>
        <v>18532</v>
      </c>
      <c r="BE297" s="268">
        <v>8920</v>
      </c>
      <c r="BF297" s="257">
        <f t="shared" si="156"/>
        <v>18286</v>
      </c>
      <c r="BG297" s="256">
        <v>11560</v>
      </c>
      <c r="BH297" s="257">
        <f t="shared" si="157"/>
        <v>30056</v>
      </c>
      <c r="BI297" s="268">
        <v>24038</v>
      </c>
      <c r="BJ297" s="257">
        <f t="shared" si="158"/>
        <v>62498.8</v>
      </c>
      <c r="BK297" s="268">
        <v>19599</v>
      </c>
      <c r="BL297" s="257">
        <f t="shared" si="152"/>
        <v>50957.4</v>
      </c>
      <c r="BM297" s="1" t="s">
        <v>838</v>
      </c>
      <c r="BN297" s="1" t="s">
        <v>532</v>
      </c>
      <c r="BO297" s="1" t="s">
        <v>457</v>
      </c>
      <c r="BP297" s="1" t="s">
        <v>839</v>
      </c>
    </row>
    <row r="298" spans="1:68" ht="15.6">
      <c r="A298" s="250" t="s">
        <v>451</v>
      </c>
      <c r="B298" s="59" t="s">
        <v>221</v>
      </c>
      <c r="C298" s="354" t="s">
        <v>172</v>
      </c>
      <c r="D298" s="419"/>
      <c r="E298" s="281" t="s">
        <v>332</v>
      </c>
      <c r="F298" s="422"/>
      <c r="G298" s="351" t="s">
        <v>239</v>
      </c>
      <c r="H298" s="323" t="s">
        <v>240</v>
      </c>
      <c r="I298" s="330" t="s">
        <v>190</v>
      </c>
      <c r="J298" s="325" t="s">
        <v>241</v>
      </c>
      <c r="K298" s="323" t="s">
        <v>243</v>
      </c>
      <c r="L298" s="323" t="s">
        <v>464</v>
      </c>
      <c r="M298" s="303" t="s">
        <v>513</v>
      </c>
      <c r="N298" s="303">
        <v>2.8</v>
      </c>
      <c r="O298" s="303">
        <v>3.7</v>
      </c>
      <c r="P298" s="303">
        <v>3.8</v>
      </c>
      <c r="Q298" s="303">
        <v>3.8</v>
      </c>
      <c r="R298" s="303">
        <v>3.8</v>
      </c>
      <c r="S298" s="303">
        <v>3.8</v>
      </c>
      <c r="T298" s="303">
        <v>3.8</v>
      </c>
      <c r="U298" s="303">
        <v>3.8</v>
      </c>
      <c r="V298" s="303">
        <v>3.8</v>
      </c>
      <c r="W298" s="303">
        <v>3.8</v>
      </c>
      <c r="X298" s="303">
        <v>3.7</v>
      </c>
      <c r="Y298" s="303">
        <v>3.7</v>
      </c>
      <c r="Z298" s="303">
        <v>3.7</v>
      </c>
      <c r="AA298" s="303">
        <v>3.7</v>
      </c>
      <c r="AB298" s="304">
        <v>0.85</v>
      </c>
      <c r="AC298" s="304">
        <v>0.95</v>
      </c>
      <c r="AD298" s="304">
        <v>0.95</v>
      </c>
      <c r="AE298" s="304">
        <v>0.95</v>
      </c>
      <c r="AF298" s="304">
        <v>0.95</v>
      </c>
      <c r="AG298" s="304">
        <v>0.95</v>
      </c>
      <c r="AH298" s="304">
        <v>0.95</v>
      </c>
      <c r="AI298" s="304">
        <v>0.95</v>
      </c>
      <c r="AJ298" s="304">
        <v>0.95</v>
      </c>
      <c r="AK298" s="304">
        <v>0.85</v>
      </c>
      <c r="AL298" s="304">
        <v>0.85</v>
      </c>
      <c r="AM298" s="304">
        <v>0.85</v>
      </c>
      <c r="AN298" s="304">
        <v>0.85</v>
      </c>
      <c r="AO298" s="260"/>
      <c r="AP298" s="254">
        <f t="shared" si="147"/>
        <v>0</v>
      </c>
      <c r="AQ298" s="260">
        <v>9678</v>
      </c>
      <c r="AR298" s="254">
        <f t="shared" si="148"/>
        <v>9194.1</v>
      </c>
      <c r="AS298" s="260">
        <v>720</v>
      </c>
      <c r="AT298" s="254">
        <f t="shared" si="149"/>
        <v>684</v>
      </c>
      <c r="AU298" s="260">
        <v>1320</v>
      </c>
      <c r="AV298" s="257">
        <f t="shared" si="153"/>
        <v>1254</v>
      </c>
      <c r="AW298" s="383">
        <v>3600</v>
      </c>
      <c r="AX298" s="257">
        <f t="shared" si="150"/>
        <v>3420</v>
      </c>
      <c r="AY298" s="392">
        <v>40</v>
      </c>
      <c r="AZ298" s="257">
        <f t="shared" si="154"/>
        <v>38</v>
      </c>
      <c r="BA298" s="260">
        <v>1000</v>
      </c>
      <c r="BB298" s="257">
        <f t="shared" si="151"/>
        <v>950</v>
      </c>
      <c r="BC298" s="260">
        <v>960</v>
      </c>
      <c r="BD298" s="257">
        <f t="shared" si="155"/>
        <v>912</v>
      </c>
      <c r="BE298" s="268"/>
      <c r="BF298" s="257">
        <f t="shared" si="156"/>
        <v>0</v>
      </c>
      <c r="BG298" s="256">
        <v>200</v>
      </c>
      <c r="BH298" s="257">
        <f t="shared" si="157"/>
        <v>170</v>
      </c>
      <c r="BI298" s="268">
        <v>640</v>
      </c>
      <c r="BJ298" s="257">
        <f t="shared" si="158"/>
        <v>544</v>
      </c>
      <c r="BK298" s="268">
        <v>240</v>
      </c>
      <c r="BL298" s="257">
        <f t="shared" si="152"/>
        <v>204</v>
      </c>
      <c r="BM298" s="1" t="s">
        <v>840</v>
      </c>
      <c r="BO298" s="1" t="s">
        <v>457</v>
      </c>
      <c r="BP298" s="1" t="s">
        <v>841</v>
      </c>
    </row>
    <row r="299" spans="1:68" ht="15.6">
      <c r="A299" s="250" t="s">
        <v>451</v>
      </c>
      <c r="B299" s="59" t="s">
        <v>221</v>
      </c>
      <c r="C299" s="354" t="s">
        <v>172</v>
      </c>
      <c r="D299" s="419"/>
      <c r="E299" s="281" t="s">
        <v>332</v>
      </c>
      <c r="F299" s="422"/>
      <c r="G299" s="351" t="s">
        <v>239</v>
      </c>
      <c r="H299" s="323" t="s">
        <v>240</v>
      </c>
      <c r="I299" s="330" t="s">
        <v>190</v>
      </c>
      <c r="J299" s="325" t="s">
        <v>241</v>
      </c>
      <c r="K299" s="323" t="s">
        <v>243</v>
      </c>
      <c r="L299" s="323" t="s">
        <v>464</v>
      </c>
      <c r="M299" s="303" t="s">
        <v>513</v>
      </c>
      <c r="N299" s="303">
        <v>2.8</v>
      </c>
      <c r="O299" s="303">
        <v>3.7</v>
      </c>
      <c r="P299" s="303">
        <v>3.8</v>
      </c>
      <c r="Q299" s="303">
        <v>3.8</v>
      </c>
      <c r="R299" s="303">
        <v>3.8</v>
      </c>
      <c r="S299" s="303">
        <v>3.8</v>
      </c>
      <c r="T299" s="303">
        <v>3.8</v>
      </c>
      <c r="U299" s="303">
        <v>3.8</v>
      </c>
      <c r="V299" s="303">
        <v>3.8</v>
      </c>
      <c r="W299" s="303">
        <v>3.8</v>
      </c>
      <c r="X299" s="303">
        <v>3.7</v>
      </c>
      <c r="Y299" s="303">
        <v>3.7</v>
      </c>
      <c r="Z299" s="303">
        <v>3.7</v>
      </c>
      <c r="AA299" s="303">
        <v>3.7</v>
      </c>
      <c r="AB299" s="304">
        <v>0.85</v>
      </c>
      <c r="AC299" s="304">
        <v>0.95</v>
      </c>
      <c r="AD299" s="304">
        <v>0.95</v>
      </c>
      <c r="AE299" s="304">
        <v>0.95</v>
      </c>
      <c r="AF299" s="304">
        <v>0.95</v>
      </c>
      <c r="AG299" s="304">
        <v>0.95</v>
      </c>
      <c r="AH299" s="304">
        <v>0.95</v>
      </c>
      <c r="AI299" s="304">
        <v>0.95</v>
      </c>
      <c r="AJ299" s="304">
        <v>0.95</v>
      </c>
      <c r="AK299" s="304">
        <v>0.85</v>
      </c>
      <c r="AL299" s="304">
        <v>0.85</v>
      </c>
      <c r="AM299" s="304">
        <v>0.85</v>
      </c>
      <c r="AN299" s="304">
        <v>0.85</v>
      </c>
      <c r="AO299" s="260"/>
      <c r="AP299" s="254">
        <f t="shared" si="147"/>
        <v>0</v>
      </c>
      <c r="AQ299" s="260"/>
      <c r="AR299" s="254">
        <f t="shared" si="148"/>
        <v>0</v>
      </c>
      <c r="AS299" s="260"/>
      <c r="AT299" s="254">
        <f t="shared" si="149"/>
        <v>0</v>
      </c>
      <c r="AU299" s="260">
        <v>440</v>
      </c>
      <c r="AV299" s="257">
        <f t="shared" si="153"/>
        <v>418</v>
      </c>
      <c r="AW299" s="383">
        <v>5320</v>
      </c>
      <c r="AX299" s="257">
        <f t="shared" si="150"/>
        <v>5054</v>
      </c>
      <c r="AY299" s="392">
        <v>12200</v>
      </c>
      <c r="AZ299" s="257">
        <f t="shared" si="154"/>
        <v>11590</v>
      </c>
      <c r="BA299" s="260">
        <v>2640</v>
      </c>
      <c r="BB299" s="257">
        <f t="shared" si="151"/>
        <v>2508</v>
      </c>
      <c r="BC299" s="260">
        <v>20280</v>
      </c>
      <c r="BD299" s="257">
        <f t="shared" si="155"/>
        <v>19266</v>
      </c>
      <c r="BE299" s="268">
        <v>3280</v>
      </c>
      <c r="BF299" s="257">
        <f t="shared" si="156"/>
        <v>2788</v>
      </c>
      <c r="BG299" s="256">
        <v>15080</v>
      </c>
      <c r="BH299" s="257">
        <f t="shared" si="157"/>
        <v>12818</v>
      </c>
      <c r="BI299" s="268">
        <v>13280</v>
      </c>
      <c r="BJ299" s="257">
        <f t="shared" si="158"/>
        <v>11288</v>
      </c>
      <c r="BK299" s="268">
        <v>5920</v>
      </c>
      <c r="BL299" s="257">
        <f t="shared" si="152"/>
        <v>5032</v>
      </c>
      <c r="BM299" s="1" t="s">
        <v>842</v>
      </c>
      <c r="BN299" s="1" t="s">
        <v>532</v>
      </c>
      <c r="BO299" s="1" t="s">
        <v>457</v>
      </c>
      <c r="BP299" s="1" t="s">
        <v>843</v>
      </c>
    </row>
    <row r="300" spans="1:68" ht="15.6">
      <c r="A300" s="250" t="s">
        <v>451</v>
      </c>
      <c r="B300" s="59" t="s">
        <v>221</v>
      </c>
      <c r="C300" s="354" t="s">
        <v>172</v>
      </c>
      <c r="D300" s="419"/>
      <c r="E300" s="281" t="s">
        <v>332</v>
      </c>
      <c r="F300" s="422"/>
      <c r="G300" s="317" t="s">
        <v>239</v>
      </c>
      <c r="H300" s="323" t="s">
        <v>240</v>
      </c>
      <c r="I300" s="332" t="s">
        <v>249</v>
      </c>
      <c r="J300" s="331" t="s">
        <v>241</v>
      </c>
      <c r="K300" s="323" t="s">
        <v>422</v>
      </c>
      <c r="L300" s="323" t="s">
        <v>464</v>
      </c>
      <c r="M300" s="303" t="s">
        <v>513</v>
      </c>
      <c r="N300" s="303">
        <v>10.9</v>
      </c>
      <c r="O300" s="303">
        <v>11.5</v>
      </c>
      <c r="P300" s="303">
        <v>11.5</v>
      </c>
      <c r="Q300" s="303">
        <v>11.5</v>
      </c>
      <c r="R300" s="303">
        <v>11.5</v>
      </c>
      <c r="S300" s="303">
        <v>11.5</v>
      </c>
      <c r="T300" s="303">
        <v>11.5</v>
      </c>
      <c r="U300" s="303">
        <v>11.5</v>
      </c>
      <c r="V300" s="303">
        <v>11.5</v>
      </c>
      <c r="W300" s="303">
        <v>11.5</v>
      </c>
      <c r="X300" s="303">
        <v>11.5</v>
      </c>
      <c r="Y300" s="303">
        <v>11.5</v>
      </c>
      <c r="Z300" s="303">
        <v>11.5</v>
      </c>
      <c r="AA300" s="303">
        <v>11.5</v>
      </c>
      <c r="AB300" s="304">
        <v>0.6</v>
      </c>
      <c r="AC300" s="304">
        <v>0.6</v>
      </c>
      <c r="AD300" s="304">
        <v>0.6</v>
      </c>
      <c r="AE300" s="304">
        <v>0.6</v>
      </c>
      <c r="AF300" s="304">
        <v>0.6</v>
      </c>
      <c r="AG300" s="304">
        <v>0.6</v>
      </c>
      <c r="AH300" s="304">
        <v>0.6</v>
      </c>
      <c r="AI300" s="304">
        <v>0.6</v>
      </c>
      <c r="AJ300" s="304">
        <v>0.6</v>
      </c>
      <c r="AK300" s="304">
        <v>0.6</v>
      </c>
      <c r="AL300" s="304">
        <v>0.6</v>
      </c>
      <c r="AM300" s="304">
        <v>0.6</v>
      </c>
      <c r="AN300" s="304">
        <v>0.6</v>
      </c>
      <c r="AO300" s="260"/>
      <c r="AP300" s="254">
        <f t="shared" si="147"/>
        <v>0</v>
      </c>
      <c r="AQ300" s="260">
        <v>440</v>
      </c>
      <c r="AR300" s="254">
        <f t="shared" si="148"/>
        <v>264</v>
      </c>
      <c r="AS300" s="260"/>
      <c r="AT300" s="254">
        <f t="shared" si="149"/>
        <v>0</v>
      </c>
      <c r="AU300" s="260">
        <v>200</v>
      </c>
      <c r="AV300" s="257">
        <f t="shared" si="153"/>
        <v>120</v>
      </c>
      <c r="AW300" s="383">
        <v>400</v>
      </c>
      <c r="AX300" s="257">
        <f t="shared" si="150"/>
        <v>240</v>
      </c>
      <c r="AY300" s="392"/>
      <c r="AZ300" s="257">
        <f t="shared" si="154"/>
        <v>0</v>
      </c>
      <c r="BA300" s="260"/>
      <c r="BB300" s="257">
        <f t="shared" si="151"/>
        <v>0</v>
      </c>
      <c r="BC300" s="260"/>
      <c r="BD300" s="257">
        <f t="shared" si="155"/>
        <v>0</v>
      </c>
      <c r="BE300" s="268"/>
      <c r="BF300" s="257">
        <f t="shared" si="156"/>
        <v>0</v>
      </c>
      <c r="BG300" s="256"/>
      <c r="BH300" s="257">
        <f t="shared" si="157"/>
        <v>0</v>
      </c>
      <c r="BI300" s="268"/>
      <c r="BJ300" s="257">
        <f t="shared" si="158"/>
        <v>0</v>
      </c>
      <c r="BK300" s="268"/>
      <c r="BL300" s="257">
        <f t="shared" si="152"/>
        <v>0</v>
      </c>
      <c r="BM300" s="1" t="s">
        <v>850</v>
      </c>
      <c r="BO300" s="1" t="s">
        <v>457</v>
      </c>
      <c r="BP300" s="1" t="s">
        <v>851</v>
      </c>
    </row>
    <row r="301" spans="1:68" ht="15.6">
      <c r="A301" s="250" t="s">
        <v>451</v>
      </c>
      <c r="B301" s="59" t="s">
        <v>221</v>
      </c>
      <c r="C301" s="354" t="s">
        <v>172</v>
      </c>
      <c r="D301" s="419"/>
      <c r="E301" s="281" t="s">
        <v>332</v>
      </c>
      <c r="F301" s="422"/>
      <c r="G301" s="317" t="s">
        <v>239</v>
      </c>
      <c r="H301" s="323" t="s">
        <v>240</v>
      </c>
      <c r="I301" s="327" t="s">
        <v>249</v>
      </c>
      <c r="J301" s="331" t="s">
        <v>241</v>
      </c>
      <c r="K301" s="323" t="s">
        <v>423</v>
      </c>
      <c r="L301" s="323" t="s">
        <v>464</v>
      </c>
      <c r="M301" s="303" t="s">
        <v>513</v>
      </c>
      <c r="N301" s="303">
        <v>10.9</v>
      </c>
      <c r="O301" s="303">
        <v>11.5</v>
      </c>
      <c r="P301" s="303">
        <v>11.5</v>
      </c>
      <c r="Q301" s="303">
        <v>11.5</v>
      </c>
      <c r="R301" s="303">
        <v>11.5</v>
      </c>
      <c r="S301" s="303">
        <v>11.5</v>
      </c>
      <c r="T301" s="303">
        <v>11.5</v>
      </c>
      <c r="U301" s="303">
        <v>11.5</v>
      </c>
      <c r="V301" s="303">
        <v>11.5</v>
      </c>
      <c r="W301" s="303">
        <v>11.5</v>
      </c>
      <c r="X301" s="303">
        <v>11.5</v>
      </c>
      <c r="Y301" s="303">
        <v>11.5</v>
      </c>
      <c r="Z301" s="303">
        <v>11.5</v>
      </c>
      <c r="AA301" s="303">
        <v>11.5</v>
      </c>
      <c r="AB301" s="304">
        <v>0.6</v>
      </c>
      <c r="AC301" s="304">
        <v>0.6</v>
      </c>
      <c r="AD301" s="304">
        <v>0.6</v>
      </c>
      <c r="AE301" s="304">
        <v>0.6</v>
      </c>
      <c r="AF301" s="304">
        <v>0.6</v>
      </c>
      <c r="AG301" s="304">
        <v>0.6</v>
      </c>
      <c r="AH301" s="304">
        <v>0.6</v>
      </c>
      <c r="AI301" s="304">
        <v>0.6</v>
      </c>
      <c r="AJ301" s="304">
        <v>0.6</v>
      </c>
      <c r="AK301" s="304">
        <v>0.6</v>
      </c>
      <c r="AL301" s="304">
        <v>0.6</v>
      </c>
      <c r="AM301" s="304">
        <v>0.6</v>
      </c>
      <c r="AN301" s="304">
        <v>0.6</v>
      </c>
      <c r="AO301" s="260"/>
      <c r="AP301" s="254">
        <f t="shared" si="147"/>
        <v>0</v>
      </c>
      <c r="AQ301" s="260">
        <v>560</v>
      </c>
      <c r="AR301" s="254">
        <f t="shared" si="148"/>
        <v>336</v>
      </c>
      <c r="AS301" s="260"/>
      <c r="AT301" s="254">
        <f t="shared" si="149"/>
        <v>0</v>
      </c>
      <c r="AU301" s="260"/>
      <c r="AV301" s="257">
        <f t="shared" si="153"/>
        <v>0</v>
      </c>
      <c r="AW301" s="383">
        <v>280</v>
      </c>
      <c r="AX301" s="257">
        <f t="shared" si="150"/>
        <v>168</v>
      </c>
      <c r="AY301" s="392"/>
      <c r="AZ301" s="257">
        <f t="shared" si="154"/>
        <v>0</v>
      </c>
      <c r="BA301" s="260"/>
      <c r="BB301" s="257">
        <f t="shared" si="151"/>
        <v>0</v>
      </c>
      <c r="BC301" s="260"/>
      <c r="BD301" s="257">
        <f t="shared" si="155"/>
        <v>0</v>
      </c>
      <c r="BE301" s="268"/>
      <c r="BF301" s="257">
        <f t="shared" si="156"/>
        <v>0</v>
      </c>
      <c r="BG301" s="256"/>
      <c r="BH301" s="257">
        <f t="shared" si="157"/>
        <v>0</v>
      </c>
      <c r="BI301" s="268"/>
      <c r="BJ301" s="257">
        <f t="shared" si="158"/>
        <v>0</v>
      </c>
      <c r="BK301" s="268"/>
      <c r="BL301" s="257">
        <f t="shared" si="152"/>
        <v>0</v>
      </c>
      <c r="BM301" s="1" t="s">
        <v>852</v>
      </c>
      <c r="BO301" s="1" t="s">
        <v>457</v>
      </c>
      <c r="BP301" s="1" t="s">
        <v>853</v>
      </c>
    </row>
    <row r="302" spans="1:68" ht="15.6">
      <c r="A302" s="250" t="s">
        <v>451</v>
      </c>
      <c r="B302" s="59" t="s">
        <v>221</v>
      </c>
      <c r="C302" s="354" t="s">
        <v>172</v>
      </c>
      <c r="D302" s="419"/>
      <c r="E302" s="281" t="s">
        <v>332</v>
      </c>
      <c r="F302" s="422"/>
      <c r="G302" s="317" t="s">
        <v>239</v>
      </c>
      <c r="H302" s="323" t="s">
        <v>240</v>
      </c>
      <c r="I302" s="327" t="s">
        <v>249</v>
      </c>
      <c r="J302" s="331" t="s">
        <v>241</v>
      </c>
      <c r="K302" s="323" t="s">
        <v>854</v>
      </c>
      <c r="L302" s="323" t="s">
        <v>464</v>
      </c>
      <c r="M302" s="303" t="s">
        <v>513</v>
      </c>
      <c r="N302" s="303">
        <v>8.6</v>
      </c>
      <c r="O302" s="303">
        <v>10.5</v>
      </c>
      <c r="P302" s="303">
        <v>10.5</v>
      </c>
      <c r="Q302" s="303">
        <v>10.5</v>
      </c>
      <c r="R302" s="303">
        <v>10.5</v>
      </c>
      <c r="S302" s="303">
        <v>10.5</v>
      </c>
      <c r="T302" s="303">
        <v>10.5</v>
      </c>
      <c r="U302" s="303">
        <v>10.5</v>
      </c>
      <c r="V302" s="303">
        <v>10.5</v>
      </c>
      <c r="W302" s="303">
        <v>10.5</v>
      </c>
      <c r="X302" s="303">
        <v>10.5</v>
      </c>
      <c r="Y302" s="303">
        <v>10.5</v>
      </c>
      <c r="Z302" s="303">
        <v>10.5</v>
      </c>
      <c r="AA302" s="303">
        <v>10.5</v>
      </c>
      <c r="AB302" s="304">
        <v>2.0499999999999998</v>
      </c>
      <c r="AC302" s="304">
        <v>2.0499999999999998</v>
      </c>
      <c r="AD302" s="304">
        <v>2.0499999999999998</v>
      </c>
      <c r="AE302" s="304">
        <v>2.0499999999999998</v>
      </c>
      <c r="AF302" s="304">
        <v>2.0499999999999998</v>
      </c>
      <c r="AG302" s="304">
        <v>2.0499999999999998</v>
      </c>
      <c r="AH302" s="304">
        <v>2.0499999999999998</v>
      </c>
      <c r="AI302" s="304">
        <v>2.0499999999999998</v>
      </c>
      <c r="AJ302" s="304">
        <v>2.0499999999999998</v>
      </c>
      <c r="AK302" s="304">
        <v>2.0499999999999998</v>
      </c>
      <c r="AL302" s="304">
        <v>2.0499999999999998</v>
      </c>
      <c r="AM302" s="304">
        <v>2.0499999999999998</v>
      </c>
      <c r="AN302" s="304">
        <v>2.0499999999999998</v>
      </c>
      <c r="AO302" s="260"/>
      <c r="AP302" s="254">
        <f t="shared" si="147"/>
        <v>0</v>
      </c>
      <c r="AQ302" s="260"/>
      <c r="AR302" s="254">
        <f t="shared" si="148"/>
        <v>0</v>
      </c>
      <c r="AS302" s="260"/>
      <c r="AT302" s="254">
        <f t="shared" si="149"/>
        <v>0</v>
      </c>
      <c r="AU302" s="260"/>
      <c r="AV302" s="257">
        <f t="shared" si="153"/>
        <v>0</v>
      </c>
      <c r="AW302" s="383"/>
      <c r="AX302" s="257">
        <f t="shared" si="150"/>
        <v>0</v>
      </c>
      <c r="AY302" s="392"/>
      <c r="AZ302" s="257">
        <f t="shared" si="154"/>
        <v>0</v>
      </c>
      <c r="BA302" s="260">
        <v>1920</v>
      </c>
      <c r="BB302" s="257">
        <f t="shared" si="151"/>
        <v>3935.9999999999995</v>
      </c>
      <c r="BC302" s="260">
        <v>80</v>
      </c>
      <c r="BD302" s="257">
        <f t="shared" si="155"/>
        <v>164</v>
      </c>
      <c r="BE302" s="268"/>
      <c r="BF302" s="257">
        <f t="shared" si="156"/>
        <v>0</v>
      </c>
      <c r="BG302" s="268">
        <v>4000</v>
      </c>
      <c r="BH302" s="257">
        <f t="shared" si="157"/>
        <v>8200</v>
      </c>
      <c r="BI302" s="268">
        <v>3120</v>
      </c>
      <c r="BJ302" s="257">
        <f t="shared" si="158"/>
        <v>6395.9999999999991</v>
      </c>
      <c r="BK302" s="268">
        <v>3400</v>
      </c>
      <c r="BL302" s="257">
        <f t="shared" si="152"/>
        <v>6969.9999999999991</v>
      </c>
      <c r="BM302" s="1" t="s">
        <v>855</v>
      </c>
      <c r="BN302" s="1" t="s">
        <v>532</v>
      </c>
      <c r="BO302" s="1" t="s">
        <v>457</v>
      </c>
      <c r="BP302" s="1" t="s">
        <v>856</v>
      </c>
    </row>
    <row r="303" spans="1:68" ht="15.6">
      <c r="A303" s="250" t="s">
        <v>451</v>
      </c>
      <c r="B303" s="59" t="s">
        <v>221</v>
      </c>
      <c r="C303" s="354" t="s">
        <v>172</v>
      </c>
      <c r="D303" s="419"/>
      <c r="E303" s="281" t="s">
        <v>332</v>
      </c>
      <c r="F303" s="422"/>
      <c r="G303" s="317" t="s">
        <v>239</v>
      </c>
      <c r="H303" s="323" t="s">
        <v>240</v>
      </c>
      <c r="I303" s="327" t="s">
        <v>249</v>
      </c>
      <c r="J303" s="331" t="s">
        <v>241</v>
      </c>
      <c r="K303" s="323" t="s">
        <v>857</v>
      </c>
      <c r="L303" s="323" t="s">
        <v>464</v>
      </c>
      <c r="M303" s="303" t="s">
        <v>513</v>
      </c>
      <c r="N303" s="303">
        <v>8.6</v>
      </c>
      <c r="O303" s="303">
        <v>10.5</v>
      </c>
      <c r="P303" s="303">
        <v>10.5</v>
      </c>
      <c r="Q303" s="303">
        <v>10.5</v>
      </c>
      <c r="R303" s="303">
        <v>10.5</v>
      </c>
      <c r="S303" s="303">
        <v>10.5</v>
      </c>
      <c r="T303" s="303">
        <v>10.5</v>
      </c>
      <c r="U303" s="303">
        <v>10.5</v>
      </c>
      <c r="V303" s="303">
        <v>10.5</v>
      </c>
      <c r="W303" s="303">
        <v>10.5</v>
      </c>
      <c r="X303" s="303">
        <v>10.5</v>
      </c>
      <c r="Y303" s="303">
        <v>10.5</v>
      </c>
      <c r="Z303" s="303">
        <v>10.5</v>
      </c>
      <c r="AA303" s="303">
        <v>10.5</v>
      </c>
      <c r="AB303" s="304">
        <v>2.0499999999999998</v>
      </c>
      <c r="AC303" s="304">
        <v>2.0499999999999998</v>
      </c>
      <c r="AD303" s="304">
        <v>2.0499999999999998</v>
      </c>
      <c r="AE303" s="304">
        <v>2.0499999999999998</v>
      </c>
      <c r="AF303" s="304">
        <v>2.0499999999999998</v>
      </c>
      <c r="AG303" s="304">
        <v>2.0499999999999998</v>
      </c>
      <c r="AH303" s="304">
        <v>2.0499999999999998</v>
      </c>
      <c r="AI303" s="304">
        <v>2.0499999999999998</v>
      </c>
      <c r="AJ303" s="304">
        <v>2.0499999999999998</v>
      </c>
      <c r="AK303" s="304">
        <v>2.0499999999999998</v>
      </c>
      <c r="AL303" s="304">
        <v>2.0499999999999998</v>
      </c>
      <c r="AM303" s="304">
        <v>2.0499999999999998</v>
      </c>
      <c r="AN303" s="304">
        <v>2.0499999999999998</v>
      </c>
      <c r="AO303" s="260"/>
      <c r="AP303" s="254">
        <f t="shared" si="147"/>
        <v>0</v>
      </c>
      <c r="AQ303" s="260"/>
      <c r="AR303" s="254">
        <f t="shared" si="148"/>
        <v>0</v>
      </c>
      <c r="AS303" s="260"/>
      <c r="AT303" s="254">
        <f t="shared" si="149"/>
        <v>0</v>
      </c>
      <c r="AU303" s="260"/>
      <c r="AV303" s="257">
        <f t="shared" si="153"/>
        <v>0</v>
      </c>
      <c r="AW303" s="383"/>
      <c r="AX303" s="257">
        <f t="shared" si="150"/>
        <v>0</v>
      </c>
      <c r="AY303" s="392"/>
      <c r="AZ303" s="257">
        <f t="shared" si="154"/>
        <v>0</v>
      </c>
      <c r="BA303" s="260">
        <v>1480</v>
      </c>
      <c r="BB303" s="257">
        <f t="shared" si="151"/>
        <v>3033.9999999999995</v>
      </c>
      <c r="BC303" s="260"/>
      <c r="BD303" s="257">
        <f t="shared" si="155"/>
        <v>0</v>
      </c>
      <c r="BE303" s="268">
        <v>120</v>
      </c>
      <c r="BF303" s="257">
        <f t="shared" si="156"/>
        <v>245.99999999999997</v>
      </c>
      <c r="BG303" s="268">
        <v>1600</v>
      </c>
      <c r="BH303" s="257">
        <f t="shared" si="157"/>
        <v>3279.9999999999995</v>
      </c>
      <c r="BI303" s="268">
        <v>2080</v>
      </c>
      <c r="BJ303" s="257">
        <f t="shared" si="158"/>
        <v>4264</v>
      </c>
      <c r="BK303" s="268">
        <v>3960</v>
      </c>
      <c r="BL303" s="257">
        <f t="shared" si="152"/>
        <v>8117.9999999999991</v>
      </c>
      <c r="BM303" s="1" t="s">
        <v>858</v>
      </c>
      <c r="BN303" s="1" t="s">
        <v>532</v>
      </c>
      <c r="BO303" s="1" t="s">
        <v>457</v>
      </c>
      <c r="BP303" s="1" t="s">
        <v>859</v>
      </c>
    </row>
    <row r="304" spans="1:68" ht="15.6">
      <c r="A304" s="250" t="s">
        <v>451</v>
      </c>
      <c r="B304" s="59" t="s">
        <v>221</v>
      </c>
      <c r="C304" s="354" t="s">
        <v>172</v>
      </c>
      <c r="D304" s="419"/>
      <c r="E304" s="281" t="s">
        <v>332</v>
      </c>
      <c r="F304" s="422"/>
      <c r="G304" s="317">
        <v>2023</v>
      </c>
      <c r="H304" s="323" t="s">
        <v>417</v>
      </c>
      <c r="I304" s="327" t="s">
        <v>190</v>
      </c>
      <c r="J304" s="331">
        <v>14</v>
      </c>
      <c r="K304" s="323" t="s">
        <v>637</v>
      </c>
      <c r="L304" s="323" t="s">
        <v>177</v>
      </c>
      <c r="M304" s="303" t="s">
        <v>474</v>
      </c>
      <c r="N304" s="303">
        <v>2.9</v>
      </c>
      <c r="O304" s="303">
        <v>3.75</v>
      </c>
      <c r="P304" s="303">
        <v>4.25</v>
      </c>
      <c r="Q304" s="303">
        <v>4.25</v>
      </c>
      <c r="R304" s="303">
        <v>4.25</v>
      </c>
      <c r="S304" s="303">
        <v>4.25</v>
      </c>
      <c r="T304" s="303">
        <v>4.25</v>
      </c>
      <c r="U304" s="303">
        <v>4.25</v>
      </c>
      <c r="V304" s="303">
        <v>4.25</v>
      </c>
      <c r="W304" s="303">
        <v>4.25</v>
      </c>
      <c r="X304" s="303">
        <v>3.75</v>
      </c>
      <c r="Y304" s="303">
        <v>3.75</v>
      </c>
      <c r="Z304" s="303">
        <v>3.75</v>
      </c>
      <c r="AA304" s="303">
        <v>3.75</v>
      </c>
      <c r="AB304" s="59">
        <v>0.55000000000000004</v>
      </c>
      <c r="AC304" s="59">
        <v>0.65</v>
      </c>
      <c r="AD304" s="59">
        <v>0.65</v>
      </c>
      <c r="AE304" s="59">
        <v>0.65</v>
      </c>
      <c r="AF304" s="59">
        <v>0.65</v>
      </c>
      <c r="AG304" s="59">
        <v>0.65</v>
      </c>
      <c r="AH304" s="59">
        <v>0.65</v>
      </c>
      <c r="AI304" s="59">
        <v>0.65</v>
      </c>
      <c r="AJ304" s="59">
        <v>0.65</v>
      </c>
      <c r="AK304" s="59">
        <v>0.55000000000000004</v>
      </c>
      <c r="AL304" s="59">
        <v>0.55000000000000004</v>
      </c>
      <c r="AM304" s="59">
        <v>0.55000000000000004</v>
      </c>
      <c r="AN304" s="59">
        <v>0.55000000000000004</v>
      </c>
      <c r="AO304" s="260">
        <v>3471</v>
      </c>
      <c r="AP304" s="254">
        <f t="shared" si="147"/>
        <v>2256.15</v>
      </c>
      <c r="AQ304" s="260">
        <v>11447</v>
      </c>
      <c r="AR304" s="254">
        <f t="shared" si="148"/>
        <v>7440.55</v>
      </c>
      <c r="AS304" s="261">
        <v>1160</v>
      </c>
      <c r="AT304" s="254">
        <f t="shared" si="149"/>
        <v>754</v>
      </c>
      <c r="AU304" s="261">
        <v>1560</v>
      </c>
      <c r="AV304" s="257">
        <f t="shared" si="153"/>
        <v>1014</v>
      </c>
      <c r="AW304" s="387">
        <v>7960</v>
      </c>
      <c r="AX304" s="257">
        <f t="shared" si="150"/>
        <v>5174</v>
      </c>
      <c r="AY304" s="389">
        <v>720</v>
      </c>
      <c r="AZ304" s="257">
        <f t="shared" si="154"/>
        <v>468</v>
      </c>
      <c r="BA304" s="261">
        <v>920</v>
      </c>
      <c r="BB304" s="257">
        <f t="shared" si="151"/>
        <v>598</v>
      </c>
      <c r="BC304" s="271">
        <v>5600</v>
      </c>
      <c r="BD304" s="257">
        <f t="shared" si="155"/>
        <v>3640</v>
      </c>
      <c r="BE304" s="268">
        <v>1360</v>
      </c>
      <c r="BF304" s="257">
        <f t="shared" si="156"/>
        <v>748.00000000000011</v>
      </c>
      <c r="BG304" s="268">
        <v>2800</v>
      </c>
      <c r="BH304" s="257">
        <f t="shared" si="157"/>
        <v>1540.0000000000002</v>
      </c>
      <c r="BI304" s="268">
        <v>11040</v>
      </c>
      <c r="BJ304" s="257">
        <f t="shared" si="158"/>
        <v>6072.0000000000009</v>
      </c>
      <c r="BK304" s="268">
        <v>4960</v>
      </c>
      <c r="BL304" s="257">
        <f t="shared" si="152"/>
        <v>2728</v>
      </c>
      <c r="BM304" s="1" t="s">
        <v>860</v>
      </c>
      <c r="BO304" s="1" t="s">
        <v>457</v>
      </c>
      <c r="BP304" s="378" t="s">
        <v>861</v>
      </c>
    </row>
    <row r="305" spans="1:68" ht="15.6">
      <c r="A305" s="250" t="s">
        <v>451</v>
      </c>
      <c r="B305" s="59" t="s">
        <v>221</v>
      </c>
      <c r="C305" s="354" t="s">
        <v>172</v>
      </c>
      <c r="D305" s="419"/>
      <c r="E305" s="281" t="s">
        <v>332</v>
      </c>
      <c r="F305" s="422"/>
      <c r="G305" s="317">
        <v>2023</v>
      </c>
      <c r="H305" s="323" t="s">
        <v>417</v>
      </c>
      <c r="I305" s="332" t="s">
        <v>183</v>
      </c>
      <c r="J305" s="331">
        <v>14</v>
      </c>
      <c r="K305" s="323" t="s">
        <v>210</v>
      </c>
      <c r="L305" s="323" t="s">
        <v>177</v>
      </c>
      <c r="M305" s="303" t="s">
        <v>474</v>
      </c>
      <c r="N305" s="303">
        <v>9.65</v>
      </c>
      <c r="O305" s="303">
        <v>9.4</v>
      </c>
      <c r="P305" s="303">
        <v>11.5</v>
      </c>
      <c r="Q305" s="303">
        <v>11.5</v>
      </c>
      <c r="R305" s="303">
        <v>11.5</v>
      </c>
      <c r="S305" s="303">
        <v>11.5</v>
      </c>
      <c r="T305" s="303">
        <v>11.5</v>
      </c>
      <c r="U305" s="303">
        <v>11.5</v>
      </c>
      <c r="V305" s="303">
        <v>11.5</v>
      </c>
      <c r="W305" s="303">
        <v>11.5</v>
      </c>
      <c r="X305" s="303">
        <v>9.4</v>
      </c>
      <c r="Y305" s="303">
        <v>9.4</v>
      </c>
      <c r="Z305" s="303">
        <v>9.4</v>
      </c>
      <c r="AA305" s="303">
        <v>9.4</v>
      </c>
      <c r="AB305" s="59">
        <v>1.1000000000000001</v>
      </c>
      <c r="AC305" s="59">
        <v>1.1000000000000001</v>
      </c>
      <c r="AD305" s="59">
        <v>1.1000000000000001</v>
      </c>
      <c r="AE305" s="59">
        <v>1.1000000000000001</v>
      </c>
      <c r="AF305" s="59">
        <v>1.1000000000000001</v>
      </c>
      <c r="AG305" s="59">
        <v>1.1000000000000001</v>
      </c>
      <c r="AH305" s="59">
        <v>1.1000000000000001</v>
      </c>
      <c r="AI305" s="59">
        <v>1.1000000000000001</v>
      </c>
      <c r="AJ305" s="59">
        <v>1.1000000000000001</v>
      </c>
      <c r="AK305" s="59">
        <v>2.1</v>
      </c>
      <c r="AL305" s="59">
        <v>2.1</v>
      </c>
      <c r="AM305" s="59">
        <v>2.1</v>
      </c>
      <c r="AN305" s="59">
        <v>2.1</v>
      </c>
      <c r="AO305" s="260"/>
      <c r="AP305" s="254">
        <f t="shared" si="147"/>
        <v>0</v>
      </c>
      <c r="AQ305" s="260"/>
      <c r="AR305" s="254">
        <f t="shared" si="148"/>
        <v>0</v>
      </c>
      <c r="AS305" s="261"/>
      <c r="AT305" s="254">
        <f t="shared" si="149"/>
        <v>0</v>
      </c>
      <c r="AU305" s="256">
        <v>40</v>
      </c>
      <c r="AV305" s="257">
        <f t="shared" si="153"/>
        <v>44</v>
      </c>
      <c r="AW305" s="382"/>
      <c r="AX305" s="257">
        <f t="shared" si="150"/>
        <v>0</v>
      </c>
      <c r="AY305" s="268"/>
      <c r="AZ305" s="257">
        <f t="shared" si="154"/>
        <v>0</v>
      </c>
      <c r="BA305" s="268"/>
      <c r="BB305" s="257">
        <f t="shared" si="151"/>
        <v>0</v>
      </c>
      <c r="BC305" s="268"/>
      <c r="BD305" s="257">
        <f t="shared" si="155"/>
        <v>0</v>
      </c>
      <c r="BE305" s="268"/>
      <c r="BF305" s="257">
        <f t="shared" si="156"/>
        <v>0</v>
      </c>
      <c r="BG305" s="268"/>
      <c r="BH305" s="257">
        <f t="shared" si="157"/>
        <v>0</v>
      </c>
      <c r="BI305" s="268"/>
      <c r="BJ305" s="257">
        <f t="shared" si="158"/>
        <v>0</v>
      </c>
      <c r="BK305" s="268"/>
      <c r="BL305" s="257">
        <f t="shared" si="152"/>
        <v>0</v>
      </c>
      <c r="BM305" s="1" t="s">
        <v>862</v>
      </c>
      <c r="BO305" s="1" t="s">
        <v>457</v>
      </c>
      <c r="BP305" s="378" t="s">
        <v>863</v>
      </c>
    </row>
    <row r="306" spans="1:68" ht="15.6">
      <c r="A306" s="250" t="s">
        <v>451</v>
      </c>
      <c r="B306" s="59" t="s">
        <v>221</v>
      </c>
      <c r="C306" s="354" t="s">
        <v>172</v>
      </c>
      <c r="D306" s="419"/>
      <c r="E306" s="281" t="s">
        <v>332</v>
      </c>
      <c r="F306" s="422"/>
      <c r="G306" s="317">
        <v>2023</v>
      </c>
      <c r="H306" s="323" t="s">
        <v>417</v>
      </c>
      <c r="I306" s="327" t="s">
        <v>190</v>
      </c>
      <c r="J306" s="331">
        <v>14</v>
      </c>
      <c r="K306" s="323" t="s">
        <v>210</v>
      </c>
      <c r="L306" s="323" t="s">
        <v>177</v>
      </c>
      <c r="M306" s="303" t="s">
        <v>474</v>
      </c>
      <c r="N306" s="303">
        <v>5.2</v>
      </c>
      <c r="O306" s="303">
        <v>5.6</v>
      </c>
      <c r="P306" s="303">
        <v>5.85</v>
      </c>
      <c r="Q306" s="303">
        <v>5.85</v>
      </c>
      <c r="R306" s="303">
        <v>5.85</v>
      </c>
      <c r="S306" s="303">
        <v>5.85</v>
      </c>
      <c r="T306" s="303">
        <v>5.85</v>
      </c>
      <c r="U306" s="303">
        <v>5.85</v>
      </c>
      <c r="V306" s="303">
        <v>5.85</v>
      </c>
      <c r="W306" s="303">
        <v>5.85</v>
      </c>
      <c r="X306" s="303">
        <v>5.6</v>
      </c>
      <c r="Y306" s="303">
        <v>5.6</v>
      </c>
      <c r="Z306" s="303">
        <v>5.6</v>
      </c>
      <c r="AA306" s="303">
        <v>5.6</v>
      </c>
      <c r="AB306" s="59">
        <v>0.35</v>
      </c>
      <c r="AC306" s="59">
        <v>0.35</v>
      </c>
      <c r="AD306" s="59">
        <v>0.35</v>
      </c>
      <c r="AE306" s="59">
        <v>0.35</v>
      </c>
      <c r="AF306" s="59">
        <v>0.35</v>
      </c>
      <c r="AG306" s="59">
        <v>0.35</v>
      </c>
      <c r="AH306" s="59">
        <v>0.35</v>
      </c>
      <c r="AI306" s="59">
        <v>0.35</v>
      </c>
      <c r="AJ306" s="59">
        <v>0.35</v>
      </c>
      <c r="AK306" s="59">
        <v>0.7</v>
      </c>
      <c r="AL306" s="59">
        <v>0.7</v>
      </c>
      <c r="AM306" s="59">
        <v>0.7</v>
      </c>
      <c r="AN306" s="59">
        <v>0.7</v>
      </c>
      <c r="AO306" s="260">
        <v>2280</v>
      </c>
      <c r="AP306" s="254">
        <f t="shared" si="147"/>
        <v>798</v>
      </c>
      <c r="AQ306" s="260">
        <v>3880</v>
      </c>
      <c r="AR306" s="254">
        <f t="shared" si="148"/>
        <v>1358</v>
      </c>
      <c r="AS306" s="261">
        <v>1000</v>
      </c>
      <c r="AT306" s="254">
        <f t="shared" si="149"/>
        <v>350</v>
      </c>
      <c r="AU306" s="256">
        <v>2080</v>
      </c>
      <c r="AV306" s="257">
        <f t="shared" si="153"/>
        <v>728</v>
      </c>
      <c r="AW306" s="382">
        <v>7557</v>
      </c>
      <c r="AX306" s="257">
        <f t="shared" si="150"/>
        <v>2644.95</v>
      </c>
      <c r="AY306" s="268">
        <v>1800</v>
      </c>
      <c r="AZ306" s="257">
        <f t="shared" si="154"/>
        <v>630</v>
      </c>
      <c r="BA306" s="268">
        <v>3920</v>
      </c>
      <c r="BB306" s="257">
        <f t="shared" si="151"/>
        <v>1372</v>
      </c>
      <c r="BC306" s="268">
        <v>3680</v>
      </c>
      <c r="BD306" s="257">
        <f t="shared" si="155"/>
        <v>1288</v>
      </c>
      <c r="BE306" s="268">
        <v>2760</v>
      </c>
      <c r="BF306" s="257">
        <f t="shared" si="156"/>
        <v>1931.9999999999998</v>
      </c>
      <c r="BG306" s="268">
        <v>3000</v>
      </c>
      <c r="BH306" s="257">
        <f t="shared" si="157"/>
        <v>2100</v>
      </c>
      <c r="BI306" s="268">
        <v>3280</v>
      </c>
      <c r="BJ306" s="257">
        <f t="shared" si="158"/>
        <v>2296</v>
      </c>
      <c r="BK306" s="268">
        <v>2440</v>
      </c>
      <c r="BL306" s="257">
        <f t="shared" si="152"/>
        <v>1708</v>
      </c>
      <c r="BM306" s="1" t="s">
        <v>864</v>
      </c>
      <c r="BO306" s="1" t="s">
        <v>457</v>
      </c>
      <c r="BP306" s="378" t="s">
        <v>865</v>
      </c>
    </row>
    <row r="307" spans="1:68" ht="15.6">
      <c r="A307" s="250" t="s">
        <v>451</v>
      </c>
      <c r="B307" s="59" t="s">
        <v>221</v>
      </c>
      <c r="C307" s="354" t="s">
        <v>172</v>
      </c>
      <c r="D307" s="419"/>
      <c r="E307" s="281" t="s">
        <v>332</v>
      </c>
      <c r="F307" s="422"/>
      <c r="G307" s="317">
        <v>2023</v>
      </c>
      <c r="H307" s="323" t="s">
        <v>417</v>
      </c>
      <c r="I307" s="332" t="s">
        <v>183</v>
      </c>
      <c r="J307" s="331">
        <v>14</v>
      </c>
      <c r="K307" s="328" t="s">
        <v>243</v>
      </c>
      <c r="L307" s="323" t="s">
        <v>177</v>
      </c>
      <c r="M307" s="303" t="s">
        <v>474</v>
      </c>
      <c r="N307" s="303">
        <v>9.65</v>
      </c>
      <c r="O307" s="303">
        <v>8.6999999999999993</v>
      </c>
      <c r="P307" s="303">
        <v>11.5</v>
      </c>
      <c r="Q307" s="303">
        <v>11.5</v>
      </c>
      <c r="R307" s="303">
        <v>11.5</v>
      </c>
      <c r="S307" s="303">
        <v>11.5</v>
      </c>
      <c r="T307" s="303">
        <v>11.5</v>
      </c>
      <c r="U307" s="303">
        <v>11.5</v>
      </c>
      <c r="V307" s="303">
        <v>11.5</v>
      </c>
      <c r="W307" s="303">
        <v>11.5</v>
      </c>
      <c r="X307" s="303">
        <v>9.4</v>
      </c>
      <c r="Y307" s="303">
        <v>8.6999999999999993</v>
      </c>
      <c r="Z307" s="303">
        <v>8.6999999999999993</v>
      </c>
      <c r="AA307" s="303">
        <v>8.6999999999999993</v>
      </c>
      <c r="AB307" s="59">
        <v>1.1000000000000001</v>
      </c>
      <c r="AC307" s="59">
        <v>1.1000000000000001</v>
      </c>
      <c r="AD307" s="59">
        <v>1.1000000000000001</v>
      </c>
      <c r="AE307" s="59">
        <v>1.1000000000000001</v>
      </c>
      <c r="AF307" s="59">
        <v>1.1000000000000001</v>
      </c>
      <c r="AG307" s="59">
        <v>1.1000000000000001</v>
      </c>
      <c r="AH307" s="59">
        <v>1.1000000000000001</v>
      </c>
      <c r="AI307" s="59">
        <v>1.1000000000000001</v>
      </c>
      <c r="AJ307" s="59">
        <v>1.1000000000000001</v>
      </c>
      <c r="AK307" s="59">
        <v>2.1</v>
      </c>
      <c r="AL307" s="59">
        <v>1.45</v>
      </c>
      <c r="AM307" s="59">
        <v>1.45</v>
      </c>
      <c r="AN307" s="59">
        <v>1.45</v>
      </c>
      <c r="AO307" s="260">
        <v>12440</v>
      </c>
      <c r="AP307" s="254">
        <f t="shared" si="147"/>
        <v>13684.000000000002</v>
      </c>
      <c r="AQ307" s="260">
        <v>20420</v>
      </c>
      <c r="AR307" s="254">
        <f t="shared" si="148"/>
        <v>22462</v>
      </c>
      <c r="AS307" s="260"/>
      <c r="AT307" s="254">
        <f t="shared" si="149"/>
        <v>0</v>
      </c>
      <c r="AU307" s="260">
        <v>880</v>
      </c>
      <c r="AV307" s="257">
        <f t="shared" si="153"/>
        <v>968.00000000000011</v>
      </c>
      <c r="AW307" s="383">
        <v>9078</v>
      </c>
      <c r="AX307" s="257">
        <f t="shared" si="150"/>
        <v>9985.8000000000011</v>
      </c>
      <c r="AY307" s="268">
        <v>120</v>
      </c>
      <c r="AZ307" s="257">
        <f t="shared" si="154"/>
        <v>132</v>
      </c>
      <c r="BA307" s="270">
        <v>80</v>
      </c>
      <c r="BB307" s="257">
        <f t="shared" si="151"/>
        <v>88</v>
      </c>
      <c r="BC307" s="270">
        <v>282</v>
      </c>
      <c r="BD307" s="257">
        <f t="shared" si="155"/>
        <v>310.20000000000005</v>
      </c>
      <c r="BE307" s="268">
        <v>40</v>
      </c>
      <c r="BF307" s="257">
        <f t="shared" si="156"/>
        <v>84</v>
      </c>
      <c r="BG307" s="268"/>
      <c r="BH307" s="257">
        <f t="shared" si="157"/>
        <v>0</v>
      </c>
      <c r="BI307" s="268"/>
      <c r="BJ307" s="257">
        <f t="shared" si="158"/>
        <v>0</v>
      </c>
      <c r="BK307" s="268"/>
      <c r="BL307" s="257">
        <f t="shared" si="152"/>
        <v>0</v>
      </c>
      <c r="BM307" s="1" t="s">
        <v>866</v>
      </c>
      <c r="BO307" s="1" t="s">
        <v>457</v>
      </c>
      <c r="BP307" s="378" t="s">
        <v>867</v>
      </c>
    </row>
    <row r="308" spans="1:68" ht="15.6">
      <c r="A308" s="250" t="s">
        <v>451</v>
      </c>
      <c r="B308" s="59" t="s">
        <v>221</v>
      </c>
      <c r="C308" s="354" t="s">
        <v>172</v>
      </c>
      <c r="D308" s="419"/>
      <c r="E308" s="281" t="s">
        <v>332</v>
      </c>
      <c r="F308" s="422"/>
      <c r="G308" s="317">
        <v>2023</v>
      </c>
      <c r="H308" s="323" t="s">
        <v>417</v>
      </c>
      <c r="I308" s="327" t="s">
        <v>190</v>
      </c>
      <c r="J308" s="331">
        <v>14</v>
      </c>
      <c r="K308" s="328" t="s">
        <v>243</v>
      </c>
      <c r="L308" s="323" t="s">
        <v>177</v>
      </c>
      <c r="M308" s="303" t="s">
        <v>474</v>
      </c>
      <c r="N308" s="303">
        <v>2.9</v>
      </c>
      <c r="O308" s="303">
        <v>3.75</v>
      </c>
      <c r="P308" s="303">
        <v>4.25</v>
      </c>
      <c r="Q308" s="303">
        <v>4.25</v>
      </c>
      <c r="R308" s="303">
        <v>4.25</v>
      </c>
      <c r="S308" s="303">
        <v>4.25</v>
      </c>
      <c r="T308" s="303">
        <v>4.25</v>
      </c>
      <c r="U308" s="303">
        <v>4.25</v>
      </c>
      <c r="V308" s="303">
        <v>4.25</v>
      </c>
      <c r="W308" s="303">
        <v>4.25</v>
      </c>
      <c r="X308" s="303">
        <v>3.75</v>
      </c>
      <c r="Y308" s="303">
        <v>3.75</v>
      </c>
      <c r="Z308" s="303">
        <v>3.75</v>
      </c>
      <c r="AA308" s="303">
        <v>3.75</v>
      </c>
      <c r="AB308" s="59">
        <v>0.55000000000000004</v>
      </c>
      <c r="AC308" s="59">
        <v>0.65</v>
      </c>
      <c r="AD308" s="59">
        <v>0.65</v>
      </c>
      <c r="AE308" s="59">
        <v>0.65</v>
      </c>
      <c r="AF308" s="59">
        <v>0.65</v>
      </c>
      <c r="AG308" s="59">
        <v>0.65</v>
      </c>
      <c r="AH308" s="59">
        <v>0.65</v>
      </c>
      <c r="AI308" s="59">
        <v>0.65</v>
      </c>
      <c r="AJ308" s="59">
        <v>0.65</v>
      </c>
      <c r="AK308" s="59">
        <v>0.55000000000000004</v>
      </c>
      <c r="AL308" s="59">
        <v>0.55000000000000004</v>
      </c>
      <c r="AM308" s="59">
        <v>0.55000000000000004</v>
      </c>
      <c r="AN308" s="59">
        <v>0.55000000000000004</v>
      </c>
      <c r="AO308" s="260">
        <v>4760</v>
      </c>
      <c r="AP308" s="254">
        <f t="shared" si="147"/>
        <v>3094</v>
      </c>
      <c r="AQ308" s="260">
        <v>19473</v>
      </c>
      <c r="AR308" s="254">
        <f t="shared" si="148"/>
        <v>12657.45</v>
      </c>
      <c r="AS308" s="260">
        <v>2200</v>
      </c>
      <c r="AT308" s="254">
        <f t="shared" si="149"/>
        <v>1430</v>
      </c>
      <c r="AU308" s="260">
        <v>4400</v>
      </c>
      <c r="AV308" s="257">
        <f t="shared" si="153"/>
        <v>2860</v>
      </c>
      <c r="AW308" s="383">
        <v>12048</v>
      </c>
      <c r="AX308" s="257">
        <f t="shared" si="150"/>
        <v>7831.2</v>
      </c>
      <c r="AY308" s="392">
        <v>4683</v>
      </c>
      <c r="AZ308" s="257">
        <f t="shared" si="154"/>
        <v>3043.9500000000003</v>
      </c>
      <c r="BA308" s="260">
        <v>2480</v>
      </c>
      <c r="BB308" s="257">
        <f t="shared" si="151"/>
        <v>1612</v>
      </c>
      <c r="BC308" s="260">
        <v>560</v>
      </c>
      <c r="BD308" s="257">
        <f t="shared" si="155"/>
        <v>364</v>
      </c>
      <c r="BE308" s="260"/>
      <c r="BF308" s="257">
        <f t="shared" si="156"/>
        <v>0</v>
      </c>
      <c r="BG308" s="260"/>
      <c r="BH308" s="257">
        <f t="shared" si="157"/>
        <v>0</v>
      </c>
      <c r="BI308" s="268"/>
      <c r="BJ308" s="257">
        <f t="shared" si="158"/>
        <v>0</v>
      </c>
      <c r="BK308" s="268"/>
      <c r="BL308" s="257">
        <f t="shared" si="152"/>
        <v>0</v>
      </c>
      <c r="BM308" s="1" t="s">
        <v>868</v>
      </c>
      <c r="BO308" s="1" t="s">
        <v>457</v>
      </c>
      <c r="BP308" s="378" t="s">
        <v>869</v>
      </c>
    </row>
    <row r="309" spans="1:68" ht="15.6">
      <c r="A309" s="250" t="s">
        <v>451</v>
      </c>
      <c r="B309" s="59" t="s">
        <v>221</v>
      </c>
      <c r="C309" s="354" t="s">
        <v>172</v>
      </c>
      <c r="D309" s="419"/>
      <c r="E309" s="281" t="s">
        <v>332</v>
      </c>
      <c r="F309" s="422"/>
      <c r="G309" s="317">
        <v>2023</v>
      </c>
      <c r="H309" s="323" t="s">
        <v>417</v>
      </c>
      <c r="I309" s="332" t="s">
        <v>183</v>
      </c>
      <c r="J309" s="331">
        <v>14</v>
      </c>
      <c r="K309" s="323" t="s">
        <v>245</v>
      </c>
      <c r="L309" s="323" t="s">
        <v>177</v>
      </c>
      <c r="M309" s="303" t="s">
        <v>474</v>
      </c>
      <c r="N309" s="303">
        <v>10.15</v>
      </c>
      <c r="O309" s="303">
        <v>15.8</v>
      </c>
      <c r="P309" s="303">
        <v>15.8</v>
      </c>
      <c r="Q309" s="303">
        <v>15.8</v>
      </c>
      <c r="R309" s="303">
        <v>15.8</v>
      </c>
      <c r="S309" s="303">
        <v>15.8</v>
      </c>
      <c r="T309" s="303">
        <v>15.8</v>
      </c>
      <c r="U309" s="303">
        <v>15.8</v>
      </c>
      <c r="V309" s="303">
        <v>15.8</v>
      </c>
      <c r="W309" s="303">
        <v>15.8</v>
      </c>
      <c r="X309" s="303">
        <v>15.8</v>
      </c>
      <c r="Y309" s="303">
        <v>15.8</v>
      </c>
      <c r="Z309" s="303">
        <v>15.8</v>
      </c>
      <c r="AA309" s="303">
        <v>15.8</v>
      </c>
      <c r="AB309" s="59">
        <v>3.5</v>
      </c>
      <c r="AC309" s="59">
        <v>3.5</v>
      </c>
      <c r="AD309" s="59">
        <v>3.5</v>
      </c>
      <c r="AE309" s="59">
        <v>3.5</v>
      </c>
      <c r="AF309" s="59">
        <v>3.5</v>
      </c>
      <c r="AG309" s="59">
        <v>3.5</v>
      </c>
      <c r="AH309" s="59">
        <v>3.5</v>
      </c>
      <c r="AI309" s="59">
        <v>3.5</v>
      </c>
      <c r="AJ309" s="59">
        <v>3.5</v>
      </c>
      <c r="AK309" s="59">
        <v>7.8</v>
      </c>
      <c r="AL309" s="59">
        <v>7.8</v>
      </c>
      <c r="AM309" s="59">
        <v>7.8</v>
      </c>
      <c r="AN309" s="59">
        <v>7.8</v>
      </c>
      <c r="AO309" s="260"/>
      <c r="AP309" s="254">
        <f t="shared" si="147"/>
        <v>0</v>
      </c>
      <c r="AQ309" s="260">
        <v>40</v>
      </c>
      <c r="AR309" s="254">
        <f t="shared" si="148"/>
        <v>140</v>
      </c>
      <c r="AS309" s="261"/>
      <c r="AT309" s="254">
        <f t="shared" si="149"/>
        <v>0</v>
      </c>
      <c r="AU309" s="256"/>
      <c r="AV309" s="257">
        <f t="shared" si="153"/>
        <v>0</v>
      </c>
      <c r="AW309" s="382">
        <v>40</v>
      </c>
      <c r="AX309" s="257">
        <f t="shared" si="150"/>
        <v>140</v>
      </c>
      <c r="AY309" s="268"/>
      <c r="AZ309" s="257">
        <f t="shared" si="154"/>
        <v>0</v>
      </c>
      <c r="BA309" s="268"/>
      <c r="BB309" s="257">
        <f t="shared" si="151"/>
        <v>0</v>
      </c>
      <c r="BC309" s="268"/>
      <c r="BD309" s="257">
        <f t="shared" si="155"/>
        <v>0</v>
      </c>
      <c r="BE309" s="268"/>
      <c r="BF309" s="257">
        <f t="shared" si="156"/>
        <v>0</v>
      </c>
      <c r="BG309" s="268"/>
      <c r="BH309" s="257">
        <f t="shared" si="157"/>
        <v>0</v>
      </c>
      <c r="BI309" s="268"/>
      <c r="BJ309" s="257">
        <f t="shared" si="158"/>
        <v>0</v>
      </c>
      <c r="BK309" s="268"/>
      <c r="BL309" s="257">
        <f t="shared" si="152"/>
        <v>0</v>
      </c>
      <c r="BM309" s="1" t="s">
        <v>870</v>
      </c>
      <c r="BO309" s="1" t="s">
        <v>457</v>
      </c>
      <c r="BP309" s="378" t="s">
        <v>871</v>
      </c>
    </row>
    <row r="310" spans="1:68" ht="15.6">
      <c r="A310" s="250" t="s">
        <v>451</v>
      </c>
      <c r="B310" s="59" t="s">
        <v>221</v>
      </c>
      <c r="C310" s="354" t="s">
        <v>172</v>
      </c>
      <c r="D310" s="419"/>
      <c r="E310" s="281" t="s">
        <v>332</v>
      </c>
      <c r="F310" s="422"/>
      <c r="G310" s="317">
        <v>2023</v>
      </c>
      <c r="H310" s="323" t="s">
        <v>417</v>
      </c>
      <c r="I310" s="327" t="s">
        <v>190</v>
      </c>
      <c r="J310" s="331">
        <v>14</v>
      </c>
      <c r="K310" s="323" t="s">
        <v>637</v>
      </c>
      <c r="L310" s="323" t="s">
        <v>177</v>
      </c>
      <c r="M310" s="303" t="s">
        <v>474</v>
      </c>
      <c r="N310" s="303">
        <v>2.9</v>
      </c>
      <c r="O310" s="303">
        <v>3.75</v>
      </c>
      <c r="P310" s="303">
        <v>4.25</v>
      </c>
      <c r="Q310" s="303">
        <v>4.25</v>
      </c>
      <c r="R310" s="303">
        <v>4.25</v>
      </c>
      <c r="S310" s="303">
        <v>4.25</v>
      </c>
      <c r="T310" s="303">
        <v>4.25</v>
      </c>
      <c r="U310" s="303">
        <v>4.25</v>
      </c>
      <c r="V310" s="303">
        <v>4.25</v>
      </c>
      <c r="W310" s="303">
        <v>4.25</v>
      </c>
      <c r="X310" s="303">
        <v>3.75</v>
      </c>
      <c r="Y310" s="303">
        <v>3.75</v>
      </c>
      <c r="Z310" s="303">
        <v>3.75</v>
      </c>
      <c r="AA310" s="303">
        <v>3.75</v>
      </c>
      <c r="AB310" s="59">
        <v>0.55000000000000004</v>
      </c>
      <c r="AC310" s="59">
        <v>0.65</v>
      </c>
      <c r="AD310" s="59">
        <v>0.65</v>
      </c>
      <c r="AE310" s="59">
        <v>0.65</v>
      </c>
      <c r="AF310" s="59">
        <v>0.65</v>
      </c>
      <c r="AG310" s="59">
        <v>0.65</v>
      </c>
      <c r="AH310" s="59">
        <v>0.65</v>
      </c>
      <c r="AI310" s="59">
        <v>0.65</v>
      </c>
      <c r="AJ310" s="59">
        <v>0.65</v>
      </c>
      <c r="AK310" s="59">
        <v>0.55000000000000004</v>
      </c>
      <c r="AL310" s="59">
        <v>0.55000000000000004</v>
      </c>
      <c r="AM310" s="59">
        <v>0.55000000000000004</v>
      </c>
      <c r="AN310" s="59">
        <v>0.55000000000000004</v>
      </c>
      <c r="AO310" s="260"/>
      <c r="AP310" s="254">
        <f t="shared" si="147"/>
        <v>0</v>
      </c>
      <c r="AQ310" s="260"/>
      <c r="AR310" s="254">
        <f t="shared" si="148"/>
        <v>0</v>
      </c>
      <c r="AS310" s="261"/>
      <c r="AT310" s="254">
        <f t="shared" si="149"/>
        <v>0</v>
      </c>
      <c r="AU310" s="256"/>
      <c r="AV310" s="257">
        <f t="shared" si="153"/>
        <v>0</v>
      </c>
      <c r="AW310" s="382">
        <v>40</v>
      </c>
      <c r="AX310" s="257">
        <f t="shared" si="150"/>
        <v>26</v>
      </c>
      <c r="AY310" s="268">
        <v>400</v>
      </c>
      <c r="AZ310" s="257">
        <f t="shared" si="154"/>
        <v>260</v>
      </c>
      <c r="BA310" s="268">
        <v>40</v>
      </c>
      <c r="BB310" s="257">
        <f t="shared" si="151"/>
        <v>26</v>
      </c>
      <c r="BC310" s="268">
        <v>920</v>
      </c>
      <c r="BD310" s="257">
        <f t="shared" si="155"/>
        <v>598</v>
      </c>
      <c r="BE310" s="268">
        <v>1360</v>
      </c>
      <c r="BF310" s="257">
        <f t="shared" si="156"/>
        <v>748.00000000000011</v>
      </c>
      <c r="BG310" s="268">
        <v>800</v>
      </c>
      <c r="BH310" s="257">
        <f t="shared" si="157"/>
        <v>440.00000000000006</v>
      </c>
      <c r="BI310" s="268">
        <v>1720</v>
      </c>
      <c r="BJ310" s="257">
        <f t="shared" si="158"/>
        <v>946.00000000000011</v>
      </c>
      <c r="BK310" s="268">
        <v>960</v>
      </c>
      <c r="BL310" s="257">
        <f t="shared" si="152"/>
        <v>528</v>
      </c>
      <c r="BM310" s="1" t="s">
        <v>872</v>
      </c>
      <c r="BN310" s="1" t="s">
        <v>532</v>
      </c>
      <c r="BO310" s="1" t="s">
        <v>457</v>
      </c>
      <c r="BP310" s="378" t="s">
        <v>873</v>
      </c>
    </row>
    <row r="311" spans="1:68" ht="15.6">
      <c r="A311" s="250" t="s">
        <v>451</v>
      </c>
      <c r="B311" s="59" t="s">
        <v>221</v>
      </c>
      <c r="C311" s="354" t="s">
        <v>172</v>
      </c>
      <c r="D311" s="419"/>
      <c r="E311" s="281" t="s">
        <v>332</v>
      </c>
      <c r="F311" s="422"/>
      <c r="G311" s="317">
        <v>2023</v>
      </c>
      <c r="H311" s="323" t="s">
        <v>417</v>
      </c>
      <c r="I311" s="332" t="s">
        <v>183</v>
      </c>
      <c r="J311" s="331">
        <v>14</v>
      </c>
      <c r="K311" s="323" t="s">
        <v>210</v>
      </c>
      <c r="L311" s="323" t="s">
        <v>177</v>
      </c>
      <c r="M311" s="303" t="s">
        <v>474</v>
      </c>
      <c r="N311" s="303">
        <v>9.65</v>
      </c>
      <c r="O311" s="303">
        <v>9.4</v>
      </c>
      <c r="P311" s="303">
        <v>11.5</v>
      </c>
      <c r="Q311" s="303">
        <v>11.5</v>
      </c>
      <c r="R311" s="303">
        <v>11.5</v>
      </c>
      <c r="S311" s="303">
        <v>11.5</v>
      </c>
      <c r="T311" s="303">
        <v>11.5</v>
      </c>
      <c r="U311" s="303">
        <v>11.5</v>
      </c>
      <c r="V311" s="303">
        <v>11.5</v>
      </c>
      <c r="W311" s="303">
        <v>11.5</v>
      </c>
      <c r="X311" s="303">
        <v>9.4</v>
      </c>
      <c r="Y311" s="303">
        <v>9.4</v>
      </c>
      <c r="Z311" s="303">
        <v>9.4</v>
      </c>
      <c r="AA311" s="303">
        <v>9.4</v>
      </c>
      <c r="AB311" s="59">
        <v>1.1000000000000001</v>
      </c>
      <c r="AC311" s="59">
        <v>1.1000000000000001</v>
      </c>
      <c r="AD311" s="59">
        <v>1.1000000000000001</v>
      </c>
      <c r="AE311" s="59">
        <v>1.1000000000000001</v>
      </c>
      <c r="AF311" s="59">
        <v>1.1000000000000001</v>
      </c>
      <c r="AG311" s="59">
        <v>1.1000000000000001</v>
      </c>
      <c r="AH311" s="59">
        <v>1.1000000000000001</v>
      </c>
      <c r="AI311" s="59">
        <v>1.1000000000000001</v>
      </c>
      <c r="AJ311" s="59">
        <v>1.1000000000000001</v>
      </c>
      <c r="AK311" s="59">
        <v>2.1</v>
      </c>
      <c r="AL311" s="59">
        <v>2.1</v>
      </c>
      <c r="AM311" s="59">
        <v>2.1</v>
      </c>
      <c r="AN311" s="59">
        <v>2.1</v>
      </c>
      <c r="AO311" s="260"/>
      <c r="AP311" s="254">
        <f t="shared" si="147"/>
        <v>0</v>
      </c>
      <c r="AQ311" s="260"/>
      <c r="AR311" s="254">
        <f t="shared" si="148"/>
        <v>0</v>
      </c>
      <c r="AS311" s="261"/>
      <c r="AT311" s="254">
        <f t="shared" si="149"/>
        <v>0</v>
      </c>
      <c r="AU311" s="256"/>
      <c r="AV311" s="257">
        <f t="shared" si="153"/>
        <v>0</v>
      </c>
      <c r="AW311" s="382">
        <v>680</v>
      </c>
      <c r="AX311" s="257">
        <f t="shared" si="150"/>
        <v>748.00000000000011</v>
      </c>
      <c r="AY311" s="268">
        <v>320</v>
      </c>
      <c r="AZ311" s="257">
        <f t="shared" si="154"/>
        <v>352</v>
      </c>
      <c r="BA311" s="268">
        <v>155</v>
      </c>
      <c r="BB311" s="257">
        <f t="shared" si="151"/>
        <v>170.5</v>
      </c>
      <c r="BC311" s="268"/>
      <c r="BD311" s="257">
        <f t="shared" si="155"/>
        <v>0</v>
      </c>
      <c r="BE311" s="268"/>
      <c r="BF311" s="257">
        <f t="shared" si="156"/>
        <v>0</v>
      </c>
      <c r="BG311" s="268">
        <v>40</v>
      </c>
      <c r="BH311" s="257">
        <f t="shared" si="157"/>
        <v>84</v>
      </c>
      <c r="BI311" s="268"/>
      <c r="BJ311" s="257">
        <f t="shared" si="158"/>
        <v>0</v>
      </c>
      <c r="BK311" s="268">
        <v>40</v>
      </c>
      <c r="BL311" s="257">
        <f t="shared" si="152"/>
        <v>84</v>
      </c>
      <c r="BM311" s="1" t="s">
        <v>874</v>
      </c>
      <c r="BN311" s="1" t="s">
        <v>532</v>
      </c>
      <c r="BO311" s="1" t="s">
        <v>457</v>
      </c>
      <c r="BP311" s="378" t="s">
        <v>875</v>
      </c>
    </row>
    <row r="312" spans="1:68" ht="15.6">
      <c r="A312" s="250" t="s">
        <v>451</v>
      </c>
      <c r="B312" s="59" t="s">
        <v>221</v>
      </c>
      <c r="C312" s="354" t="s">
        <v>172</v>
      </c>
      <c r="D312" s="419"/>
      <c r="E312" s="281" t="s">
        <v>332</v>
      </c>
      <c r="F312" s="422"/>
      <c r="G312" s="317">
        <v>2023</v>
      </c>
      <c r="H312" s="323" t="s">
        <v>417</v>
      </c>
      <c r="I312" s="327" t="s">
        <v>190</v>
      </c>
      <c r="J312" s="331">
        <v>14</v>
      </c>
      <c r="K312" s="323" t="s">
        <v>210</v>
      </c>
      <c r="L312" s="323" t="s">
        <v>177</v>
      </c>
      <c r="M312" s="303" t="s">
        <v>474</v>
      </c>
      <c r="N312" s="303">
        <v>5.2</v>
      </c>
      <c r="O312" s="303">
        <v>5.6</v>
      </c>
      <c r="P312" s="303">
        <v>5.85</v>
      </c>
      <c r="Q312" s="303">
        <v>5.85</v>
      </c>
      <c r="R312" s="303">
        <v>5.85</v>
      </c>
      <c r="S312" s="303">
        <v>5.85</v>
      </c>
      <c r="T312" s="303">
        <v>5.85</v>
      </c>
      <c r="U312" s="303">
        <v>5.85</v>
      </c>
      <c r="V312" s="303">
        <v>5.85</v>
      </c>
      <c r="W312" s="303">
        <v>5.85</v>
      </c>
      <c r="X312" s="303">
        <v>5.6</v>
      </c>
      <c r="Y312" s="303">
        <v>5.6</v>
      </c>
      <c r="Z312" s="303">
        <v>5.6</v>
      </c>
      <c r="AA312" s="303">
        <v>5.6</v>
      </c>
      <c r="AB312" s="59">
        <v>0.35</v>
      </c>
      <c r="AC312" s="59">
        <v>0.35</v>
      </c>
      <c r="AD312" s="59">
        <v>0.35</v>
      </c>
      <c r="AE312" s="59">
        <v>0.35</v>
      </c>
      <c r="AF312" s="59">
        <v>0.35</v>
      </c>
      <c r="AG312" s="59">
        <v>0.35</v>
      </c>
      <c r="AH312" s="59">
        <v>0.35</v>
      </c>
      <c r="AI312" s="59">
        <v>0.35</v>
      </c>
      <c r="AJ312" s="59">
        <v>0.35</v>
      </c>
      <c r="AK312" s="59">
        <v>0.7</v>
      </c>
      <c r="AL312" s="59">
        <v>0.7</v>
      </c>
      <c r="AM312" s="59">
        <v>0.7</v>
      </c>
      <c r="AN312" s="59">
        <v>0.7</v>
      </c>
      <c r="AO312" s="260"/>
      <c r="AP312" s="254">
        <f t="shared" si="147"/>
        <v>0</v>
      </c>
      <c r="AQ312" s="260"/>
      <c r="AR312" s="254">
        <f t="shared" si="148"/>
        <v>0</v>
      </c>
      <c r="AS312" s="261"/>
      <c r="AT312" s="254">
        <f t="shared" si="149"/>
        <v>0</v>
      </c>
      <c r="AU312" s="256"/>
      <c r="AV312" s="257">
        <f t="shared" si="153"/>
        <v>0</v>
      </c>
      <c r="AW312" s="382"/>
      <c r="AX312" s="257">
        <f t="shared" si="150"/>
        <v>0</v>
      </c>
      <c r="AY312" s="268"/>
      <c r="AZ312" s="257">
        <f t="shared" si="154"/>
        <v>0</v>
      </c>
      <c r="BA312" s="268"/>
      <c r="BB312" s="257">
        <f t="shared" si="151"/>
        <v>0</v>
      </c>
      <c r="BC312" s="268"/>
      <c r="BD312" s="257">
        <f t="shared" si="155"/>
        <v>0</v>
      </c>
      <c r="BE312" s="268">
        <v>1000</v>
      </c>
      <c r="BF312" s="257">
        <f t="shared" si="156"/>
        <v>700</v>
      </c>
      <c r="BG312" s="268">
        <v>4520</v>
      </c>
      <c r="BH312" s="257">
        <f t="shared" si="157"/>
        <v>3164</v>
      </c>
      <c r="BI312" s="268">
        <v>800</v>
      </c>
      <c r="BJ312" s="257">
        <f t="shared" si="158"/>
        <v>560</v>
      </c>
      <c r="BK312" s="268">
        <v>600</v>
      </c>
      <c r="BL312" s="257">
        <f t="shared" si="152"/>
        <v>420</v>
      </c>
      <c r="BM312" s="1" t="s">
        <v>876</v>
      </c>
      <c r="BN312" s="1" t="s">
        <v>532</v>
      </c>
      <c r="BO312" s="1" t="s">
        <v>457</v>
      </c>
      <c r="BP312" s="378" t="s">
        <v>877</v>
      </c>
    </row>
    <row r="313" spans="1:68" ht="15.6">
      <c r="A313" s="250" t="s">
        <v>451</v>
      </c>
      <c r="B313" s="59" t="s">
        <v>221</v>
      </c>
      <c r="C313" s="354" t="s">
        <v>172</v>
      </c>
      <c r="D313" s="419"/>
      <c r="E313" s="281" t="s">
        <v>332</v>
      </c>
      <c r="F313" s="422"/>
      <c r="G313" s="317">
        <v>2023</v>
      </c>
      <c r="H313" s="323" t="s">
        <v>417</v>
      </c>
      <c r="I313" s="332" t="s">
        <v>183</v>
      </c>
      <c r="J313" s="331">
        <v>14</v>
      </c>
      <c r="K313" s="328" t="s">
        <v>243</v>
      </c>
      <c r="L313" s="323" t="s">
        <v>177</v>
      </c>
      <c r="M313" s="303" t="s">
        <v>474</v>
      </c>
      <c r="N313" s="303">
        <v>9.65</v>
      </c>
      <c r="O313" s="303">
        <v>8.6999999999999993</v>
      </c>
      <c r="P313" s="303">
        <v>11.5</v>
      </c>
      <c r="Q313" s="303">
        <v>11.5</v>
      </c>
      <c r="R313" s="303">
        <v>11.5</v>
      </c>
      <c r="S313" s="303">
        <v>11.5</v>
      </c>
      <c r="T313" s="303">
        <v>11.5</v>
      </c>
      <c r="U313" s="303">
        <v>11.5</v>
      </c>
      <c r="V313" s="303">
        <v>11.5</v>
      </c>
      <c r="W313" s="303">
        <v>11.5</v>
      </c>
      <c r="X313" s="303">
        <v>9.4</v>
      </c>
      <c r="Y313" s="303">
        <v>8.6999999999999993</v>
      </c>
      <c r="Z313" s="303">
        <v>8.6999999999999993</v>
      </c>
      <c r="AA313" s="303">
        <v>8.6999999999999993</v>
      </c>
      <c r="AB313" s="59">
        <v>1.1000000000000001</v>
      </c>
      <c r="AC313" s="59">
        <v>1.1000000000000001</v>
      </c>
      <c r="AD313" s="59">
        <v>1.1000000000000001</v>
      </c>
      <c r="AE313" s="59">
        <v>1.1000000000000001</v>
      </c>
      <c r="AF313" s="59">
        <v>1.1000000000000001</v>
      </c>
      <c r="AG313" s="59">
        <v>1.1000000000000001</v>
      </c>
      <c r="AH313" s="59">
        <v>1.1000000000000001</v>
      </c>
      <c r="AI313" s="59">
        <v>1.1000000000000001</v>
      </c>
      <c r="AJ313" s="59">
        <v>1.1000000000000001</v>
      </c>
      <c r="AK313" s="59">
        <v>2.1</v>
      </c>
      <c r="AL313" s="59">
        <v>1.45</v>
      </c>
      <c r="AM313" s="59">
        <v>1.45</v>
      </c>
      <c r="AN313" s="59">
        <v>1.45</v>
      </c>
      <c r="AO313" s="260"/>
      <c r="AP313" s="254">
        <f t="shared" si="147"/>
        <v>0</v>
      </c>
      <c r="AQ313" s="260"/>
      <c r="AR313" s="254">
        <f t="shared" si="148"/>
        <v>0</v>
      </c>
      <c r="AS313" s="261"/>
      <c r="AT313" s="254">
        <f t="shared" si="149"/>
        <v>0</v>
      </c>
      <c r="AU313" s="256">
        <v>1755</v>
      </c>
      <c r="AV313" s="257">
        <f t="shared" si="153"/>
        <v>1930.5000000000002</v>
      </c>
      <c r="AW313" s="382">
        <v>14546</v>
      </c>
      <c r="AX313" s="257">
        <f t="shared" si="150"/>
        <v>16000.600000000002</v>
      </c>
      <c r="AY313" s="268">
        <v>1020</v>
      </c>
      <c r="AZ313" s="257">
        <f t="shared" si="154"/>
        <v>1122</v>
      </c>
      <c r="BA313" s="268">
        <v>3360</v>
      </c>
      <c r="BB313" s="257">
        <f t="shared" si="151"/>
        <v>3696.0000000000005</v>
      </c>
      <c r="BC313" s="268">
        <v>27120</v>
      </c>
      <c r="BD313" s="257">
        <f t="shared" si="155"/>
        <v>29832.000000000004</v>
      </c>
      <c r="BE313" s="268">
        <v>6320</v>
      </c>
      <c r="BF313" s="257">
        <f t="shared" si="156"/>
        <v>13272</v>
      </c>
      <c r="BG313" s="268">
        <v>24078</v>
      </c>
      <c r="BH313" s="257">
        <f t="shared" si="157"/>
        <v>34913.1</v>
      </c>
      <c r="BI313" s="268">
        <v>29600</v>
      </c>
      <c r="BJ313" s="257">
        <f t="shared" si="158"/>
        <v>42920</v>
      </c>
      <c r="BK313" s="268">
        <v>2400</v>
      </c>
      <c r="BL313" s="257">
        <f t="shared" si="152"/>
        <v>3480</v>
      </c>
      <c r="BM313" s="1" t="s">
        <v>878</v>
      </c>
      <c r="BN313" s="1" t="s">
        <v>532</v>
      </c>
      <c r="BO313" s="1" t="s">
        <v>457</v>
      </c>
      <c r="BP313" s="378" t="s">
        <v>879</v>
      </c>
    </row>
    <row r="314" spans="1:68" ht="15.6">
      <c r="A314" s="250" t="s">
        <v>451</v>
      </c>
      <c r="B314" s="59" t="s">
        <v>221</v>
      </c>
      <c r="C314" s="354" t="s">
        <v>172</v>
      </c>
      <c r="D314" s="419"/>
      <c r="E314" s="281" t="s">
        <v>332</v>
      </c>
      <c r="F314" s="422"/>
      <c r="G314" s="317">
        <v>2023</v>
      </c>
      <c r="H314" s="323" t="s">
        <v>417</v>
      </c>
      <c r="I314" s="327" t="s">
        <v>190</v>
      </c>
      <c r="J314" s="331">
        <v>14</v>
      </c>
      <c r="K314" s="328" t="s">
        <v>243</v>
      </c>
      <c r="L314" s="323" t="s">
        <v>177</v>
      </c>
      <c r="M314" s="303" t="s">
        <v>474</v>
      </c>
      <c r="N314" s="303">
        <v>2.9</v>
      </c>
      <c r="O314" s="303">
        <v>3.75</v>
      </c>
      <c r="P314" s="303">
        <v>4.25</v>
      </c>
      <c r="Q314" s="303">
        <v>4.25</v>
      </c>
      <c r="R314" s="303">
        <v>4.25</v>
      </c>
      <c r="S314" s="303">
        <v>4.25</v>
      </c>
      <c r="T314" s="303">
        <v>4.25</v>
      </c>
      <c r="U314" s="303">
        <v>4.25</v>
      </c>
      <c r="V314" s="303">
        <v>4.25</v>
      </c>
      <c r="W314" s="303">
        <v>4.25</v>
      </c>
      <c r="X314" s="303">
        <v>3.75</v>
      </c>
      <c r="Y314" s="303">
        <v>3.75</v>
      </c>
      <c r="Z314" s="303">
        <v>3.75</v>
      </c>
      <c r="AA314" s="303">
        <v>3.75</v>
      </c>
      <c r="AB314" s="59">
        <v>0.55000000000000004</v>
      </c>
      <c r="AC314" s="59">
        <v>0.65</v>
      </c>
      <c r="AD314" s="59">
        <v>0.65</v>
      </c>
      <c r="AE314" s="59">
        <v>0.65</v>
      </c>
      <c r="AF314" s="59">
        <v>0.65</v>
      </c>
      <c r="AG314" s="59">
        <v>0.65</v>
      </c>
      <c r="AH314" s="59">
        <v>0.65</v>
      </c>
      <c r="AI314" s="59">
        <v>0.65</v>
      </c>
      <c r="AJ314" s="59">
        <v>0.65</v>
      </c>
      <c r="AK314" s="59">
        <v>0.55000000000000004</v>
      </c>
      <c r="AL314" s="59">
        <v>0.55000000000000004</v>
      </c>
      <c r="AM314" s="59">
        <v>0.55000000000000004</v>
      </c>
      <c r="AN314" s="59">
        <v>0.55000000000000004</v>
      </c>
      <c r="AO314" s="260"/>
      <c r="AP314" s="254">
        <f t="shared" si="147"/>
        <v>0</v>
      </c>
      <c r="AQ314" s="260"/>
      <c r="AR314" s="254">
        <f t="shared" si="148"/>
        <v>0</v>
      </c>
      <c r="AS314" s="261"/>
      <c r="AT314" s="254">
        <f t="shared" si="149"/>
        <v>0</v>
      </c>
      <c r="AU314" s="256">
        <v>929</v>
      </c>
      <c r="AV314" s="257">
        <f t="shared" si="153"/>
        <v>603.85</v>
      </c>
      <c r="AW314" s="382">
        <v>15513</v>
      </c>
      <c r="AX314" s="257">
        <f t="shared" si="150"/>
        <v>10083.450000000001</v>
      </c>
      <c r="AY314" s="268">
        <v>2400</v>
      </c>
      <c r="AZ314" s="257">
        <f t="shared" si="154"/>
        <v>1560</v>
      </c>
      <c r="BA314" s="268">
        <v>8160</v>
      </c>
      <c r="BB314" s="257">
        <f t="shared" si="151"/>
        <v>5304</v>
      </c>
      <c r="BC314" s="268">
        <v>12720</v>
      </c>
      <c r="BD314" s="257">
        <f t="shared" si="155"/>
        <v>8268</v>
      </c>
      <c r="BE314" s="268">
        <v>15480</v>
      </c>
      <c r="BF314" s="257">
        <f t="shared" si="156"/>
        <v>8514</v>
      </c>
      <c r="BG314" s="268">
        <v>31560</v>
      </c>
      <c r="BH314" s="257">
        <f t="shared" si="157"/>
        <v>17358</v>
      </c>
      <c r="BI314" s="268">
        <v>28276</v>
      </c>
      <c r="BJ314" s="257">
        <f t="shared" si="158"/>
        <v>15551.800000000001</v>
      </c>
      <c r="BK314" s="268">
        <v>35240</v>
      </c>
      <c r="BL314" s="257">
        <f t="shared" si="152"/>
        <v>19382</v>
      </c>
      <c r="BM314" s="1" t="s">
        <v>880</v>
      </c>
      <c r="BN314" s="1" t="s">
        <v>532</v>
      </c>
      <c r="BO314" s="1" t="s">
        <v>457</v>
      </c>
      <c r="BP314" s="378" t="s">
        <v>881</v>
      </c>
    </row>
    <row r="315" spans="1:68" ht="15.6">
      <c r="A315" s="250" t="s">
        <v>451</v>
      </c>
      <c r="B315" s="59" t="s">
        <v>221</v>
      </c>
      <c r="C315" s="354" t="s">
        <v>172</v>
      </c>
      <c r="D315" s="419"/>
      <c r="E315" s="281" t="s">
        <v>332</v>
      </c>
      <c r="F315" s="422"/>
      <c r="G315" s="317">
        <v>2023</v>
      </c>
      <c r="H315" s="323" t="s">
        <v>417</v>
      </c>
      <c r="I315" s="327" t="s">
        <v>190</v>
      </c>
      <c r="J315" s="331">
        <v>14</v>
      </c>
      <c r="K315" s="323" t="s">
        <v>245</v>
      </c>
      <c r="L315" s="323" t="s">
        <v>177</v>
      </c>
      <c r="M315" s="303" t="s">
        <v>474</v>
      </c>
      <c r="N315" s="303">
        <v>2.9</v>
      </c>
      <c r="O315" s="303">
        <v>3.75</v>
      </c>
      <c r="P315" s="303">
        <v>4.25</v>
      </c>
      <c r="Q315" s="303">
        <v>4.25</v>
      </c>
      <c r="R315" s="303">
        <v>4.25</v>
      </c>
      <c r="S315" s="303">
        <v>4.25</v>
      </c>
      <c r="T315" s="303">
        <v>4.25</v>
      </c>
      <c r="U315" s="303">
        <v>4.25</v>
      </c>
      <c r="V315" s="303">
        <v>4.25</v>
      </c>
      <c r="W315" s="303">
        <v>4.25</v>
      </c>
      <c r="X315" s="303">
        <v>3.75</v>
      </c>
      <c r="Y315" s="303">
        <v>3.75</v>
      </c>
      <c r="Z315" s="303">
        <v>3.75</v>
      </c>
      <c r="AA315" s="303">
        <v>3.75</v>
      </c>
      <c r="AB315" s="59">
        <v>0.55000000000000004</v>
      </c>
      <c r="AC315" s="59">
        <v>0.65</v>
      </c>
      <c r="AD315" s="59">
        <v>0.65</v>
      </c>
      <c r="AE315" s="59">
        <v>0.65</v>
      </c>
      <c r="AF315" s="59">
        <v>0.65</v>
      </c>
      <c r="AG315" s="59">
        <v>0.65</v>
      </c>
      <c r="AH315" s="59">
        <v>0.65</v>
      </c>
      <c r="AI315" s="59">
        <v>0.65</v>
      </c>
      <c r="AJ315" s="59">
        <v>0.65</v>
      </c>
      <c r="AK315" s="59">
        <v>0.55000000000000004</v>
      </c>
      <c r="AL315" s="59">
        <v>0.55000000000000004</v>
      </c>
      <c r="AM315" s="59">
        <v>0.55000000000000004</v>
      </c>
      <c r="AN315" s="59">
        <v>0.55000000000000004</v>
      </c>
      <c r="AO315" s="260"/>
      <c r="AP315" s="254">
        <f t="shared" si="147"/>
        <v>0</v>
      </c>
      <c r="AQ315" s="260"/>
      <c r="AR315" s="254">
        <f t="shared" si="148"/>
        <v>0</v>
      </c>
      <c r="AS315" s="261"/>
      <c r="AT315" s="254">
        <f t="shared" si="149"/>
        <v>0</v>
      </c>
      <c r="AU315" s="256"/>
      <c r="AV315" s="257">
        <f t="shared" si="153"/>
        <v>0</v>
      </c>
      <c r="AW315" s="382"/>
      <c r="AX315" s="257">
        <f t="shared" si="150"/>
        <v>0</v>
      </c>
      <c r="AY315" s="268"/>
      <c r="AZ315" s="257">
        <f t="shared" si="154"/>
        <v>0</v>
      </c>
      <c r="BA315" s="268"/>
      <c r="BB315" s="257">
        <f t="shared" si="151"/>
        <v>0</v>
      </c>
      <c r="BC315" s="268"/>
      <c r="BD315" s="257">
        <f t="shared" si="155"/>
        <v>0</v>
      </c>
      <c r="BE315" s="268"/>
      <c r="BF315" s="257">
        <f t="shared" si="156"/>
        <v>0</v>
      </c>
      <c r="BG315" s="268"/>
      <c r="BH315" s="257">
        <f t="shared" si="157"/>
        <v>0</v>
      </c>
      <c r="BI315" s="268"/>
      <c r="BJ315" s="257">
        <f t="shared" si="158"/>
        <v>0</v>
      </c>
      <c r="BK315" s="268"/>
      <c r="BL315" s="257">
        <f t="shared" si="152"/>
        <v>0</v>
      </c>
      <c r="BM315" s="1" t="s">
        <v>882</v>
      </c>
      <c r="BN315" s="1" t="s">
        <v>532</v>
      </c>
      <c r="BO315" s="1" t="s">
        <v>457</v>
      </c>
      <c r="BP315" s="378" t="s">
        <v>883</v>
      </c>
    </row>
    <row r="316" spans="1:68" ht="15.6">
      <c r="A316" s="250" t="s">
        <v>451</v>
      </c>
      <c r="B316" s="59" t="s">
        <v>221</v>
      </c>
      <c r="C316" s="354" t="s">
        <v>172</v>
      </c>
      <c r="D316" s="419"/>
      <c r="E316" s="281" t="s">
        <v>332</v>
      </c>
      <c r="F316" s="422"/>
      <c r="G316" s="317">
        <v>2023</v>
      </c>
      <c r="H316" s="323" t="s">
        <v>417</v>
      </c>
      <c r="I316" s="327" t="s">
        <v>190</v>
      </c>
      <c r="J316" s="331">
        <v>14</v>
      </c>
      <c r="K316" s="323" t="s">
        <v>884</v>
      </c>
      <c r="L316" s="323" t="s">
        <v>177</v>
      </c>
      <c r="M316" s="303" t="s">
        <v>474</v>
      </c>
      <c r="N316" s="303">
        <v>2.9</v>
      </c>
      <c r="O316" s="303">
        <v>3.75</v>
      </c>
      <c r="P316" s="303">
        <v>4.25</v>
      </c>
      <c r="Q316" s="303">
        <v>4.25</v>
      </c>
      <c r="R316" s="303">
        <v>4.25</v>
      </c>
      <c r="S316" s="303">
        <v>4.25</v>
      </c>
      <c r="T316" s="303">
        <v>4.25</v>
      </c>
      <c r="U316" s="303">
        <v>4.25</v>
      </c>
      <c r="V316" s="303">
        <v>4.25</v>
      </c>
      <c r="W316" s="303">
        <v>4.25</v>
      </c>
      <c r="X316" s="303">
        <v>3.75</v>
      </c>
      <c r="Y316" s="303">
        <v>3.75</v>
      </c>
      <c r="Z316" s="303">
        <v>3.75</v>
      </c>
      <c r="AA316" s="303">
        <v>3.75</v>
      </c>
      <c r="AB316" s="59">
        <v>0.55000000000000004</v>
      </c>
      <c r="AC316" s="59">
        <v>0.65</v>
      </c>
      <c r="AD316" s="59">
        <v>0.65</v>
      </c>
      <c r="AE316" s="59">
        <v>0.65</v>
      </c>
      <c r="AF316" s="59">
        <v>0.65</v>
      </c>
      <c r="AG316" s="59">
        <v>0.65</v>
      </c>
      <c r="AH316" s="59">
        <v>0.65</v>
      </c>
      <c r="AI316" s="59">
        <v>0.65</v>
      </c>
      <c r="AJ316" s="59">
        <v>0.65</v>
      </c>
      <c r="AK316" s="59">
        <v>0.55000000000000004</v>
      </c>
      <c r="AL316" s="59">
        <v>0.55000000000000004</v>
      </c>
      <c r="AM316" s="59">
        <v>0.55000000000000004</v>
      </c>
      <c r="AN316" s="59">
        <v>0.55000000000000004</v>
      </c>
      <c r="AO316" s="260"/>
      <c r="AP316" s="254">
        <f t="shared" si="147"/>
        <v>0</v>
      </c>
      <c r="AQ316" s="260"/>
      <c r="AR316" s="254">
        <f t="shared" si="148"/>
        <v>0</v>
      </c>
      <c r="AS316" s="261"/>
      <c r="AT316" s="254">
        <f t="shared" si="149"/>
        <v>0</v>
      </c>
      <c r="AU316" s="256"/>
      <c r="AV316" s="257">
        <f t="shared" si="153"/>
        <v>0</v>
      </c>
      <c r="AW316" s="382"/>
      <c r="AX316" s="257">
        <f t="shared" si="150"/>
        <v>0</v>
      </c>
      <c r="AY316" s="268"/>
      <c r="AZ316" s="257">
        <f t="shared" si="154"/>
        <v>0</v>
      </c>
      <c r="BA316" s="268"/>
      <c r="BB316" s="257">
        <f t="shared" si="151"/>
        <v>0</v>
      </c>
      <c r="BC316" s="268"/>
      <c r="BD316" s="257">
        <f t="shared" si="155"/>
        <v>0</v>
      </c>
      <c r="BE316" s="268"/>
      <c r="BF316" s="257">
        <f t="shared" si="156"/>
        <v>0</v>
      </c>
      <c r="BG316" s="268"/>
      <c r="BH316" s="257">
        <f t="shared" si="157"/>
        <v>0</v>
      </c>
      <c r="BI316" s="268"/>
      <c r="BJ316" s="257">
        <f t="shared" si="158"/>
        <v>0</v>
      </c>
      <c r="BK316" s="268"/>
      <c r="BL316" s="257">
        <f t="shared" si="152"/>
        <v>0</v>
      </c>
      <c r="BM316" s="1" t="s">
        <v>885</v>
      </c>
      <c r="BN316" s="1" t="s">
        <v>532</v>
      </c>
      <c r="BO316" s="1" t="s">
        <v>457</v>
      </c>
      <c r="BP316" s="378" t="s">
        <v>886</v>
      </c>
    </row>
    <row r="317" spans="1:68" ht="15.6">
      <c r="A317" s="250" t="s">
        <v>451</v>
      </c>
      <c r="B317" s="59" t="s">
        <v>221</v>
      </c>
      <c r="C317" s="354" t="s">
        <v>172</v>
      </c>
      <c r="D317" s="419"/>
      <c r="E317" s="281" t="s">
        <v>332</v>
      </c>
      <c r="F317" s="422"/>
      <c r="G317" s="317">
        <v>2023</v>
      </c>
      <c r="H317" s="323" t="s">
        <v>417</v>
      </c>
      <c r="I317" s="327" t="s">
        <v>190</v>
      </c>
      <c r="J317" s="331">
        <v>14</v>
      </c>
      <c r="K317" s="323" t="s">
        <v>637</v>
      </c>
      <c r="L317" s="323" t="s">
        <v>464</v>
      </c>
      <c r="M317" s="303" t="s">
        <v>513</v>
      </c>
      <c r="N317" s="303">
        <v>2.9</v>
      </c>
      <c r="O317" s="303">
        <v>3.75</v>
      </c>
      <c r="P317" s="303">
        <v>4.25</v>
      </c>
      <c r="Q317" s="303">
        <v>4.25</v>
      </c>
      <c r="R317" s="303">
        <v>4.25</v>
      </c>
      <c r="S317" s="303">
        <v>4.25</v>
      </c>
      <c r="T317" s="303">
        <v>4.25</v>
      </c>
      <c r="U317" s="303">
        <v>4.25</v>
      </c>
      <c r="V317" s="303">
        <v>4.25</v>
      </c>
      <c r="W317" s="303">
        <v>4.25</v>
      </c>
      <c r="X317" s="303">
        <v>3.75</v>
      </c>
      <c r="Y317" s="303">
        <v>3.75</v>
      </c>
      <c r="Z317" s="303">
        <v>3.75</v>
      </c>
      <c r="AA317" s="303">
        <v>3.75</v>
      </c>
      <c r="AB317" s="59">
        <v>0.55000000000000004</v>
      </c>
      <c r="AC317" s="59">
        <v>0.65</v>
      </c>
      <c r="AD317" s="59">
        <v>0.65</v>
      </c>
      <c r="AE317" s="59">
        <v>0.65</v>
      </c>
      <c r="AF317" s="59">
        <v>0.65</v>
      </c>
      <c r="AG317" s="59">
        <v>0.65</v>
      </c>
      <c r="AH317" s="59">
        <v>0.65</v>
      </c>
      <c r="AI317" s="59">
        <v>0.65</v>
      </c>
      <c r="AJ317" s="59">
        <v>0.65</v>
      </c>
      <c r="AK317" s="59">
        <v>0.55000000000000004</v>
      </c>
      <c r="AL317" s="59">
        <v>0.55000000000000004</v>
      </c>
      <c r="AM317" s="59">
        <v>0.55000000000000004</v>
      </c>
      <c r="AN317" s="59">
        <v>0.55000000000000004</v>
      </c>
      <c r="AO317" s="260">
        <v>2157</v>
      </c>
      <c r="AP317" s="254">
        <f t="shared" si="147"/>
        <v>1402.05</v>
      </c>
      <c r="AQ317" s="260">
        <v>840</v>
      </c>
      <c r="AR317" s="254">
        <f t="shared" si="148"/>
        <v>546</v>
      </c>
      <c r="AS317" s="261">
        <v>3880</v>
      </c>
      <c r="AT317" s="254">
        <f t="shared" si="149"/>
        <v>2522</v>
      </c>
      <c r="AU317" s="256">
        <v>560</v>
      </c>
      <c r="AV317" s="257">
        <f t="shared" si="153"/>
        <v>364</v>
      </c>
      <c r="AW317" s="382">
        <v>2920</v>
      </c>
      <c r="AX317" s="257">
        <f t="shared" si="150"/>
        <v>1898</v>
      </c>
      <c r="AY317" s="268">
        <v>720</v>
      </c>
      <c r="AZ317" s="257">
        <f t="shared" si="154"/>
        <v>468</v>
      </c>
      <c r="BA317" s="268">
        <v>280</v>
      </c>
      <c r="BB317" s="257">
        <f t="shared" si="151"/>
        <v>182</v>
      </c>
      <c r="BC317" s="268">
        <v>920</v>
      </c>
      <c r="BD317" s="257">
        <f t="shared" si="155"/>
        <v>598</v>
      </c>
      <c r="BE317" s="268">
        <v>1000</v>
      </c>
      <c r="BF317" s="257">
        <f t="shared" si="156"/>
        <v>550</v>
      </c>
      <c r="BG317" s="268">
        <v>280</v>
      </c>
      <c r="BH317" s="257">
        <f t="shared" si="157"/>
        <v>154</v>
      </c>
      <c r="BI317" s="268">
        <v>40</v>
      </c>
      <c r="BJ317" s="257">
        <f t="shared" si="158"/>
        <v>22</v>
      </c>
      <c r="BK317" s="268"/>
      <c r="BL317" s="257">
        <f t="shared" si="152"/>
        <v>0</v>
      </c>
      <c r="BM317" s="1" t="s">
        <v>860</v>
      </c>
      <c r="BO317" s="1" t="s">
        <v>457</v>
      </c>
      <c r="BP317" s="378" t="s">
        <v>861</v>
      </c>
    </row>
    <row r="318" spans="1:68" ht="15.6">
      <c r="A318" s="250" t="s">
        <v>451</v>
      </c>
      <c r="B318" s="59" t="s">
        <v>221</v>
      </c>
      <c r="C318" s="354" t="s">
        <v>172</v>
      </c>
      <c r="D318" s="419"/>
      <c r="E318" s="281" t="s">
        <v>332</v>
      </c>
      <c r="F318" s="422"/>
      <c r="G318" s="317">
        <v>2023</v>
      </c>
      <c r="H318" s="323" t="s">
        <v>417</v>
      </c>
      <c r="I318" s="332" t="s">
        <v>183</v>
      </c>
      <c r="J318" s="331">
        <v>14</v>
      </c>
      <c r="K318" s="323" t="s">
        <v>210</v>
      </c>
      <c r="L318" s="323" t="s">
        <v>464</v>
      </c>
      <c r="M318" s="303" t="s">
        <v>513</v>
      </c>
      <c r="N318" s="303">
        <v>9.65</v>
      </c>
      <c r="O318" s="303">
        <v>9.4</v>
      </c>
      <c r="P318" s="303">
        <v>11.5</v>
      </c>
      <c r="Q318" s="303">
        <v>11.5</v>
      </c>
      <c r="R318" s="303">
        <v>11.5</v>
      </c>
      <c r="S318" s="303">
        <v>11.5</v>
      </c>
      <c r="T318" s="303">
        <v>11.5</v>
      </c>
      <c r="U318" s="303">
        <v>11.5</v>
      </c>
      <c r="V318" s="303">
        <v>11.5</v>
      </c>
      <c r="W318" s="303">
        <v>11.5</v>
      </c>
      <c r="X318" s="303">
        <v>9.4</v>
      </c>
      <c r="Y318" s="303">
        <v>9.4</v>
      </c>
      <c r="Z318" s="303">
        <v>9.4</v>
      </c>
      <c r="AA318" s="303">
        <v>9.4</v>
      </c>
      <c r="AB318" s="59">
        <v>1.1000000000000001</v>
      </c>
      <c r="AC318" s="59">
        <v>1.1000000000000001</v>
      </c>
      <c r="AD318" s="59">
        <v>1.1000000000000001</v>
      </c>
      <c r="AE318" s="59">
        <v>1.1000000000000001</v>
      </c>
      <c r="AF318" s="59">
        <v>1.1000000000000001</v>
      </c>
      <c r="AG318" s="59">
        <v>1.1000000000000001</v>
      </c>
      <c r="AH318" s="59">
        <v>1.1000000000000001</v>
      </c>
      <c r="AI318" s="59">
        <v>1.1000000000000001</v>
      </c>
      <c r="AJ318" s="59">
        <v>1.1000000000000001</v>
      </c>
      <c r="AK318" s="59">
        <v>2.1</v>
      </c>
      <c r="AL318" s="59">
        <v>2.1</v>
      </c>
      <c r="AM318" s="59">
        <v>2.1</v>
      </c>
      <c r="AN318" s="59">
        <v>2.1</v>
      </c>
      <c r="AO318" s="260"/>
      <c r="AP318" s="254">
        <f t="shared" si="147"/>
        <v>0</v>
      </c>
      <c r="AQ318" s="260">
        <v>200</v>
      </c>
      <c r="AR318" s="254">
        <f t="shared" si="148"/>
        <v>220.00000000000003</v>
      </c>
      <c r="AS318" s="260"/>
      <c r="AT318" s="254">
        <f t="shared" si="149"/>
        <v>0</v>
      </c>
      <c r="AU318" s="260"/>
      <c r="AV318" s="257">
        <f t="shared" si="153"/>
        <v>0</v>
      </c>
      <c r="AW318" s="383"/>
      <c r="AX318" s="257">
        <f t="shared" si="150"/>
        <v>0</v>
      </c>
      <c r="AY318" s="268"/>
      <c r="AZ318" s="257">
        <f t="shared" si="154"/>
        <v>0</v>
      </c>
      <c r="BA318" s="270"/>
      <c r="BB318" s="257">
        <f t="shared" si="151"/>
        <v>0</v>
      </c>
      <c r="BC318" s="270"/>
      <c r="BD318" s="257">
        <f t="shared" si="155"/>
        <v>0</v>
      </c>
      <c r="BE318" s="268"/>
      <c r="BF318" s="257">
        <f t="shared" si="156"/>
        <v>0</v>
      </c>
      <c r="BG318" s="268"/>
      <c r="BH318" s="257">
        <f t="shared" si="157"/>
        <v>0</v>
      </c>
      <c r="BI318" s="268"/>
      <c r="BJ318" s="257">
        <f t="shared" si="158"/>
        <v>0</v>
      </c>
      <c r="BK318" s="268"/>
      <c r="BL318" s="257">
        <f t="shared" si="152"/>
        <v>0</v>
      </c>
      <c r="BM318" s="1" t="s">
        <v>862</v>
      </c>
      <c r="BO318" s="1" t="s">
        <v>457</v>
      </c>
      <c r="BP318" s="378" t="s">
        <v>863</v>
      </c>
    </row>
    <row r="319" spans="1:68" ht="15.6">
      <c r="A319" s="250" t="s">
        <v>451</v>
      </c>
      <c r="B319" s="59" t="s">
        <v>221</v>
      </c>
      <c r="C319" s="354" t="s">
        <v>172</v>
      </c>
      <c r="D319" s="419"/>
      <c r="E319" s="281" t="s">
        <v>332</v>
      </c>
      <c r="F319" s="422"/>
      <c r="G319" s="317">
        <v>2023</v>
      </c>
      <c r="H319" s="323" t="s">
        <v>417</v>
      </c>
      <c r="I319" s="327" t="s">
        <v>190</v>
      </c>
      <c r="J319" s="331">
        <v>14</v>
      </c>
      <c r="K319" s="323" t="s">
        <v>210</v>
      </c>
      <c r="L319" s="323" t="s">
        <v>464</v>
      </c>
      <c r="M319" s="303" t="s">
        <v>513</v>
      </c>
      <c r="N319" s="303">
        <v>5.2</v>
      </c>
      <c r="O319" s="303">
        <v>5.6</v>
      </c>
      <c r="P319" s="303">
        <v>5.85</v>
      </c>
      <c r="Q319" s="303">
        <v>5.85</v>
      </c>
      <c r="R319" s="303">
        <v>5.85</v>
      </c>
      <c r="S319" s="303">
        <v>5.85</v>
      </c>
      <c r="T319" s="303">
        <v>5.85</v>
      </c>
      <c r="U319" s="303">
        <v>5.85</v>
      </c>
      <c r="V319" s="303">
        <v>5.85</v>
      </c>
      <c r="W319" s="303">
        <v>5.85</v>
      </c>
      <c r="X319" s="303">
        <v>5.6</v>
      </c>
      <c r="Y319" s="303">
        <v>5.6</v>
      </c>
      <c r="Z319" s="303">
        <v>5.6</v>
      </c>
      <c r="AA319" s="303">
        <v>5.6</v>
      </c>
      <c r="AB319" s="59">
        <v>0.35</v>
      </c>
      <c r="AC319" s="59">
        <v>0.35</v>
      </c>
      <c r="AD319" s="59">
        <v>0.35</v>
      </c>
      <c r="AE319" s="59">
        <v>0.35</v>
      </c>
      <c r="AF319" s="59">
        <v>0.35</v>
      </c>
      <c r="AG319" s="59">
        <v>0.35</v>
      </c>
      <c r="AH319" s="59">
        <v>0.35</v>
      </c>
      <c r="AI319" s="59">
        <v>0.35</v>
      </c>
      <c r="AJ319" s="59">
        <v>0.35</v>
      </c>
      <c r="AK319" s="59">
        <v>0.7</v>
      </c>
      <c r="AL319" s="59">
        <v>0.7</v>
      </c>
      <c r="AM319" s="59">
        <v>0.7</v>
      </c>
      <c r="AN319" s="59">
        <v>0.7</v>
      </c>
      <c r="AO319" s="260"/>
      <c r="AP319" s="254">
        <f t="shared" si="147"/>
        <v>0</v>
      </c>
      <c r="AQ319" s="260"/>
      <c r="AR319" s="254">
        <f t="shared" si="148"/>
        <v>0</v>
      </c>
      <c r="AS319" s="260"/>
      <c r="AT319" s="254">
        <f t="shared" si="149"/>
        <v>0</v>
      </c>
      <c r="AU319" s="260"/>
      <c r="AV319" s="257">
        <f t="shared" si="153"/>
        <v>0</v>
      </c>
      <c r="AW319" s="383"/>
      <c r="AX319" s="257">
        <f t="shared" si="150"/>
        <v>0</v>
      </c>
      <c r="AY319" s="268"/>
      <c r="AZ319" s="257">
        <f t="shared" si="154"/>
        <v>0</v>
      </c>
      <c r="BA319" s="270"/>
      <c r="BB319" s="257">
        <f t="shared" si="151"/>
        <v>0</v>
      </c>
      <c r="BC319" s="270"/>
      <c r="BD319" s="257">
        <f t="shared" si="155"/>
        <v>0</v>
      </c>
      <c r="BE319" s="268"/>
      <c r="BF319" s="257">
        <f t="shared" si="156"/>
        <v>0</v>
      </c>
      <c r="BG319" s="268"/>
      <c r="BH319" s="257">
        <f t="shared" si="157"/>
        <v>0</v>
      </c>
      <c r="BI319" s="268"/>
      <c r="BJ319" s="257">
        <f t="shared" si="158"/>
        <v>0</v>
      </c>
      <c r="BK319" s="268"/>
      <c r="BL319" s="257">
        <f t="shared" si="152"/>
        <v>0</v>
      </c>
      <c r="BM319" s="1" t="s">
        <v>864</v>
      </c>
      <c r="BO319" s="1" t="s">
        <v>457</v>
      </c>
      <c r="BP319" s="378" t="s">
        <v>865</v>
      </c>
    </row>
    <row r="320" spans="1:68" ht="15.6">
      <c r="A320" s="250" t="s">
        <v>451</v>
      </c>
      <c r="B320" s="59" t="s">
        <v>221</v>
      </c>
      <c r="C320" s="354" t="s">
        <v>172</v>
      </c>
      <c r="D320" s="419"/>
      <c r="E320" s="281" t="s">
        <v>332</v>
      </c>
      <c r="F320" s="422"/>
      <c r="G320" s="317">
        <v>2023</v>
      </c>
      <c r="H320" s="323" t="s">
        <v>417</v>
      </c>
      <c r="I320" s="332" t="s">
        <v>183</v>
      </c>
      <c r="J320" s="331">
        <v>14</v>
      </c>
      <c r="K320" s="328" t="s">
        <v>243</v>
      </c>
      <c r="L320" s="323" t="s">
        <v>464</v>
      </c>
      <c r="M320" s="303" t="s">
        <v>513</v>
      </c>
      <c r="N320" s="303">
        <v>9.65</v>
      </c>
      <c r="O320" s="303">
        <v>8.6999999999999993</v>
      </c>
      <c r="P320" s="303">
        <v>11.5</v>
      </c>
      <c r="Q320" s="303">
        <v>11.5</v>
      </c>
      <c r="R320" s="303">
        <v>11.5</v>
      </c>
      <c r="S320" s="303">
        <v>11.5</v>
      </c>
      <c r="T320" s="303">
        <v>11.5</v>
      </c>
      <c r="U320" s="303">
        <v>11.5</v>
      </c>
      <c r="V320" s="303">
        <v>11.5</v>
      </c>
      <c r="W320" s="303">
        <v>11.5</v>
      </c>
      <c r="X320" s="303">
        <v>9.4</v>
      </c>
      <c r="Y320" s="303">
        <v>8.6999999999999993</v>
      </c>
      <c r="Z320" s="303">
        <v>8.6999999999999993</v>
      </c>
      <c r="AA320" s="303">
        <v>8.6999999999999993</v>
      </c>
      <c r="AB320" s="59">
        <v>1.1000000000000001</v>
      </c>
      <c r="AC320" s="59">
        <v>1.1000000000000001</v>
      </c>
      <c r="AD320" s="59">
        <v>1.1000000000000001</v>
      </c>
      <c r="AE320" s="59">
        <v>1.1000000000000001</v>
      </c>
      <c r="AF320" s="59">
        <v>1.1000000000000001</v>
      </c>
      <c r="AG320" s="59">
        <v>1.1000000000000001</v>
      </c>
      <c r="AH320" s="59">
        <v>1.1000000000000001</v>
      </c>
      <c r="AI320" s="59">
        <v>1.1000000000000001</v>
      </c>
      <c r="AJ320" s="59">
        <v>1.1000000000000001</v>
      </c>
      <c r="AK320" s="59">
        <v>2.1</v>
      </c>
      <c r="AL320" s="59">
        <v>1.45</v>
      </c>
      <c r="AM320" s="59">
        <v>1.45</v>
      </c>
      <c r="AN320" s="59">
        <v>1.45</v>
      </c>
      <c r="AO320" s="260">
        <v>4600</v>
      </c>
      <c r="AP320" s="254">
        <f t="shared" si="147"/>
        <v>5060</v>
      </c>
      <c r="AQ320" s="260">
        <v>5400</v>
      </c>
      <c r="AR320" s="254">
        <f t="shared" si="148"/>
        <v>5940.0000000000009</v>
      </c>
      <c r="AS320" s="260">
        <v>920</v>
      </c>
      <c r="AT320" s="254">
        <f t="shared" si="149"/>
        <v>1012.0000000000001</v>
      </c>
      <c r="AU320" s="260">
        <v>320</v>
      </c>
      <c r="AV320" s="257">
        <f t="shared" si="153"/>
        <v>352</v>
      </c>
      <c r="AW320" s="383">
        <v>720</v>
      </c>
      <c r="AX320" s="257">
        <f t="shared" si="150"/>
        <v>792.00000000000011</v>
      </c>
      <c r="AY320" s="268">
        <v>360</v>
      </c>
      <c r="AZ320" s="257">
        <f t="shared" si="154"/>
        <v>396.00000000000006</v>
      </c>
      <c r="BA320" s="270">
        <v>639</v>
      </c>
      <c r="BB320" s="257">
        <f t="shared" si="151"/>
        <v>702.90000000000009</v>
      </c>
      <c r="BC320" s="270">
        <v>200</v>
      </c>
      <c r="BD320" s="257">
        <f t="shared" si="155"/>
        <v>220.00000000000003</v>
      </c>
      <c r="BE320" s="268"/>
      <c r="BF320" s="257">
        <f t="shared" si="156"/>
        <v>0</v>
      </c>
      <c r="BG320" s="268"/>
      <c r="BH320" s="257">
        <f t="shared" si="157"/>
        <v>0</v>
      </c>
      <c r="BI320" s="268"/>
      <c r="BJ320" s="257">
        <f t="shared" si="158"/>
        <v>0</v>
      </c>
      <c r="BK320" s="268"/>
      <c r="BL320" s="257">
        <f t="shared" si="152"/>
        <v>0</v>
      </c>
      <c r="BM320" s="1" t="s">
        <v>866</v>
      </c>
      <c r="BO320" s="1" t="s">
        <v>457</v>
      </c>
      <c r="BP320" s="378" t="s">
        <v>867</v>
      </c>
    </row>
    <row r="321" spans="1:68" ht="15.6">
      <c r="A321" s="250" t="s">
        <v>451</v>
      </c>
      <c r="B321" s="59" t="s">
        <v>221</v>
      </c>
      <c r="C321" s="354" t="s">
        <v>172</v>
      </c>
      <c r="D321" s="419"/>
      <c r="E321" s="281" t="s">
        <v>332</v>
      </c>
      <c r="F321" s="422"/>
      <c r="G321" s="317">
        <v>2023</v>
      </c>
      <c r="H321" s="323" t="s">
        <v>417</v>
      </c>
      <c r="I321" s="327" t="s">
        <v>190</v>
      </c>
      <c r="J321" s="331">
        <v>14</v>
      </c>
      <c r="K321" s="328" t="s">
        <v>243</v>
      </c>
      <c r="L321" s="323" t="s">
        <v>464</v>
      </c>
      <c r="M321" s="303" t="s">
        <v>513</v>
      </c>
      <c r="N321" s="303">
        <v>2.9</v>
      </c>
      <c r="O321" s="303">
        <v>3.75</v>
      </c>
      <c r="P321" s="303">
        <v>4.25</v>
      </c>
      <c r="Q321" s="303">
        <v>4.25</v>
      </c>
      <c r="R321" s="303">
        <v>4.25</v>
      </c>
      <c r="S321" s="303">
        <v>4.25</v>
      </c>
      <c r="T321" s="303">
        <v>4.25</v>
      </c>
      <c r="U321" s="303">
        <v>4.25</v>
      </c>
      <c r="V321" s="303">
        <v>4.25</v>
      </c>
      <c r="W321" s="303">
        <v>4.25</v>
      </c>
      <c r="X321" s="303">
        <v>3.75</v>
      </c>
      <c r="Y321" s="303">
        <v>3.75</v>
      </c>
      <c r="Z321" s="303">
        <v>3.75</v>
      </c>
      <c r="AA321" s="303">
        <v>3.75</v>
      </c>
      <c r="AB321" s="59">
        <v>0.55000000000000004</v>
      </c>
      <c r="AC321" s="59">
        <v>0.65</v>
      </c>
      <c r="AD321" s="59">
        <v>0.65</v>
      </c>
      <c r="AE321" s="59">
        <v>0.65</v>
      </c>
      <c r="AF321" s="59">
        <v>0.65</v>
      </c>
      <c r="AG321" s="59">
        <v>0.65</v>
      </c>
      <c r="AH321" s="59">
        <v>0.65</v>
      </c>
      <c r="AI321" s="59">
        <v>0.65</v>
      </c>
      <c r="AJ321" s="59">
        <v>0.65</v>
      </c>
      <c r="AK321" s="59">
        <v>0.55000000000000004</v>
      </c>
      <c r="AL321" s="59">
        <v>0.55000000000000004</v>
      </c>
      <c r="AM321" s="59">
        <v>0.55000000000000004</v>
      </c>
      <c r="AN321" s="59">
        <v>0.55000000000000004</v>
      </c>
      <c r="AO321" s="260">
        <v>12616</v>
      </c>
      <c r="AP321" s="254">
        <f t="shared" si="147"/>
        <v>8200.4</v>
      </c>
      <c r="AQ321" s="260">
        <v>10320</v>
      </c>
      <c r="AR321" s="254">
        <f t="shared" si="148"/>
        <v>6708</v>
      </c>
      <c r="AS321" s="260">
        <v>5000</v>
      </c>
      <c r="AT321" s="254">
        <f t="shared" si="149"/>
        <v>3250</v>
      </c>
      <c r="AU321" s="260">
        <v>6560</v>
      </c>
      <c r="AV321" s="257">
        <f t="shared" si="153"/>
        <v>4264</v>
      </c>
      <c r="AW321" s="383">
        <v>480</v>
      </c>
      <c r="AX321" s="257">
        <f t="shared" si="150"/>
        <v>312</v>
      </c>
      <c r="AY321" s="268">
        <v>680</v>
      </c>
      <c r="AZ321" s="257">
        <f t="shared" si="154"/>
        <v>442</v>
      </c>
      <c r="BA321" s="270">
        <v>2159</v>
      </c>
      <c r="BB321" s="257">
        <f t="shared" si="151"/>
        <v>1403.3500000000001</v>
      </c>
      <c r="BC321" s="270">
        <v>40</v>
      </c>
      <c r="BD321" s="257">
        <f t="shared" si="155"/>
        <v>26</v>
      </c>
      <c r="BE321" s="268"/>
      <c r="BF321" s="257">
        <f t="shared" si="156"/>
        <v>0</v>
      </c>
      <c r="BG321" s="268"/>
      <c r="BH321" s="257">
        <f t="shared" si="157"/>
        <v>0</v>
      </c>
      <c r="BI321" s="268"/>
      <c r="BJ321" s="257">
        <f t="shared" si="158"/>
        <v>0</v>
      </c>
      <c r="BK321" s="268"/>
      <c r="BL321" s="257">
        <f t="shared" si="152"/>
        <v>0</v>
      </c>
      <c r="BM321" s="1" t="s">
        <v>868</v>
      </c>
      <c r="BO321" s="1" t="s">
        <v>457</v>
      </c>
      <c r="BP321" s="378" t="s">
        <v>869</v>
      </c>
    </row>
    <row r="322" spans="1:68" ht="15.6">
      <c r="A322" s="250" t="s">
        <v>451</v>
      </c>
      <c r="B322" s="59" t="s">
        <v>221</v>
      </c>
      <c r="C322" s="354" t="s">
        <v>172</v>
      </c>
      <c r="D322" s="419"/>
      <c r="E322" s="281" t="s">
        <v>332</v>
      </c>
      <c r="F322" s="422"/>
      <c r="G322" s="317">
        <v>2023</v>
      </c>
      <c r="H322" s="323" t="s">
        <v>417</v>
      </c>
      <c r="I322" s="332" t="s">
        <v>183</v>
      </c>
      <c r="J322" s="331">
        <v>14</v>
      </c>
      <c r="K322" s="323" t="s">
        <v>245</v>
      </c>
      <c r="L322" s="323" t="s">
        <v>464</v>
      </c>
      <c r="M322" s="303" t="s">
        <v>513</v>
      </c>
      <c r="N322" s="303">
        <v>10.15</v>
      </c>
      <c r="O322" s="303">
        <v>15.8</v>
      </c>
      <c r="P322" s="303">
        <v>15.8</v>
      </c>
      <c r="Q322" s="303">
        <v>15.8</v>
      </c>
      <c r="R322" s="303">
        <v>15.8</v>
      </c>
      <c r="S322" s="303">
        <v>15.8</v>
      </c>
      <c r="T322" s="303">
        <v>15.8</v>
      </c>
      <c r="U322" s="303">
        <v>15.8</v>
      </c>
      <c r="V322" s="303">
        <v>15.8</v>
      </c>
      <c r="W322" s="303">
        <v>15.8</v>
      </c>
      <c r="X322" s="303">
        <v>15.8</v>
      </c>
      <c r="Y322" s="303">
        <v>15.8</v>
      </c>
      <c r="Z322" s="303">
        <v>15.8</v>
      </c>
      <c r="AA322" s="303">
        <v>15.8</v>
      </c>
      <c r="AB322" s="59">
        <v>3.5</v>
      </c>
      <c r="AC322" s="59">
        <v>3.5</v>
      </c>
      <c r="AD322" s="59">
        <v>3.5</v>
      </c>
      <c r="AE322" s="59">
        <v>3.5</v>
      </c>
      <c r="AF322" s="59">
        <v>3.5</v>
      </c>
      <c r="AG322" s="59">
        <v>3.5</v>
      </c>
      <c r="AH322" s="59">
        <v>3.5</v>
      </c>
      <c r="AI322" s="59">
        <v>3.5</v>
      </c>
      <c r="AJ322" s="59">
        <v>3.5</v>
      </c>
      <c r="AK322" s="59">
        <v>7.8</v>
      </c>
      <c r="AL322" s="59">
        <v>7.8</v>
      </c>
      <c r="AM322" s="59">
        <v>7.8</v>
      </c>
      <c r="AN322" s="59">
        <v>7.8</v>
      </c>
      <c r="AO322" s="260"/>
      <c r="AP322" s="254">
        <f t="shared" si="147"/>
        <v>0</v>
      </c>
      <c r="AQ322" s="260"/>
      <c r="AR322" s="254">
        <f t="shared" si="148"/>
        <v>0</v>
      </c>
      <c r="AS322" s="260"/>
      <c r="AT322" s="254">
        <f t="shared" si="149"/>
        <v>0</v>
      </c>
      <c r="AU322" s="260">
        <v>440</v>
      </c>
      <c r="AV322" s="257">
        <f t="shared" si="153"/>
        <v>1540</v>
      </c>
      <c r="AW322" s="383"/>
      <c r="AX322" s="257">
        <f t="shared" si="150"/>
        <v>0</v>
      </c>
      <c r="AY322" s="268"/>
      <c r="AZ322" s="257">
        <f t="shared" si="154"/>
        <v>0</v>
      </c>
      <c r="BA322" s="270"/>
      <c r="BB322" s="257">
        <f t="shared" si="151"/>
        <v>0</v>
      </c>
      <c r="BC322" s="270"/>
      <c r="BD322" s="257">
        <f t="shared" si="155"/>
        <v>0</v>
      </c>
      <c r="BE322" s="268"/>
      <c r="BF322" s="257">
        <f t="shared" si="156"/>
        <v>0</v>
      </c>
      <c r="BG322" s="268"/>
      <c r="BH322" s="257">
        <f t="shared" si="157"/>
        <v>0</v>
      </c>
      <c r="BI322" s="268"/>
      <c r="BJ322" s="257">
        <f t="shared" si="158"/>
        <v>0</v>
      </c>
      <c r="BK322" s="268"/>
      <c r="BL322" s="257">
        <f t="shared" si="152"/>
        <v>0</v>
      </c>
      <c r="BM322" s="1" t="s">
        <v>870</v>
      </c>
      <c r="BO322" s="1" t="s">
        <v>457</v>
      </c>
      <c r="BP322" s="378" t="s">
        <v>871</v>
      </c>
    </row>
    <row r="323" spans="1:68" ht="15.6">
      <c r="A323" s="250" t="s">
        <v>451</v>
      </c>
      <c r="B323" s="59" t="s">
        <v>221</v>
      </c>
      <c r="C323" s="354" t="s">
        <v>172</v>
      </c>
      <c r="D323" s="419"/>
      <c r="E323" s="281" t="s">
        <v>332</v>
      </c>
      <c r="F323" s="422"/>
      <c r="G323" s="317">
        <v>2023</v>
      </c>
      <c r="H323" s="323" t="s">
        <v>417</v>
      </c>
      <c r="I323" s="327" t="s">
        <v>190</v>
      </c>
      <c r="J323" s="331">
        <v>14</v>
      </c>
      <c r="K323" s="323" t="s">
        <v>637</v>
      </c>
      <c r="L323" s="323" t="s">
        <v>464</v>
      </c>
      <c r="M323" s="303" t="s">
        <v>513</v>
      </c>
      <c r="N323" s="303">
        <v>2.9</v>
      </c>
      <c r="O323" s="303">
        <v>3.75</v>
      </c>
      <c r="P323" s="303">
        <v>4.25</v>
      </c>
      <c r="Q323" s="303">
        <v>4.25</v>
      </c>
      <c r="R323" s="303">
        <v>4.25</v>
      </c>
      <c r="S323" s="303">
        <v>4.25</v>
      </c>
      <c r="T323" s="303">
        <v>4.25</v>
      </c>
      <c r="U323" s="303">
        <v>4.25</v>
      </c>
      <c r="V323" s="303">
        <v>4.25</v>
      </c>
      <c r="W323" s="303">
        <v>4.25</v>
      </c>
      <c r="X323" s="303">
        <v>3.75</v>
      </c>
      <c r="Y323" s="303">
        <v>3.75</v>
      </c>
      <c r="Z323" s="303">
        <v>3.75</v>
      </c>
      <c r="AA323" s="303">
        <v>3.75</v>
      </c>
      <c r="AB323" s="59">
        <v>0.55000000000000004</v>
      </c>
      <c r="AC323" s="59">
        <v>0.65</v>
      </c>
      <c r="AD323" s="59">
        <v>0.65</v>
      </c>
      <c r="AE323" s="59">
        <v>0.65</v>
      </c>
      <c r="AF323" s="59">
        <v>0.65</v>
      </c>
      <c r="AG323" s="59">
        <v>0.65</v>
      </c>
      <c r="AH323" s="59">
        <v>0.65</v>
      </c>
      <c r="AI323" s="59">
        <v>0.65</v>
      </c>
      <c r="AJ323" s="59">
        <v>0.65</v>
      </c>
      <c r="AK323" s="59">
        <v>0.55000000000000004</v>
      </c>
      <c r="AL323" s="59">
        <v>0.55000000000000004</v>
      </c>
      <c r="AM323" s="59">
        <v>0.55000000000000004</v>
      </c>
      <c r="AN323" s="59">
        <v>0.55000000000000004</v>
      </c>
      <c r="AO323" s="260"/>
      <c r="AP323" s="254">
        <f t="shared" si="147"/>
        <v>0</v>
      </c>
      <c r="AQ323" s="260"/>
      <c r="AR323" s="254">
        <f t="shared" si="148"/>
        <v>0</v>
      </c>
      <c r="AS323" s="260"/>
      <c r="AT323" s="254">
        <f t="shared" si="149"/>
        <v>0</v>
      </c>
      <c r="AU323" s="260"/>
      <c r="AV323" s="257">
        <f t="shared" si="153"/>
        <v>0</v>
      </c>
      <c r="AW323" s="383">
        <v>680</v>
      </c>
      <c r="AX323" s="257">
        <f t="shared" si="150"/>
        <v>442</v>
      </c>
      <c r="AY323" s="268">
        <v>6720</v>
      </c>
      <c r="AZ323" s="257">
        <f t="shared" si="154"/>
        <v>4368</v>
      </c>
      <c r="BA323" s="270">
        <v>1320</v>
      </c>
      <c r="BB323" s="257">
        <f t="shared" si="151"/>
        <v>858</v>
      </c>
      <c r="BC323" s="270">
        <v>240</v>
      </c>
      <c r="BD323" s="257">
        <f t="shared" si="155"/>
        <v>156</v>
      </c>
      <c r="BE323" s="268">
        <v>1360</v>
      </c>
      <c r="BF323" s="257">
        <f t="shared" si="156"/>
        <v>748.00000000000011</v>
      </c>
      <c r="BG323" s="268">
        <v>560</v>
      </c>
      <c r="BH323" s="257">
        <f t="shared" si="157"/>
        <v>308</v>
      </c>
      <c r="BI323" s="268">
        <v>160</v>
      </c>
      <c r="BJ323" s="257">
        <f t="shared" si="158"/>
        <v>88</v>
      </c>
      <c r="BK323" s="268">
        <v>120</v>
      </c>
      <c r="BL323" s="257">
        <f t="shared" si="152"/>
        <v>66</v>
      </c>
      <c r="BM323" s="1" t="s">
        <v>872</v>
      </c>
      <c r="BN323" s="1" t="s">
        <v>532</v>
      </c>
      <c r="BO323" s="1" t="s">
        <v>457</v>
      </c>
      <c r="BP323" s="378" t="s">
        <v>873</v>
      </c>
    </row>
    <row r="324" spans="1:68" ht="15.6">
      <c r="A324" s="250" t="s">
        <v>451</v>
      </c>
      <c r="B324" s="59" t="s">
        <v>221</v>
      </c>
      <c r="C324" s="354" t="s">
        <v>172</v>
      </c>
      <c r="D324" s="419"/>
      <c r="E324" s="281" t="s">
        <v>332</v>
      </c>
      <c r="F324" s="422"/>
      <c r="G324" s="317">
        <v>2023</v>
      </c>
      <c r="H324" s="323" t="s">
        <v>417</v>
      </c>
      <c r="I324" s="332" t="s">
        <v>183</v>
      </c>
      <c r="J324" s="331">
        <v>14</v>
      </c>
      <c r="K324" s="323" t="s">
        <v>210</v>
      </c>
      <c r="L324" s="323" t="s">
        <v>464</v>
      </c>
      <c r="M324" s="303" t="s">
        <v>513</v>
      </c>
      <c r="N324" s="303">
        <v>9.65</v>
      </c>
      <c r="O324" s="303">
        <v>9.4</v>
      </c>
      <c r="P324" s="303">
        <v>11.5</v>
      </c>
      <c r="Q324" s="303">
        <v>11.5</v>
      </c>
      <c r="R324" s="303">
        <v>11.5</v>
      </c>
      <c r="S324" s="303">
        <v>11.5</v>
      </c>
      <c r="T324" s="303">
        <v>11.5</v>
      </c>
      <c r="U324" s="303">
        <v>11.5</v>
      </c>
      <c r="V324" s="303">
        <v>11.5</v>
      </c>
      <c r="W324" s="303">
        <v>11.5</v>
      </c>
      <c r="X324" s="303">
        <v>9.4</v>
      </c>
      <c r="Y324" s="303">
        <v>9.4</v>
      </c>
      <c r="Z324" s="303">
        <v>9.4</v>
      </c>
      <c r="AA324" s="303">
        <v>9.4</v>
      </c>
      <c r="AB324" s="59">
        <v>1.1000000000000001</v>
      </c>
      <c r="AC324" s="59">
        <v>1.1000000000000001</v>
      </c>
      <c r="AD324" s="59">
        <v>1.1000000000000001</v>
      </c>
      <c r="AE324" s="59">
        <v>1.1000000000000001</v>
      </c>
      <c r="AF324" s="59">
        <v>1.1000000000000001</v>
      </c>
      <c r="AG324" s="59">
        <v>1.1000000000000001</v>
      </c>
      <c r="AH324" s="59">
        <v>1.1000000000000001</v>
      </c>
      <c r="AI324" s="59">
        <v>1.1000000000000001</v>
      </c>
      <c r="AJ324" s="59">
        <v>1.1000000000000001</v>
      </c>
      <c r="AK324" s="59">
        <v>2.1</v>
      </c>
      <c r="AL324" s="59">
        <v>2.1</v>
      </c>
      <c r="AM324" s="59">
        <v>2.1</v>
      </c>
      <c r="AN324" s="59">
        <v>2.1</v>
      </c>
      <c r="AO324" s="260"/>
      <c r="AP324" s="254">
        <f t="shared" si="147"/>
        <v>0</v>
      </c>
      <c r="AQ324" s="260"/>
      <c r="AR324" s="254">
        <f t="shared" si="148"/>
        <v>0</v>
      </c>
      <c r="AS324" s="260"/>
      <c r="AT324" s="254">
        <f t="shared" si="149"/>
        <v>0</v>
      </c>
      <c r="AU324" s="260"/>
      <c r="AV324" s="257">
        <f t="shared" si="153"/>
        <v>0</v>
      </c>
      <c r="AW324" s="383"/>
      <c r="AX324" s="257">
        <f t="shared" si="150"/>
        <v>0</v>
      </c>
      <c r="AY324" s="268"/>
      <c r="AZ324" s="257">
        <f t="shared" si="154"/>
        <v>0</v>
      </c>
      <c r="BA324" s="270"/>
      <c r="BB324" s="257">
        <f t="shared" si="151"/>
        <v>0</v>
      </c>
      <c r="BC324" s="270"/>
      <c r="BD324" s="257">
        <f t="shared" si="155"/>
        <v>0</v>
      </c>
      <c r="BE324" s="268"/>
      <c r="BF324" s="257">
        <f t="shared" si="156"/>
        <v>0</v>
      </c>
      <c r="BG324" s="268"/>
      <c r="BH324" s="257">
        <f t="shared" si="157"/>
        <v>0</v>
      </c>
      <c r="BI324" s="268"/>
      <c r="BJ324" s="257">
        <f t="shared" si="158"/>
        <v>0</v>
      </c>
      <c r="BK324" s="268"/>
      <c r="BL324" s="257">
        <f t="shared" si="152"/>
        <v>0</v>
      </c>
      <c r="BM324" s="1" t="s">
        <v>874</v>
      </c>
      <c r="BN324" s="1" t="s">
        <v>532</v>
      </c>
      <c r="BO324" s="1" t="s">
        <v>457</v>
      </c>
      <c r="BP324" s="378" t="s">
        <v>875</v>
      </c>
    </row>
    <row r="325" spans="1:68" ht="15.6">
      <c r="A325" s="250" t="s">
        <v>451</v>
      </c>
      <c r="B325" s="59" t="s">
        <v>221</v>
      </c>
      <c r="C325" s="354" t="s">
        <v>172</v>
      </c>
      <c r="D325" s="419"/>
      <c r="E325" s="281" t="s">
        <v>332</v>
      </c>
      <c r="F325" s="422"/>
      <c r="G325" s="317">
        <v>2023</v>
      </c>
      <c r="H325" s="323" t="s">
        <v>417</v>
      </c>
      <c r="I325" s="327" t="s">
        <v>190</v>
      </c>
      <c r="J325" s="331">
        <v>14</v>
      </c>
      <c r="K325" s="323" t="s">
        <v>210</v>
      </c>
      <c r="L325" s="323" t="s">
        <v>464</v>
      </c>
      <c r="M325" s="303" t="s">
        <v>513</v>
      </c>
      <c r="N325" s="303">
        <v>5.2</v>
      </c>
      <c r="O325" s="303">
        <v>5.6</v>
      </c>
      <c r="P325" s="303">
        <v>5.85</v>
      </c>
      <c r="Q325" s="303">
        <v>5.85</v>
      </c>
      <c r="R325" s="303">
        <v>5.85</v>
      </c>
      <c r="S325" s="303">
        <v>5.85</v>
      </c>
      <c r="T325" s="303">
        <v>5.85</v>
      </c>
      <c r="U325" s="303">
        <v>5.85</v>
      </c>
      <c r="V325" s="303">
        <v>5.85</v>
      </c>
      <c r="W325" s="303">
        <v>5.85</v>
      </c>
      <c r="X325" s="303">
        <v>5.6</v>
      </c>
      <c r="Y325" s="303">
        <v>5.6</v>
      </c>
      <c r="Z325" s="303">
        <v>5.6</v>
      </c>
      <c r="AA325" s="303">
        <v>5.6</v>
      </c>
      <c r="AB325" s="59">
        <v>0.35</v>
      </c>
      <c r="AC325" s="59">
        <v>0.35</v>
      </c>
      <c r="AD325" s="59">
        <v>0.35</v>
      </c>
      <c r="AE325" s="59">
        <v>0.35</v>
      </c>
      <c r="AF325" s="59">
        <v>0.35</v>
      </c>
      <c r="AG325" s="59">
        <v>0.35</v>
      </c>
      <c r="AH325" s="59">
        <v>0.35</v>
      </c>
      <c r="AI325" s="59">
        <v>0.35</v>
      </c>
      <c r="AJ325" s="59">
        <v>0.35</v>
      </c>
      <c r="AK325" s="59">
        <v>0.7</v>
      </c>
      <c r="AL325" s="59">
        <v>0.7</v>
      </c>
      <c r="AM325" s="59">
        <v>0.7</v>
      </c>
      <c r="AN325" s="59">
        <v>0.7</v>
      </c>
      <c r="AO325" s="260"/>
      <c r="AP325" s="254">
        <f t="shared" si="147"/>
        <v>0</v>
      </c>
      <c r="AQ325" s="260"/>
      <c r="AR325" s="254">
        <f t="shared" si="148"/>
        <v>0</v>
      </c>
      <c r="AS325" s="260"/>
      <c r="AT325" s="254">
        <f t="shared" si="149"/>
        <v>0</v>
      </c>
      <c r="AU325" s="260"/>
      <c r="AV325" s="257">
        <f t="shared" si="153"/>
        <v>0</v>
      </c>
      <c r="AW325" s="383"/>
      <c r="AX325" s="257">
        <f t="shared" si="150"/>
        <v>0</v>
      </c>
      <c r="AY325" s="268"/>
      <c r="AZ325" s="257">
        <f t="shared" si="154"/>
        <v>0</v>
      </c>
      <c r="BA325" s="270"/>
      <c r="BB325" s="257">
        <f t="shared" si="151"/>
        <v>0</v>
      </c>
      <c r="BC325" s="270"/>
      <c r="BD325" s="257">
        <f t="shared" si="155"/>
        <v>0</v>
      </c>
      <c r="BE325" s="268"/>
      <c r="BF325" s="257">
        <f t="shared" si="156"/>
        <v>0</v>
      </c>
      <c r="BG325" s="268"/>
      <c r="BH325" s="257">
        <f t="shared" si="157"/>
        <v>0</v>
      </c>
      <c r="BI325" s="268"/>
      <c r="BJ325" s="257">
        <f t="shared" si="158"/>
        <v>0</v>
      </c>
      <c r="BK325" s="268"/>
      <c r="BL325" s="257">
        <f t="shared" si="152"/>
        <v>0</v>
      </c>
      <c r="BM325" s="1" t="s">
        <v>876</v>
      </c>
      <c r="BN325" s="1" t="s">
        <v>532</v>
      </c>
      <c r="BO325" s="1" t="s">
        <v>457</v>
      </c>
      <c r="BP325" s="378" t="s">
        <v>877</v>
      </c>
    </row>
    <row r="326" spans="1:68" ht="15.6">
      <c r="A326" s="250" t="s">
        <v>451</v>
      </c>
      <c r="B326" s="59" t="s">
        <v>221</v>
      </c>
      <c r="C326" s="354" t="s">
        <v>172</v>
      </c>
      <c r="D326" s="419"/>
      <c r="E326" s="281" t="s">
        <v>332</v>
      </c>
      <c r="F326" s="422"/>
      <c r="G326" s="317">
        <v>2023</v>
      </c>
      <c r="H326" s="323" t="s">
        <v>417</v>
      </c>
      <c r="I326" s="332" t="s">
        <v>183</v>
      </c>
      <c r="J326" s="331">
        <v>14</v>
      </c>
      <c r="K326" s="328" t="s">
        <v>243</v>
      </c>
      <c r="L326" s="323" t="s">
        <v>464</v>
      </c>
      <c r="M326" s="303" t="s">
        <v>513</v>
      </c>
      <c r="N326" s="303">
        <v>9.65</v>
      </c>
      <c r="O326" s="303">
        <v>8.6999999999999993</v>
      </c>
      <c r="P326" s="303">
        <v>11.5</v>
      </c>
      <c r="Q326" s="303">
        <v>11.5</v>
      </c>
      <c r="R326" s="303">
        <v>11.5</v>
      </c>
      <c r="S326" s="303">
        <v>11.5</v>
      </c>
      <c r="T326" s="303">
        <v>11.5</v>
      </c>
      <c r="U326" s="303">
        <v>11.5</v>
      </c>
      <c r="V326" s="303">
        <v>11.5</v>
      </c>
      <c r="W326" s="303">
        <v>11.5</v>
      </c>
      <c r="X326" s="303">
        <v>9.4</v>
      </c>
      <c r="Y326" s="303">
        <v>8.6999999999999993</v>
      </c>
      <c r="Z326" s="303">
        <v>8.6999999999999993</v>
      </c>
      <c r="AA326" s="303">
        <v>8.6999999999999993</v>
      </c>
      <c r="AB326" s="59">
        <v>1.1000000000000001</v>
      </c>
      <c r="AC326" s="59">
        <v>1.1000000000000001</v>
      </c>
      <c r="AD326" s="59">
        <v>1.1000000000000001</v>
      </c>
      <c r="AE326" s="59">
        <v>1.1000000000000001</v>
      </c>
      <c r="AF326" s="59">
        <v>1.1000000000000001</v>
      </c>
      <c r="AG326" s="59">
        <v>1.1000000000000001</v>
      </c>
      <c r="AH326" s="59">
        <v>1.1000000000000001</v>
      </c>
      <c r="AI326" s="59">
        <v>1.1000000000000001</v>
      </c>
      <c r="AJ326" s="59">
        <v>1.1000000000000001</v>
      </c>
      <c r="AK326" s="59">
        <v>2.1</v>
      </c>
      <c r="AL326" s="59">
        <v>1.45</v>
      </c>
      <c r="AM326" s="59">
        <v>1.45</v>
      </c>
      <c r="AN326" s="59">
        <v>1.45</v>
      </c>
      <c r="AO326" s="260"/>
      <c r="AP326" s="254">
        <f t="shared" si="147"/>
        <v>0</v>
      </c>
      <c r="AQ326" s="260">
        <v>74</v>
      </c>
      <c r="AR326" s="254">
        <f t="shared" si="148"/>
        <v>81.400000000000006</v>
      </c>
      <c r="AS326" s="260">
        <v>40</v>
      </c>
      <c r="AT326" s="254">
        <f t="shared" si="149"/>
        <v>44</v>
      </c>
      <c r="AU326" s="260">
        <v>80</v>
      </c>
      <c r="AV326" s="257">
        <f t="shared" si="153"/>
        <v>88</v>
      </c>
      <c r="AW326" s="383">
        <v>80</v>
      </c>
      <c r="AX326" s="257">
        <f t="shared" si="150"/>
        <v>88</v>
      </c>
      <c r="AY326" s="392"/>
      <c r="AZ326" s="257">
        <f t="shared" si="154"/>
        <v>0</v>
      </c>
      <c r="BA326" s="260">
        <v>2960</v>
      </c>
      <c r="BB326" s="257">
        <f t="shared" si="151"/>
        <v>3256.0000000000005</v>
      </c>
      <c r="BC326" s="260">
        <v>40</v>
      </c>
      <c r="BD326" s="257">
        <f t="shared" si="155"/>
        <v>44</v>
      </c>
      <c r="BE326" s="260">
        <v>320</v>
      </c>
      <c r="BF326" s="257">
        <f t="shared" si="156"/>
        <v>672</v>
      </c>
      <c r="BG326" s="260">
        <v>40</v>
      </c>
      <c r="BH326" s="257">
        <f t="shared" si="157"/>
        <v>58</v>
      </c>
      <c r="BI326" s="268">
        <v>80</v>
      </c>
      <c r="BJ326" s="257">
        <f t="shared" si="158"/>
        <v>116</v>
      </c>
      <c r="BK326" s="268">
        <v>560</v>
      </c>
      <c r="BL326" s="257">
        <f t="shared" si="152"/>
        <v>812</v>
      </c>
      <c r="BM326" s="1" t="s">
        <v>878</v>
      </c>
      <c r="BN326" s="1" t="s">
        <v>532</v>
      </c>
      <c r="BO326" s="1" t="s">
        <v>457</v>
      </c>
      <c r="BP326" s="378" t="s">
        <v>879</v>
      </c>
    </row>
    <row r="327" spans="1:68" ht="15.6">
      <c r="A327" s="250" t="s">
        <v>451</v>
      </c>
      <c r="B327" s="59" t="s">
        <v>221</v>
      </c>
      <c r="C327" s="354" t="s">
        <v>172</v>
      </c>
      <c r="D327" s="419"/>
      <c r="E327" s="281" t="s">
        <v>332</v>
      </c>
      <c r="F327" s="422"/>
      <c r="G327" s="317">
        <v>2023</v>
      </c>
      <c r="H327" s="323" t="s">
        <v>417</v>
      </c>
      <c r="I327" s="327" t="s">
        <v>190</v>
      </c>
      <c r="J327" s="331">
        <v>14</v>
      </c>
      <c r="K327" s="328" t="s">
        <v>243</v>
      </c>
      <c r="L327" s="323" t="s">
        <v>464</v>
      </c>
      <c r="M327" s="303" t="s">
        <v>513</v>
      </c>
      <c r="N327" s="303">
        <v>2.9</v>
      </c>
      <c r="O327" s="303">
        <v>3.75</v>
      </c>
      <c r="P327" s="303">
        <v>4.25</v>
      </c>
      <c r="Q327" s="303">
        <v>4.25</v>
      </c>
      <c r="R327" s="303">
        <v>4.25</v>
      </c>
      <c r="S327" s="303">
        <v>4.25</v>
      </c>
      <c r="T327" s="303">
        <v>4.25</v>
      </c>
      <c r="U327" s="303">
        <v>4.25</v>
      </c>
      <c r="V327" s="303">
        <v>4.25</v>
      </c>
      <c r="W327" s="303">
        <v>4.25</v>
      </c>
      <c r="X327" s="303">
        <v>3.75</v>
      </c>
      <c r="Y327" s="303">
        <v>3.75</v>
      </c>
      <c r="Z327" s="303">
        <v>3.75</v>
      </c>
      <c r="AA327" s="303">
        <v>3.75</v>
      </c>
      <c r="AB327" s="59">
        <v>0.55000000000000004</v>
      </c>
      <c r="AC327" s="59">
        <v>0.65</v>
      </c>
      <c r="AD327" s="59">
        <v>0.65</v>
      </c>
      <c r="AE327" s="59">
        <v>0.65</v>
      </c>
      <c r="AF327" s="59">
        <v>0.65</v>
      </c>
      <c r="AG327" s="59">
        <v>0.65</v>
      </c>
      <c r="AH327" s="59">
        <v>0.65</v>
      </c>
      <c r="AI327" s="59">
        <v>0.65</v>
      </c>
      <c r="AJ327" s="59">
        <v>0.65</v>
      </c>
      <c r="AK327" s="59">
        <v>0.55000000000000004</v>
      </c>
      <c r="AL327" s="59">
        <v>0.55000000000000004</v>
      </c>
      <c r="AM327" s="59">
        <v>0.55000000000000004</v>
      </c>
      <c r="AN327" s="59">
        <v>0.55000000000000004</v>
      </c>
      <c r="AO327" s="260"/>
      <c r="AP327" s="254">
        <f t="shared" si="147"/>
        <v>0</v>
      </c>
      <c r="AQ327" s="260">
        <v>191</v>
      </c>
      <c r="AR327" s="254">
        <f t="shared" si="148"/>
        <v>124.15</v>
      </c>
      <c r="AS327" s="261">
        <v>40</v>
      </c>
      <c r="AT327" s="254">
        <f t="shared" si="149"/>
        <v>26</v>
      </c>
      <c r="AU327" s="256">
        <v>1200</v>
      </c>
      <c r="AV327" s="257">
        <f t="shared" si="153"/>
        <v>780</v>
      </c>
      <c r="AW327" s="382">
        <v>3240</v>
      </c>
      <c r="AX327" s="257">
        <f t="shared" si="150"/>
        <v>2106</v>
      </c>
      <c r="AY327" s="268">
        <v>8280</v>
      </c>
      <c r="AZ327" s="257">
        <f t="shared" si="154"/>
        <v>5382</v>
      </c>
      <c r="BA327" s="268">
        <v>4400</v>
      </c>
      <c r="BB327" s="257">
        <f t="shared" si="151"/>
        <v>2860</v>
      </c>
      <c r="BC327" s="268">
        <v>1120</v>
      </c>
      <c r="BD327" s="257">
        <f t="shared" si="155"/>
        <v>728</v>
      </c>
      <c r="BE327" s="268">
        <v>400</v>
      </c>
      <c r="BF327" s="257">
        <f t="shared" si="156"/>
        <v>220.00000000000003</v>
      </c>
      <c r="BG327" s="268">
        <v>320</v>
      </c>
      <c r="BH327" s="257">
        <f t="shared" si="157"/>
        <v>176</v>
      </c>
      <c r="BI327" s="268">
        <v>440</v>
      </c>
      <c r="BJ327" s="257">
        <f t="shared" si="158"/>
        <v>242.00000000000003</v>
      </c>
      <c r="BK327" s="268">
        <v>5800</v>
      </c>
      <c r="BL327" s="257">
        <f t="shared" si="152"/>
        <v>3190.0000000000005</v>
      </c>
      <c r="BM327" s="1" t="s">
        <v>880</v>
      </c>
      <c r="BN327" s="1" t="s">
        <v>532</v>
      </c>
      <c r="BO327" s="1" t="s">
        <v>457</v>
      </c>
      <c r="BP327" s="378" t="s">
        <v>881</v>
      </c>
    </row>
    <row r="328" spans="1:68" ht="15.6">
      <c r="A328" s="250" t="s">
        <v>451</v>
      </c>
      <c r="B328" s="59" t="s">
        <v>221</v>
      </c>
      <c r="C328" s="354" t="s">
        <v>172</v>
      </c>
      <c r="D328" s="419"/>
      <c r="E328" s="281" t="s">
        <v>332</v>
      </c>
      <c r="F328" s="422"/>
      <c r="G328" s="317">
        <v>2023</v>
      </c>
      <c r="H328" s="323" t="s">
        <v>417</v>
      </c>
      <c r="I328" s="327" t="s">
        <v>190</v>
      </c>
      <c r="J328" s="331">
        <v>14</v>
      </c>
      <c r="K328" s="323" t="s">
        <v>245</v>
      </c>
      <c r="L328" s="323" t="s">
        <v>464</v>
      </c>
      <c r="M328" s="303" t="s">
        <v>513</v>
      </c>
      <c r="N328" s="303">
        <v>2.9</v>
      </c>
      <c r="O328" s="303">
        <v>3.75</v>
      </c>
      <c r="P328" s="303">
        <v>4.25</v>
      </c>
      <c r="Q328" s="303">
        <v>4.25</v>
      </c>
      <c r="R328" s="303">
        <v>4.25</v>
      </c>
      <c r="S328" s="303">
        <v>4.25</v>
      </c>
      <c r="T328" s="303">
        <v>4.25</v>
      </c>
      <c r="U328" s="303">
        <v>4.25</v>
      </c>
      <c r="V328" s="303">
        <v>4.25</v>
      </c>
      <c r="W328" s="303">
        <v>4.25</v>
      </c>
      <c r="X328" s="303">
        <v>3.75</v>
      </c>
      <c r="Y328" s="303">
        <v>3.75</v>
      </c>
      <c r="Z328" s="303">
        <v>3.75</v>
      </c>
      <c r="AA328" s="303">
        <v>3.75</v>
      </c>
      <c r="AB328" s="59">
        <v>0.55000000000000004</v>
      </c>
      <c r="AC328" s="59">
        <v>0.65</v>
      </c>
      <c r="AD328" s="59">
        <v>0.65</v>
      </c>
      <c r="AE328" s="59">
        <v>0.65</v>
      </c>
      <c r="AF328" s="59">
        <v>0.65</v>
      </c>
      <c r="AG328" s="59">
        <v>0.65</v>
      </c>
      <c r="AH328" s="59">
        <v>0.65</v>
      </c>
      <c r="AI328" s="59">
        <v>0.65</v>
      </c>
      <c r="AJ328" s="59">
        <v>0.65</v>
      </c>
      <c r="AK328" s="59">
        <v>0.55000000000000004</v>
      </c>
      <c r="AL328" s="59">
        <v>0.55000000000000004</v>
      </c>
      <c r="AM328" s="59">
        <v>0.55000000000000004</v>
      </c>
      <c r="AN328" s="59">
        <v>0.55000000000000004</v>
      </c>
      <c r="AO328" s="260"/>
      <c r="AP328" s="254">
        <f t="shared" si="147"/>
        <v>0</v>
      </c>
      <c r="AQ328" s="260"/>
      <c r="AR328" s="254">
        <f t="shared" si="148"/>
        <v>0</v>
      </c>
      <c r="AS328" s="261"/>
      <c r="AT328" s="254">
        <f t="shared" si="149"/>
        <v>0</v>
      </c>
      <c r="AU328" s="256">
        <v>2520</v>
      </c>
      <c r="AV328" s="257">
        <f t="shared" si="153"/>
        <v>1638</v>
      </c>
      <c r="AW328" s="382">
        <v>7360</v>
      </c>
      <c r="AX328" s="257">
        <f t="shared" si="150"/>
        <v>4784</v>
      </c>
      <c r="AY328" s="268">
        <v>1880</v>
      </c>
      <c r="AZ328" s="257">
        <f t="shared" si="154"/>
        <v>1222</v>
      </c>
      <c r="BA328" s="268">
        <v>1520</v>
      </c>
      <c r="BB328" s="257">
        <f t="shared" si="151"/>
        <v>988</v>
      </c>
      <c r="BC328" s="268">
        <v>3040</v>
      </c>
      <c r="BD328" s="257">
        <f t="shared" si="155"/>
        <v>1976</v>
      </c>
      <c r="BE328" s="268">
        <v>8840</v>
      </c>
      <c r="BF328" s="257">
        <f t="shared" si="156"/>
        <v>4862</v>
      </c>
      <c r="BG328" s="268">
        <v>6440</v>
      </c>
      <c r="BH328" s="257">
        <f t="shared" si="157"/>
        <v>3542.0000000000005</v>
      </c>
      <c r="BI328" s="268">
        <v>2840</v>
      </c>
      <c r="BJ328" s="257">
        <f t="shared" si="158"/>
        <v>1562.0000000000002</v>
      </c>
      <c r="BK328" s="268">
        <v>2920</v>
      </c>
      <c r="BL328" s="257">
        <f t="shared" si="152"/>
        <v>1606.0000000000002</v>
      </c>
      <c r="BM328" s="1" t="s">
        <v>882</v>
      </c>
      <c r="BN328" s="1" t="s">
        <v>532</v>
      </c>
      <c r="BO328" s="1" t="s">
        <v>457</v>
      </c>
      <c r="BP328" s="378" t="s">
        <v>883</v>
      </c>
    </row>
    <row r="329" spans="1:68" ht="15.6">
      <c r="A329" s="250" t="s">
        <v>451</v>
      </c>
      <c r="B329" s="59" t="s">
        <v>221</v>
      </c>
      <c r="C329" s="354" t="s">
        <v>172</v>
      </c>
      <c r="D329" s="419"/>
      <c r="E329" s="281" t="s">
        <v>332</v>
      </c>
      <c r="F329" s="422"/>
      <c r="G329" s="317">
        <v>2023</v>
      </c>
      <c r="H329" s="323" t="s">
        <v>417</v>
      </c>
      <c r="I329" s="327" t="s">
        <v>190</v>
      </c>
      <c r="J329" s="331">
        <v>14</v>
      </c>
      <c r="K329" s="323" t="s">
        <v>884</v>
      </c>
      <c r="L329" s="323" t="s">
        <v>464</v>
      </c>
      <c r="M329" s="303" t="s">
        <v>513</v>
      </c>
      <c r="N329" s="303">
        <v>2.9</v>
      </c>
      <c r="O329" s="303">
        <v>3.75</v>
      </c>
      <c r="P329" s="303">
        <v>4.25</v>
      </c>
      <c r="Q329" s="303">
        <v>4.25</v>
      </c>
      <c r="R329" s="303">
        <v>4.25</v>
      </c>
      <c r="S329" s="303">
        <v>4.25</v>
      </c>
      <c r="T329" s="303">
        <v>4.25</v>
      </c>
      <c r="U329" s="303">
        <v>4.25</v>
      </c>
      <c r="V329" s="303">
        <v>4.25</v>
      </c>
      <c r="W329" s="303">
        <v>4.25</v>
      </c>
      <c r="X329" s="303">
        <v>3.75</v>
      </c>
      <c r="Y329" s="303">
        <v>3.75</v>
      </c>
      <c r="Z329" s="303">
        <v>3.75</v>
      </c>
      <c r="AA329" s="303">
        <v>3.75</v>
      </c>
      <c r="AB329" s="59">
        <v>0.55000000000000004</v>
      </c>
      <c r="AC329" s="59">
        <v>0.65</v>
      </c>
      <c r="AD329" s="59">
        <v>0.65</v>
      </c>
      <c r="AE329" s="59">
        <v>0.65</v>
      </c>
      <c r="AF329" s="59">
        <v>0.65</v>
      </c>
      <c r="AG329" s="59">
        <v>0.65</v>
      </c>
      <c r="AH329" s="59">
        <v>0.65</v>
      </c>
      <c r="AI329" s="59">
        <v>0.65</v>
      </c>
      <c r="AJ329" s="59">
        <v>0.65</v>
      </c>
      <c r="AK329" s="59">
        <v>0.55000000000000004</v>
      </c>
      <c r="AL329" s="59">
        <v>0.55000000000000004</v>
      </c>
      <c r="AM329" s="59">
        <v>0.55000000000000004</v>
      </c>
      <c r="AN329" s="59">
        <v>0.55000000000000004</v>
      </c>
      <c r="AO329" s="260"/>
      <c r="AP329" s="254">
        <f t="shared" si="147"/>
        <v>0</v>
      </c>
      <c r="AQ329" s="260"/>
      <c r="AR329" s="254">
        <f t="shared" si="148"/>
        <v>0</v>
      </c>
      <c r="AS329" s="261"/>
      <c r="AT329" s="254">
        <f t="shared" si="149"/>
        <v>0</v>
      </c>
      <c r="AU329" s="256">
        <v>960</v>
      </c>
      <c r="AV329" s="257">
        <f t="shared" si="153"/>
        <v>624</v>
      </c>
      <c r="AW329" s="382">
        <v>20520</v>
      </c>
      <c r="AX329" s="257">
        <f t="shared" si="150"/>
        <v>13338</v>
      </c>
      <c r="AY329" s="268">
        <v>6000</v>
      </c>
      <c r="AZ329" s="257">
        <f t="shared" si="154"/>
        <v>3900</v>
      </c>
      <c r="BA329" s="268">
        <v>7136</v>
      </c>
      <c r="BB329" s="257">
        <f t="shared" si="151"/>
        <v>4638.4000000000005</v>
      </c>
      <c r="BC329" s="268">
        <v>3000</v>
      </c>
      <c r="BD329" s="257">
        <f t="shared" si="155"/>
        <v>1950</v>
      </c>
      <c r="BE329" s="268">
        <v>10160</v>
      </c>
      <c r="BF329" s="257">
        <f t="shared" si="156"/>
        <v>5588</v>
      </c>
      <c r="BG329" s="268">
        <v>5640</v>
      </c>
      <c r="BH329" s="257">
        <f t="shared" si="157"/>
        <v>3102.0000000000005</v>
      </c>
      <c r="BI329" s="268">
        <v>5040</v>
      </c>
      <c r="BJ329" s="257">
        <f t="shared" si="158"/>
        <v>2772</v>
      </c>
      <c r="BK329" s="268">
        <v>40</v>
      </c>
      <c r="BL329" s="257">
        <f t="shared" si="152"/>
        <v>22</v>
      </c>
      <c r="BM329" s="1" t="s">
        <v>885</v>
      </c>
      <c r="BN329" s="1" t="s">
        <v>532</v>
      </c>
      <c r="BO329" s="1" t="s">
        <v>457</v>
      </c>
      <c r="BP329" s="378" t="s">
        <v>886</v>
      </c>
    </row>
    <row r="330" spans="1:68" ht="15.6">
      <c r="A330" s="250" t="s">
        <v>451</v>
      </c>
      <c r="B330" s="59" t="s">
        <v>221</v>
      </c>
      <c r="C330" s="354" t="s">
        <v>172</v>
      </c>
      <c r="D330" s="419"/>
      <c r="E330" s="281" t="s">
        <v>332</v>
      </c>
      <c r="F330" s="422"/>
      <c r="G330" s="317">
        <v>2023</v>
      </c>
      <c r="H330" s="323" t="s">
        <v>419</v>
      </c>
      <c r="I330" s="327" t="s">
        <v>190</v>
      </c>
      <c r="J330" s="331">
        <v>15</v>
      </c>
      <c r="K330" s="323" t="s">
        <v>637</v>
      </c>
      <c r="L330" s="323" t="s">
        <v>177</v>
      </c>
      <c r="M330" s="303" t="s">
        <v>624</v>
      </c>
      <c r="N330" s="303">
        <v>2.8</v>
      </c>
      <c r="O330" s="303">
        <v>3.5</v>
      </c>
      <c r="P330" s="303">
        <v>3.65</v>
      </c>
      <c r="Q330" s="303">
        <v>3.65</v>
      </c>
      <c r="R330" s="303">
        <v>3.65</v>
      </c>
      <c r="S330" s="303">
        <v>3.65</v>
      </c>
      <c r="T330" s="303">
        <v>3.65</v>
      </c>
      <c r="U330" s="303">
        <v>3.65</v>
      </c>
      <c r="V330" s="303">
        <v>3.65</v>
      </c>
      <c r="W330" s="303">
        <v>3.65</v>
      </c>
      <c r="X330" s="303">
        <v>3.5</v>
      </c>
      <c r="Y330" s="303">
        <v>3.5</v>
      </c>
      <c r="Z330" s="303">
        <v>3.5</v>
      </c>
      <c r="AA330" s="303">
        <v>3.5</v>
      </c>
      <c r="AB330" s="59">
        <v>0.7</v>
      </c>
      <c r="AC330" s="59">
        <v>0.8</v>
      </c>
      <c r="AD330" s="59">
        <v>0.8</v>
      </c>
      <c r="AE330" s="59">
        <v>0.8</v>
      </c>
      <c r="AF330" s="59">
        <v>0.8</v>
      </c>
      <c r="AG330" s="59">
        <v>0.8</v>
      </c>
      <c r="AH330" s="59">
        <v>0.8</v>
      </c>
      <c r="AI330" s="59">
        <v>0.8</v>
      </c>
      <c r="AJ330" s="59">
        <v>0.8</v>
      </c>
      <c r="AK330" s="59">
        <v>0.7</v>
      </c>
      <c r="AL330" s="59">
        <v>0.7</v>
      </c>
      <c r="AM330" s="59">
        <v>0.7</v>
      </c>
      <c r="AN330" s="59">
        <v>0.7</v>
      </c>
      <c r="AO330" s="260">
        <v>4880</v>
      </c>
      <c r="AP330" s="254">
        <f t="shared" si="147"/>
        <v>3904</v>
      </c>
      <c r="AQ330" s="260">
        <v>4120</v>
      </c>
      <c r="AR330" s="254">
        <f t="shared" si="148"/>
        <v>3296</v>
      </c>
      <c r="AS330" s="260">
        <v>5840</v>
      </c>
      <c r="AT330" s="254">
        <f t="shared" si="149"/>
        <v>4672</v>
      </c>
      <c r="AU330" s="260">
        <v>1840</v>
      </c>
      <c r="AV330" s="257">
        <f t="shared" si="153"/>
        <v>1472</v>
      </c>
      <c r="AW330" s="383">
        <v>18160</v>
      </c>
      <c r="AX330" s="257">
        <f t="shared" si="139"/>
        <v>14528</v>
      </c>
      <c r="AY330" s="392">
        <v>31920</v>
      </c>
      <c r="AZ330" s="257">
        <f t="shared" si="140"/>
        <v>25536</v>
      </c>
      <c r="BA330" s="260">
        <v>18480</v>
      </c>
      <c r="BB330" s="257">
        <f t="shared" si="151"/>
        <v>14784</v>
      </c>
      <c r="BC330" s="260">
        <v>18400</v>
      </c>
      <c r="BD330" s="257">
        <f t="shared" si="155"/>
        <v>14720</v>
      </c>
      <c r="BE330" s="268">
        <v>16240</v>
      </c>
      <c r="BF330" s="257">
        <f t="shared" si="156"/>
        <v>11368</v>
      </c>
      <c r="BG330" s="268">
        <v>4680</v>
      </c>
      <c r="BH330" s="257">
        <f t="shared" si="157"/>
        <v>3276</v>
      </c>
      <c r="BI330" s="268">
        <v>3840</v>
      </c>
      <c r="BJ330" s="257">
        <f t="shared" si="145"/>
        <v>2688</v>
      </c>
      <c r="BK330" s="268">
        <v>160</v>
      </c>
      <c r="BL330" s="257">
        <f t="shared" si="152"/>
        <v>112</v>
      </c>
      <c r="BM330" s="1" t="s">
        <v>887</v>
      </c>
      <c r="BO330" s="1" t="s">
        <v>457</v>
      </c>
      <c r="BP330" s="378" t="s">
        <v>888</v>
      </c>
    </row>
    <row r="331" spans="1:68" ht="15.6">
      <c r="A331" s="250" t="s">
        <v>451</v>
      </c>
      <c r="B331" s="59" t="s">
        <v>221</v>
      </c>
      <c r="C331" s="354" t="s">
        <v>172</v>
      </c>
      <c r="D331" s="419"/>
      <c r="E331" s="281" t="s">
        <v>332</v>
      </c>
      <c r="F331" s="422"/>
      <c r="G331" s="317">
        <v>2023</v>
      </c>
      <c r="H331" s="323" t="s">
        <v>419</v>
      </c>
      <c r="I331" s="332" t="s">
        <v>183</v>
      </c>
      <c r="J331" s="331">
        <v>15</v>
      </c>
      <c r="K331" s="323" t="s">
        <v>210</v>
      </c>
      <c r="L331" s="323" t="s">
        <v>177</v>
      </c>
      <c r="M331" s="303" t="s">
        <v>624</v>
      </c>
      <c r="N331" s="303">
        <v>8.6</v>
      </c>
      <c r="O331" s="303">
        <v>9.5</v>
      </c>
      <c r="P331" s="303">
        <v>10.8</v>
      </c>
      <c r="Q331" s="303">
        <v>10.8</v>
      </c>
      <c r="R331" s="303">
        <v>10.8</v>
      </c>
      <c r="S331" s="303">
        <v>10.8</v>
      </c>
      <c r="T331" s="303">
        <v>10.8</v>
      </c>
      <c r="U331" s="303">
        <v>10.8</v>
      </c>
      <c r="V331" s="303">
        <v>10.8</v>
      </c>
      <c r="W331" s="303">
        <v>10.8</v>
      </c>
      <c r="X331" s="303">
        <v>9.5</v>
      </c>
      <c r="Y331" s="303">
        <v>9.5</v>
      </c>
      <c r="Z331" s="303">
        <v>9.5</v>
      </c>
      <c r="AA331" s="303">
        <v>9.5</v>
      </c>
      <c r="AB331" s="59">
        <v>2</v>
      </c>
      <c r="AC331" s="59">
        <v>2.35</v>
      </c>
      <c r="AD331" s="59">
        <v>2.35</v>
      </c>
      <c r="AE331" s="59">
        <v>2.35</v>
      </c>
      <c r="AF331" s="59">
        <v>2.35</v>
      </c>
      <c r="AG331" s="59">
        <v>2.35</v>
      </c>
      <c r="AH331" s="59">
        <v>2.35</v>
      </c>
      <c r="AI331" s="59">
        <v>2.35</v>
      </c>
      <c r="AJ331" s="59">
        <v>2.35</v>
      </c>
      <c r="AK331" s="59">
        <v>2</v>
      </c>
      <c r="AL331" s="59">
        <v>2</v>
      </c>
      <c r="AM331" s="59">
        <v>2</v>
      </c>
      <c r="AN331" s="59">
        <v>2</v>
      </c>
      <c r="AO331" s="260">
        <v>198</v>
      </c>
      <c r="AP331" s="254">
        <f t="shared" si="135"/>
        <v>465.3</v>
      </c>
      <c r="AQ331" s="260">
        <v>278</v>
      </c>
      <c r="AR331" s="254">
        <f t="shared" si="136"/>
        <v>653.30000000000007</v>
      </c>
      <c r="AS331" s="270">
        <v>200</v>
      </c>
      <c r="AT331" s="254">
        <f t="shared" si="137"/>
        <v>470</v>
      </c>
      <c r="AU331" s="270">
        <v>800</v>
      </c>
      <c r="AV331" s="257">
        <f t="shared" si="153"/>
        <v>1880</v>
      </c>
      <c r="AW331" s="382">
        <v>17040</v>
      </c>
      <c r="AX331" s="257">
        <f t="shared" si="139"/>
        <v>40044</v>
      </c>
      <c r="AY331" s="268">
        <v>9720</v>
      </c>
      <c r="AZ331" s="257">
        <f t="shared" si="140"/>
        <v>22842</v>
      </c>
      <c r="BA331" s="270">
        <v>2906</v>
      </c>
      <c r="BB331" s="257">
        <f t="shared" si="141"/>
        <v>6829.1</v>
      </c>
      <c r="BC331" s="270">
        <v>10880</v>
      </c>
      <c r="BD331" s="257">
        <f t="shared" si="142"/>
        <v>25568</v>
      </c>
      <c r="BE331" s="268">
        <v>2080</v>
      </c>
      <c r="BF331" s="257">
        <f t="shared" si="143"/>
        <v>4160</v>
      </c>
      <c r="BG331" s="268">
        <v>840</v>
      </c>
      <c r="BH331" s="257">
        <f t="shared" si="144"/>
        <v>1680</v>
      </c>
      <c r="BI331" s="268">
        <v>280</v>
      </c>
      <c r="BJ331" s="257">
        <f t="shared" si="145"/>
        <v>560</v>
      </c>
      <c r="BK331" s="268"/>
      <c r="BL331" s="257">
        <f t="shared" si="146"/>
        <v>0</v>
      </c>
      <c r="BM331" s="1" t="s">
        <v>889</v>
      </c>
      <c r="BO331" s="1" t="s">
        <v>457</v>
      </c>
      <c r="BP331" s="378" t="s">
        <v>890</v>
      </c>
    </row>
    <row r="332" spans="1:68" ht="15.6">
      <c r="A332" s="250" t="s">
        <v>451</v>
      </c>
      <c r="B332" s="59" t="s">
        <v>221</v>
      </c>
      <c r="C332" s="354" t="s">
        <v>172</v>
      </c>
      <c r="D332" s="419"/>
      <c r="E332" s="281" t="s">
        <v>332</v>
      </c>
      <c r="F332" s="422"/>
      <c r="G332" s="317">
        <v>2023</v>
      </c>
      <c r="H332" s="323" t="s">
        <v>419</v>
      </c>
      <c r="I332" s="327" t="s">
        <v>190</v>
      </c>
      <c r="J332" s="331">
        <v>15</v>
      </c>
      <c r="K332" s="323" t="s">
        <v>210</v>
      </c>
      <c r="L332" s="323" t="s">
        <v>177</v>
      </c>
      <c r="M332" s="303" t="s">
        <v>624</v>
      </c>
      <c r="N332" s="303">
        <v>4.4000000000000004</v>
      </c>
      <c r="O332" s="303">
        <v>5.4</v>
      </c>
      <c r="P332" s="303">
        <v>5.7</v>
      </c>
      <c r="Q332" s="303">
        <v>5.7</v>
      </c>
      <c r="R332" s="303">
        <v>5.7</v>
      </c>
      <c r="S332" s="303">
        <v>5.7</v>
      </c>
      <c r="T332" s="303">
        <v>5.7</v>
      </c>
      <c r="U332" s="303">
        <v>5.7</v>
      </c>
      <c r="V332" s="303">
        <v>5.7</v>
      </c>
      <c r="W332" s="303">
        <v>5.7</v>
      </c>
      <c r="X332" s="303">
        <v>5.4</v>
      </c>
      <c r="Y332" s="303">
        <v>5.4</v>
      </c>
      <c r="Z332" s="303">
        <v>5.4</v>
      </c>
      <c r="AA332" s="303">
        <v>5.4</v>
      </c>
      <c r="AB332" s="59">
        <v>1</v>
      </c>
      <c r="AC332" s="59">
        <v>1.05</v>
      </c>
      <c r="AD332" s="59">
        <v>1.05</v>
      </c>
      <c r="AE332" s="59">
        <v>1.05</v>
      </c>
      <c r="AF332" s="59">
        <v>1.05</v>
      </c>
      <c r="AG332" s="59">
        <v>1.05</v>
      </c>
      <c r="AH332" s="59">
        <v>1.05</v>
      </c>
      <c r="AI332" s="59">
        <v>1.05</v>
      </c>
      <c r="AJ332" s="59">
        <v>1.05</v>
      </c>
      <c r="AK332" s="59">
        <v>1</v>
      </c>
      <c r="AL332" s="59">
        <v>1</v>
      </c>
      <c r="AM332" s="59">
        <v>1</v>
      </c>
      <c r="AN332" s="59">
        <v>1</v>
      </c>
      <c r="AO332" s="260">
        <v>4038</v>
      </c>
      <c r="AP332" s="254">
        <f t="shared" si="135"/>
        <v>4239.9000000000005</v>
      </c>
      <c r="AQ332" s="260">
        <v>6880</v>
      </c>
      <c r="AR332" s="254">
        <f t="shared" si="136"/>
        <v>7224</v>
      </c>
      <c r="AS332" s="260">
        <v>1840</v>
      </c>
      <c r="AT332" s="254">
        <f t="shared" si="137"/>
        <v>1932</v>
      </c>
      <c r="AU332" s="260">
        <v>1960</v>
      </c>
      <c r="AV332" s="257">
        <f t="shared" si="138"/>
        <v>2058</v>
      </c>
      <c r="AW332" s="382">
        <v>17720</v>
      </c>
      <c r="AX332" s="257">
        <f t="shared" si="139"/>
        <v>18606</v>
      </c>
      <c r="AY332" s="268">
        <v>17280</v>
      </c>
      <c r="AZ332" s="257">
        <f t="shared" si="140"/>
        <v>18144</v>
      </c>
      <c r="BA332" s="270">
        <v>7000</v>
      </c>
      <c r="BB332" s="257">
        <f t="shared" si="141"/>
        <v>7350</v>
      </c>
      <c r="BC332" s="270">
        <v>13280</v>
      </c>
      <c r="BD332" s="257">
        <f t="shared" si="142"/>
        <v>13944</v>
      </c>
      <c r="BE332" s="268">
        <v>9920</v>
      </c>
      <c r="BF332" s="257">
        <f t="shared" si="143"/>
        <v>9920</v>
      </c>
      <c r="BG332" s="268">
        <v>1160</v>
      </c>
      <c r="BH332" s="257">
        <f t="shared" si="144"/>
        <v>1160</v>
      </c>
      <c r="BI332" s="268">
        <v>400</v>
      </c>
      <c r="BJ332" s="257">
        <f t="shared" si="145"/>
        <v>400</v>
      </c>
      <c r="BK332" s="268">
        <v>440</v>
      </c>
      <c r="BL332" s="257">
        <f t="shared" si="146"/>
        <v>440</v>
      </c>
      <c r="BM332" s="1" t="s">
        <v>891</v>
      </c>
      <c r="BO332" s="1" t="s">
        <v>457</v>
      </c>
      <c r="BP332" s="378" t="s">
        <v>892</v>
      </c>
    </row>
    <row r="333" spans="1:68" ht="15.6">
      <c r="A333" s="250" t="s">
        <v>451</v>
      </c>
      <c r="B333" s="59" t="s">
        <v>221</v>
      </c>
      <c r="C333" s="354" t="s">
        <v>172</v>
      </c>
      <c r="D333" s="419"/>
      <c r="E333" s="281" t="s">
        <v>332</v>
      </c>
      <c r="F333" s="422"/>
      <c r="G333" s="317">
        <v>2023</v>
      </c>
      <c r="H333" s="323" t="s">
        <v>419</v>
      </c>
      <c r="I333" s="332" t="s">
        <v>183</v>
      </c>
      <c r="J333" s="331">
        <v>15</v>
      </c>
      <c r="K333" s="328" t="s">
        <v>243</v>
      </c>
      <c r="L333" s="323" t="s">
        <v>177</v>
      </c>
      <c r="M333" s="303" t="s">
        <v>624</v>
      </c>
      <c r="N333" s="303">
        <v>8.6</v>
      </c>
      <c r="O333" s="303">
        <v>8.8000000000000007</v>
      </c>
      <c r="P333" s="303">
        <v>10.8</v>
      </c>
      <c r="Q333" s="303">
        <v>10.8</v>
      </c>
      <c r="R333" s="303">
        <v>10.8</v>
      </c>
      <c r="S333" s="303">
        <v>10.8</v>
      </c>
      <c r="T333" s="303">
        <v>10.8</v>
      </c>
      <c r="U333" s="303">
        <v>10.8</v>
      </c>
      <c r="V333" s="303">
        <v>10.8</v>
      </c>
      <c r="W333" s="303">
        <v>10.8</v>
      </c>
      <c r="X333" s="303">
        <v>9.5</v>
      </c>
      <c r="Y333" s="303">
        <v>8.8000000000000007</v>
      </c>
      <c r="Z333" s="303">
        <v>8.8000000000000007</v>
      </c>
      <c r="AA333" s="303">
        <v>8.8000000000000007</v>
      </c>
      <c r="AB333" s="59">
        <v>1.6</v>
      </c>
      <c r="AC333" s="59">
        <v>2.35</v>
      </c>
      <c r="AD333" s="59">
        <v>2.35</v>
      </c>
      <c r="AE333" s="59">
        <v>2.35</v>
      </c>
      <c r="AF333" s="59">
        <v>2.35</v>
      </c>
      <c r="AG333" s="59">
        <v>2.35</v>
      </c>
      <c r="AH333" s="59">
        <v>2.35</v>
      </c>
      <c r="AI333" s="59">
        <v>2.35</v>
      </c>
      <c r="AJ333" s="59">
        <v>2.35</v>
      </c>
      <c r="AK333" s="59">
        <v>2</v>
      </c>
      <c r="AL333" s="59">
        <v>1.6</v>
      </c>
      <c r="AM333" s="59">
        <v>1.6</v>
      </c>
      <c r="AN333" s="59">
        <v>1.6</v>
      </c>
      <c r="AO333" s="260">
        <v>13040</v>
      </c>
      <c r="AP333" s="254">
        <f t="shared" si="135"/>
        <v>30644</v>
      </c>
      <c r="AQ333" s="260">
        <v>84160</v>
      </c>
      <c r="AR333" s="254">
        <f t="shared" si="136"/>
        <v>197776</v>
      </c>
      <c r="AS333" s="260">
        <v>16360</v>
      </c>
      <c r="AT333" s="254">
        <f t="shared" si="137"/>
        <v>38446</v>
      </c>
      <c r="AU333" s="260">
        <v>15400</v>
      </c>
      <c r="AV333" s="257">
        <f t="shared" si="138"/>
        <v>36190</v>
      </c>
      <c r="AW333" s="383">
        <v>38600</v>
      </c>
      <c r="AX333" s="257">
        <f t="shared" si="139"/>
        <v>90710</v>
      </c>
      <c r="AY333" s="392">
        <v>15200</v>
      </c>
      <c r="AZ333" s="257">
        <f t="shared" si="140"/>
        <v>35720</v>
      </c>
      <c r="BA333" s="260">
        <v>7294</v>
      </c>
      <c r="BB333" s="257">
        <f t="shared" si="141"/>
        <v>17140.900000000001</v>
      </c>
      <c r="BC333" s="260">
        <v>13079</v>
      </c>
      <c r="BD333" s="257">
        <f t="shared" si="142"/>
        <v>30735.65</v>
      </c>
      <c r="BE333" s="268">
        <v>1320</v>
      </c>
      <c r="BF333" s="257">
        <f t="shared" si="143"/>
        <v>2640</v>
      </c>
      <c r="BG333" s="268">
        <v>120</v>
      </c>
      <c r="BH333" s="257">
        <f t="shared" si="144"/>
        <v>192</v>
      </c>
      <c r="BI333" s="268">
        <v>200</v>
      </c>
      <c r="BJ333" s="257">
        <f t="shared" si="145"/>
        <v>320</v>
      </c>
      <c r="BK333" s="268">
        <v>80</v>
      </c>
      <c r="BL333" s="257">
        <f t="shared" si="146"/>
        <v>128</v>
      </c>
      <c r="BM333" s="1" t="s">
        <v>893</v>
      </c>
      <c r="BO333" s="1" t="s">
        <v>457</v>
      </c>
      <c r="BP333" s="378" t="s">
        <v>894</v>
      </c>
    </row>
    <row r="334" spans="1:68" ht="15.6">
      <c r="A334" s="250" t="s">
        <v>451</v>
      </c>
      <c r="B334" s="59" t="s">
        <v>221</v>
      </c>
      <c r="C334" s="354" t="s">
        <v>172</v>
      </c>
      <c r="D334" s="419"/>
      <c r="E334" s="281" t="s">
        <v>332</v>
      </c>
      <c r="F334" s="422"/>
      <c r="G334" s="317">
        <v>2023</v>
      </c>
      <c r="H334" s="323" t="s">
        <v>419</v>
      </c>
      <c r="I334" s="327" t="s">
        <v>190</v>
      </c>
      <c r="J334" s="331">
        <v>15</v>
      </c>
      <c r="K334" s="328" t="s">
        <v>243</v>
      </c>
      <c r="L334" s="323" t="s">
        <v>177</v>
      </c>
      <c r="M334" s="303" t="s">
        <v>624</v>
      </c>
      <c r="N334" s="303">
        <v>2.8</v>
      </c>
      <c r="O334" s="303">
        <v>3.5</v>
      </c>
      <c r="P334" s="303">
        <v>3.65</v>
      </c>
      <c r="Q334" s="303">
        <v>3.65</v>
      </c>
      <c r="R334" s="303">
        <v>3.65</v>
      </c>
      <c r="S334" s="303">
        <v>3.65</v>
      </c>
      <c r="T334" s="303">
        <v>3.65</v>
      </c>
      <c r="U334" s="303">
        <v>3.65</v>
      </c>
      <c r="V334" s="303">
        <v>3.65</v>
      </c>
      <c r="W334" s="303">
        <v>3.65</v>
      </c>
      <c r="X334" s="303">
        <v>3.5</v>
      </c>
      <c r="Y334" s="303">
        <v>3.5</v>
      </c>
      <c r="Z334" s="303">
        <v>3.5</v>
      </c>
      <c r="AA334" s="303">
        <v>3.5</v>
      </c>
      <c r="AB334" s="59">
        <v>0.7</v>
      </c>
      <c r="AC334" s="59">
        <v>0.8</v>
      </c>
      <c r="AD334" s="59">
        <v>0.8</v>
      </c>
      <c r="AE334" s="59">
        <v>0.8</v>
      </c>
      <c r="AF334" s="59">
        <v>0.8</v>
      </c>
      <c r="AG334" s="59">
        <v>0.8</v>
      </c>
      <c r="AH334" s="59">
        <v>0.8</v>
      </c>
      <c r="AI334" s="59">
        <v>0.8</v>
      </c>
      <c r="AJ334" s="59">
        <v>0.8</v>
      </c>
      <c r="AK334" s="59">
        <v>0.7</v>
      </c>
      <c r="AL334" s="59">
        <v>0.7</v>
      </c>
      <c r="AM334" s="59">
        <v>0.7</v>
      </c>
      <c r="AN334" s="59">
        <v>0.7</v>
      </c>
      <c r="AO334" s="260">
        <v>24955</v>
      </c>
      <c r="AP334" s="254">
        <f t="shared" si="135"/>
        <v>19964</v>
      </c>
      <c r="AQ334" s="260">
        <v>64314</v>
      </c>
      <c r="AR334" s="254">
        <f t="shared" si="136"/>
        <v>51451.200000000004</v>
      </c>
      <c r="AS334" s="260">
        <v>25840</v>
      </c>
      <c r="AT334" s="254">
        <f t="shared" si="137"/>
        <v>20672</v>
      </c>
      <c r="AU334" s="260">
        <v>19600</v>
      </c>
      <c r="AV334" s="257">
        <f t="shared" si="138"/>
        <v>15680</v>
      </c>
      <c r="AW334" s="383">
        <v>71879</v>
      </c>
      <c r="AX334" s="257">
        <f t="shared" si="139"/>
        <v>57503.200000000004</v>
      </c>
      <c r="AY334" s="392">
        <v>30784</v>
      </c>
      <c r="AZ334" s="257">
        <f t="shared" si="140"/>
        <v>24627.200000000001</v>
      </c>
      <c r="BA334" s="260">
        <v>31480</v>
      </c>
      <c r="BB334" s="257">
        <f t="shared" si="141"/>
        <v>25184</v>
      </c>
      <c r="BC334" s="260">
        <v>34120</v>
      </c>
      <c r="BD334" s="257">
        <f t="shared" si="142"/>
        <v>27296</v>
      </c>
      <c r="BE334" s="268">
        <v>18040</v>
      </c>
      <c r="BF334" s="257">
        <f t="shared" si="143"/>
        <v>12628</v>
      </c>
      <c r="BG334" s="268">
        <v>280</v>
      </c>
      <c r="BH334" s="257">
        <f t="shared" si="144"/>
        <v>196</v>
      </c>
      <c r="BI334" s="268">
        <v>280</v>
      </c>
      <c r="BJ334" s="257">
        <f t="shared" si="145"/>
        <v>196</v>
      </c>
      <c r="BK334" s="268"/>
      <c r="BL334" s="257">
        <f t="shared" si="146"/>
        <v>0</v>
      </c>
      <c r="BM334" s="1" t="s">
        <v>895</v>
      </c>
      <c r="BO334" s="1" t="s">
        <v>457</v>
      </c>
      <c r="BP334" s="378" t="s">
        <v>896</v>
      </c>
    </row>
    <row r="335" spans="1:68" ht="15.6">
      <c r="A335" s="250" t="s">
        <v>451</v>
      </c>
      <c r="B335" s="59" t="s">
        <v>221</v>
      </c>
      <c r="C335" s="354" t="s">
        <v>172</v>
      </c>
      <c r="D335" s="419"/>
      <c r="E335" s="281" t="s">
        <v>332</v>
      </c>
      <c r="F335" s="422"/>
      <c r="G335" s="317">
        <v>2023</v>
      </c>
      <c r="H335" s="323" t="s">
        <v>419</v>
      </c>
      <c r="I335" s="332" t="s">
        <v>183</v>
      </c>
      <c r="J335" s="331">
        <v>15</v>
      </c>
      <c r="K335" s="323" t="s">
        <v>247</v>
      </c>
      <c r="L335" s="323" t="s">
        <v>177</v>
      </c>
      <c r="M335" s="303" t="s">
        <v>624</v>
      </c>
      <c r="N335" s="303">
        <v>9</v>
      </c>
      <c r="O335" s="303">
        <v>9.5</v>
      </c>
      <c r="P335" s="303">
        <v>10.8</v>
      </c>
      <c r="Q335" s="303">
        <v>10.8</v>
      </c>
      <c r="R335" s="303">
        <v>10.8</v>
      </c>
      <c r="S335" s="303">
        <v>10.8</v>
      </c>
      <c r="T335" s="303">
        <v>10.8</v>
      </c>
      <c r="U335" s="303">
        <v>10.8</v>
      </c>
      <c r="V335" s="303">
        <v>10.8</v>
      </c>
      <c r="W335" s="303">
        <v>10.8</v>
      </c>
      <c r="X335" s="303">
        <v>9.5</v>
      </c>
      <c r="Y335" s="303">
        <v>9.5</v>
      </c>
      <c r="Z335" s="303">
        <v>9.5</v>
      </c>
      <c r="AA335" s="303">
        <v>9.5</v>
      </c>
      <c r="AB335" s="59">
        <v>2</v>
      </c>
      <c r="AC335" s="59">
        <v>2.35</v>
      </c>
      <c r="AD335" s="59">
        <v>2.35</v>
      </c>
      <c r="AE335" s="59">
        <v>2.35</v>
      </c>
      <c r="AF335" s="59">
        <v>2.35</v>
      </c>
      <c r="AG335" s="59">
        <v>2.35</v>
      </c>
      <c r="AH335" s="59">
        <v>2.35</v>
      </c>
      <c r="AI335" s="59">
        <v>2.35</v>
      </c>
      <c r="AJ335" s="59">
        <v>2.35</v>
      </c>
      <c r="AK335" s="59">
        <v>2</v>
      </c>
      <c r="AL335" s="59">
        <v>2</v>
      </c>
      <c r="AM335" s="59">
        <v>2</v>
      </c>
      <c r="AN335" s="59">
        <v>2</v>
      </c>
      <c r="AO335" s="260"/>
      <c r="AP335" s="254">
        <f t="shared" si="135"/>
        <v>0</v>
      </c>
      <c r="AQ335" s="260"/>
      <c r="AR335" s="254">
        <f t="shared" si="136"/>
        <v>0</v>
      </c>
      <c r="AS335" s="261"/>
      <c r="AT335" s="254">
        <f t="shared" si="137"/>
        <v>0</v>
      </c>
      <c r="AU335" s="256"/>
      <c r="AV335" s="257">
        <f t="shared" si="138"/>
        <v>0</v>
      </c>
      <c r="AW335" s="382"/>
      <c r="AX335" s="257">
        <f t="shared" si="139"/>
        <v>0</v>
      </c>
      <c r="AY335" s="268"/>
      <c r="AZ335" s="257">
        <f t="shared" si="140"/>
        <v>0</v>
      </c>
      <c r="BA335" s="268"/>
      <c r="BB335" s="257">
        <f t="shared" si="141"/>
        <v>0</v>
      </c>
      <c r="BC335" s="268"/>
      <c r="BD335" s="257">
        <f t="shared" si="142"/>
        <v>0</v>
      </c>
      <c r="BE335" s="268"/>
      <c r="BF335" s="257">
        <f t="shared" si="143"/>
        <v>0</v>
      </c>
      <c r="BG335" s="59"/>
      <c r="BH335" s="257">
        <f t="shared" si="144"/>
        <v>0</v>
      </c>
      <c r="BI335" s="268"/>
      <c r="BJ335" s="257">
        <f t="shared" si="145"/>
        <v>0</v>
      </c>
      <c r="BK335" s="268"/>
      <c r="BL335" s="257">
        <f t="shared" si="146"/>
        <v>0</v>
      </c>
      <c r="BM335" s="1" t="s">
        <v>897</v>
      </c>
      <c r="BO335" s="1" t="s">
        <v>457</v>
      </c>
      <c r="BP335" s="378" t="s">
        <v>898</v>
      </c>
    </row>
    <row r="336" spans="1:68" ht="15.6">
      <c r="A336" s="250" t="s">
        <v>451</v>
      </c>
      <c r="B336" s="59" t="s">
        <v>221</v>
      </c>
      <c r="C336" s="354" t="s">
        <v>172</v>
      </c>
      <c r="D336" s="419"/>
      <c r="E336" s="281" t="s">
        <v>332</v>
      </c>
      <c r="F336" s="422"/>
      <c r="G336" s="317">
        <v>2023</v>
      </c>
      <c r="H336" s="323" t="s">
        <v>419</v>
      </c>
      <c r="I336" s="332" t="s">
        <v>183</v>
      </c>
      <c r="J336" s="331">
        <v>15</v>
      </c>
      <c r="K336" s="323" t="s">
        <v>899</v>
      </c>
      <c r="L336" s="323" t="s">
        <v>177</v>
      </c>
      <c r="M336" s="303" t="s">
        <v>624</v>
      </c>
      <c r="N336" s="303">
        <v>9</v>
      </c>
      <c r="O336" s="303">
        <v>9.5</v>
      </c>
      <c r="P336" s="303">
        <v>10.8</v>
      </c>
      <c r="Q336" s="303">
        <v>10.8</v>
      </c>
      <c r="R336" s="303">
        <v>10.8</v>
      </c>
      <c r="S336" s="303">
        <v>10.8</v>
      </c>
      <c r="T336" s="303">
        <v>10.8</v>
      </c>
      <c r="U336" s="303">
        <v>10.8</v>
      </c>
      <c r="V336" s="303">
        <v>10.8</v>
      </c>
      <c r="W336" s="303">
        <v>10.8</v>
      </c>
      <c r="X336" s="303">
        <v>9.5</v>
      </c>
      <c r="Y336" s="303">
        <v>9.5</v>
      </c>
      <c r="Z336" s="303">
        <v>9.5</v>
      </c>
      <c r="AA336" s="303">
        <v>9.5</v>
      </c>
      <c r="AB336" s="59">
        <v>2</v>
      </c>
      <c r="AC336" s="59">
        <v>2.35</v>
      </c>
      <c r="AD336" s="59">
        <v>2.35</v>
      </c>
      <c r="AE336" s="59">
        <v>2.35</v>
      </c>
      <c r="AF336" s="59">
        <v>2.35</v>
      </c>
      <c r="AG336" s="59">
        <v>2.35</v>
      </c>
      <c r="AH336" s="59">
        <v>2.35</v>
      </c>
      <c r="AI336" s="59">
        <v>2.35</v>
      </c>
      <c r="AJ336" s="59">
        <v>2.35</v>
      </c>
      <c r="AK336" s="59">
        <v>2</v>
      </c>
      <c r="AL336" s="59">
        <v>2</v>
      </c>
      <c r="AM336" s="59">
        <v>2</v>
      </c>
      <c r="AN336" s="59">
        <v>2</v>
      </c>
      <c r="AO336" s="260"/>
      <c r="AP336" s="254">
        <f t="shared" si="135"/>
        <v>0</v>
      </c>
      <c r="AQ336" s="260"/>
      <c r="AR336" s="254">
        <f t="shared" si="136"/>
        <v>0</v>
      </c>
      <c r="AS336" s="261"/>
      <c r="AT336" s="254">
        <f t="shared" si="137"/>
        <v>0</v>
      </c>
      <c r="AU336" s="256"/>
      <c r="AV336" s="257">
        <f t="shared" si="138"/>
        <v>0</v>
      </c>
      <c r="AW336" s="382"/>
      <c r="AX336" s="257">
        <f t="shared" si="139"/>
        <v>0</v>
      </c>
      <c r="AY336" s="268"/>
      <c r="AZ336" s="257">
        <f t="shared" si="140"/>
        <v>0</v>
      </c>
      <c r="BA336" s="268"/>
      <c r="BB336" s="257">
        <f t="shared" si="141"/>
        <v>0</v>
      </c>
      <c r="BC336" s="268"/>
      <c r="BD336" s="257">
        <f t="shared" si="142"/>
        <v>0</v>
      </c>
      <c r="BE336" s="268"/>
      <c r="BF336" s="257">
        <f t="shared" si="143"/>
        <v>0</v>
      </c>
      <c r="BG336" s="59"/>
      <c r="BH336" s="257">
        <f t="shared" si="144"/>
        <v>0</v>
      </c>
      <c r="BI336" s="268"/>
      <c r="BJ336" s="257">
        <f t="shared" si="145"/>
        <v>0</v>
      </c>
      <c r="BK336" s="268"/>
      <c r="BL336" s="257">
        <f t="shared" si="146"/>
        <v>0</v>
      </c>
      <c r="BM336" s="1" t="s">
        <v>900</v>
      </c>
      <c r="BO336" s="1" t="s">
        <v>457</v>
      </c>
      <c r="BP336" s="378" t="s">
        <v>901</v>
      </c>
    </row>
    <row r="337" spans="1:68" ht="15.6">
      <c r="A337" s="250" t="s">
        <v>451</v>
      </c>
      <c r="B337" s="59" t="s">
        <v>221</v>
      </c>
      <c r="C337" s="354" t="s">
        <v>172</v>
      </c>
      <c r="D337" s="419"/>
      <c r="E337" s="281" t="s">
        <v>332</v>
      </c>
      <c r="F337" s="422"/>
      <c r="G337" s="317">
        <v>2023</v>
      </c>
      <c r="H337" s="323" t="s">
        <v>419</v>
      </c>
      <c r="I337" s="332" t="s">
        <v>183</v>
      </c>
      <c r="J337" s="331">
        <v>15</v>
      </c>
      <c r="K337" s="323" t="s">
        <v>422</v>
      </c>
      <c r="L337" s="323" t="s">
        <v>177</v>
      </c>
      <c r="M337" s="303" t="s">
        <v>624</v>
      </c>
      <c r="N337" s="303">
        <v>9.9</v>
      </c>
      <c r="O337" s="303">
        <v>9.5</v>
      </c>
      <c r="P337" s="303">
        <v>11.6</v>
      </c>
      <c r="Q337" s="303">
        <v>11.6</v>
      </c>
      <c r="R337" s="303">
        <v>11.6</v>
      </c>
      <c r="S337" s="303">
        <v>11.6</v>
      </c>
      <c r="T337" s="303">
        <v>11.6</v>
      </c>
      <c r="U337" s="303">
        <v>11.6</v>
      </c>
      <c r="V337" s="303">
        <v>11.6</v>
      </c>
      <c r="W337" s="303">
        <v>11.6</v>
      </c>
      <c r="X337" s="303">
        <v>9.5</v>
      </c>
      <c r="Y337" s="303">
        <v>9.5</v>
      </c>
      <c r="Z337" s="303">
        <v>9.5</v>
      </c>
      <c r="AA337" s="303">
        <v>9.5</v>
      </c>
      <c r="AB337" s="59">
        <v>1.7</v>
      </c>
      <c r="AC337" s="59">
        <v>1.7</v>
      </c>
      <c r="AD337" s="59">
        <v>1.7</v>
      </c>
      <c r="AE337" s="59">
        <v>1.7</v>
      </c>
      <c r="AF337" s="59">
        <v>1.7</v>
      </c>
      <c r="AG337" s="59">
        <v>1.7</v>
      </c>
      <c r="AH337" s="59">
        <v>1.7</v>
      </c>
      <c r="AI337" s="59">
        <v>1.7</v>
      </c>
      <c r="AJ337" s="59">
        <v>1.7</v>
      </c>
      <c r="AK337" s="59">
        <v>1.7</v>
      </c>
      <c r="AL337" s="59">
        <v>1.7</v>
      </c>
      <c r="AM337" s="59">
        <v>1.7</v>
      </c>
      <c r="AN337" s="59">
        <v>1.7</v>
      </c>
      <c r="AO337" s="260"/>
      <c r="AP337" s="254">
        <f t="shared" si="135"/>
        <v>0</v>
      </c>
      <c r="AQ337" s="260">
        <v>400</v>
      </c>
      <c r="AR337" s="254">
        <f t="shared" si="136"/>
        <v>680</v>
      </c>
      <c r="AS337" s="261">
        <v>1040</v>
      </c>
      <c r="AT337" s="254">
        <f t="shared" si="137"/>
        <v>1768</v>
      </c>
      <c r="AU337" s="256"/>
      <c r="AV337" s="257">
        <f t="shared" si="138"/>
        <v>0</v>
      </c>
      <c r="AW337" s="382"/>
      <c r="AX337" s="257">
        <f t="shared" si="139"/>
        <v>0</v>
      </c>
      <c r="AY337" s="268"/>
      <c r="AZ337" s="257">
        <f t="shared" si="140"/>
        <v>0</v>
      </c>
      <c r="BA337" s="268"/>
      <c r="BB337" s="257">
        <f t="shared" si="141"/>
        <v>0</v>
      </c>
      <c r="BC337" s="268"/>
      <c r="BD337" s="257">
        <f t="shared" si="142"/>
        <v>0</v>
      </c>
      <c r="BE337" s="268"/>
      <c r="BF337" s="257">
        <f t="shared" si="143"/>
        <v>0</v>
      </c>
      <c r="BG337" s="59"/>
      <c r="BH337" s="257">
        <f t="shared" si="144"/>
        <v>0</v>
      </c>
      <c r="BI337" s="268"/>
      <c r="BJ337" s="257">
        <f t="shared" si="145"/>
        <v>0</v>
      </c>
      <c r="BK337" s="268"/>
      <c r="BL337" s="257">
        <f t="shared" si="146"/>
        <v>0</v>
      </c>
      <c r="BM337" s="1" t="s">
        <v>902</v>
      </c>
      <c r="BO337" s="1" t="s">
        <v>457</v>
      </c>
      <c r="BP337" s="378" t="s">
        <v>903</v>
      </c>
    </row>
    <row r="338" spans="1:68" ht="15.6">
      <c r="A338" s="250" t="s">
        <v>451</v>
      </c>
      <c r="B338" s="59" t="s">
        <v>221</v>
      </c>
      <c r="C338" s="354" t="s">
        <v>172</v>
      </c>
      <c r="D338" s="419"/>
      <c r="E338" s="281" t="s">
        <v>332</v>
      </c>
      <c r="F338" s="422"/>
      <c r="G338" s="317">
        <v>2023</v>
      </c>
      <c r="H338" s="323" t="s">
        <v>419</v>
      </c>
      <c r="I338" s="332" t="s">
        <v>183</v>
      </c>
      <c r="J338" s="331">
        <v>15</v>
      </c>
      <c r="K338" s="323" t="s">
        <v>423</v>
      </c>
      <c r="L338" s="323" t="s">
        <v>177</v>
      </c>
      <c r="M338" s="303" t="s">
        <v>624</v>
      </c>
      <c r="N338" s="303">
        <v>9.9</v>
      </c>
      <c r="O338" s="303">
        <v>9.5</v>
      </c>
      <c r="P338" s="303">
        <v>11.6</v>
      </c>
      <c r="Q338" s="303">
        <v>11.6</v>
      </c>
      <c r="R338" s="303">
        <v>11.6</v>
      </c>
      <c r="S338" s="303">
        <v>11.6</v>
      </c>
      <c r="T338" s="303">
        <v>11.6</v>
      </c>
      <c r="U338" s="303">
        <v>11.6</v>
      </c>
      <c r="V338" s="303">
        <v>11.6</v>
      </c>
      <c r="W338" s="303">
        <v>11.6</v>
      </c>
      <c r="X338" s="303">
        <v>9.5</v>
      </c>
      <c r="Y338" s="303">
        <v>9.5</v>
      </c>
      <c r="Z338" s="303">
        <v>9.5</v>
      </c>
      <c r="AA338" s="303">
        <v>9.5</v>
      </c>
      <c r="AB338" s="59">
        <v>1.7</v>
      </c>
      <c r="AC338" s="59">
        <v>1.7</v>
      </c>
      <c r="AD338" s="59">
        <v>1.7</v>
      </c>
      <c r="AE338" s="59">
        <v>1.7</v>
      </c>
      <c r="AF338" s="59">
        <v>1.7</v>
      </c>
      <c r="AG338" s="59">
        <v>1.7</v>
      </c>
      <c r="AH338" s="59">
        <v>1.7</v>
      </c>
      <c r="AI338" s="59">
        <v>1.7</v>
      </c>
      <c r="AJ338" s="59">
        <v>1.7</v>
      </c>
      <c r="AK338" s="59">
        <v>1.7</v>
      </c>
      <c r="AL338" s="59">
        <v>1.7</v>
      </c>
      <c r="AM338" s="59">
        <v>1.7</v>
      </c>
      <c r="AN338" s="59">
        <v>1.7</v>
      </c>
      <c r="AO338" s="260"/>
      <c r="AP338" s="254">
        <f t="shared" si="135"/>
        <v>0</v>
      </c>
      <c r="AQ338" s="260">
        <v>800</v>
      </c>
      <c r="AR338" s="254">
        <f t="shared" si="136"/>
        <v>1360</v>
      </c>
      <c r="AS338" s="261">
        <v>1520</v>
      </c>
      <c r="AT338" s="254">
        <f t="shared" si="137"/>
        <v>2584</v>
      </c>
      <c r="AU338" s="256"/>
      <c r="AV338" s="257">
        <f t="shared" si="138"/>
        <v>0</v>
      </c>
      <c r="AW338" s="382"/>
      <c r="AX338" s="257">
        <f t="shared" si="139"/>
        <v>0</v>
      </c>
      <c r="AY338" s="268"/>
      <c r="AZ338" s="257">
        <f t="shared" si="140"/>
        <v>0</v>
      </c>
      <c r="BA338" s="268"/>
      <c r="BB338" s="257">
        <f t="shared" si="141"/>
        <v>0</v>
      </c>
      <c r="BC338" s="268"/>
      <c r="BD338" s="257">
        <f t="shared" si="142"/>
        <v>0</v>
      </c>
      <c r="BE338" s="268"/>
      <c r="BF338" s="257">
        <f t="shared" si="143"/>
        <v>0</v>
      </c>
      <c r="BG338" s="59"/>
      <c r="BH338" s="257">
        <f t="shared" si="144"/>
        <v>0</v>
      </c>
      <c r="BI338" s="268"/>
      <c r="BJ338" s="257">
        <f t="shared" si="145"/>
        <v>0</v>
      </c>
      <c r="BK338" s="268"/>
      <c r="BL338" s="257">
        <f t="shared" si="146"/>
        <v>0</v>
      </c>
      <c r="BM338" s="1" t="s">
        <v>904</v>
      </c>
      <c r="BO338" s="1" t="s">
        <v>457</v>
      </c>
      <c r="BP338" s="378" t="s">
        <v>905</v>
      </c>
    </row>
    <row r="339" spans="1:68" ht="15.6">
      <c r="A339" s="250" t="s">
        <v>451</v>
      </c>
      <c r="B339" s="59" t="s">
        <v>221</v>
      </c>
      <c r="C339" s="354" t="s">
        <v>172</v>
      </c>
      <c r="D339" s="419"/>
      <c r="E339" s="281" t="s">
        <v>332</v>
      </c>
      <c r="F339" s="422"/>
      <c r="G339" s="317">
        <v>2023</v>
      </c>
      <c r="H339" s="323" t="s">
        <v>419</v>
      </c>
      <c r="I339" s="327" t="s">
        <v>190</v>
      </c>
      <c r="J339" s="331">
        <v>15</v>
      </c>
      <c r="K339" s="323" t="s">
        <v>637</v>
      </c>
      <c r="L339" s="323" t="s">
        <v>177</v>
      </c>
      <c r="M339" s="303" t="s">
        <v>624</v>
      </c>
      <c r="N339" s="303">
        <v>2.8</v>
      </c>
      <c r="O339" s="303">
        <v>3.5</v>
      </c>
      <c r="P339" s="303">
        <v>3.65</v>
      </c>
      <c r="Q339" s="303">
        <v>3.65</v>
      </c>
      <c r="R339" s="303">
        <v>3.65</v>
      </c>
      <c r="S339" s="303">
        <v>3.65</v>
      </c>
      <c r="T339" s="303">
        <v>3.65</v>
      </c>
      <c r="U339" s="303">
        <v>3.65</v>
      </c>
      <c r="V339" s="303">
        <v>3.65</v>
      </c>
      <c r="W339" s="303">
        <v>3.65</v>
      </c>
      <c r="X339" s="303">
        <v>3.5</v>
      </c>
      <c r="Y339" s="303">
        <v>3.5</v>
      </c>
      <c r="Z339" s="303">
        <v>3.5</v>
      </c>
      <c r="AA339" s="303">
        <v>3.5</v>
      </c>
      <c r="AB339" s="59">
        <v>0.7</v>
      </c>
      <c r="AC339" s="59">
        <v>0.8</v>
      </c>
      <c r="AD339" s="59">
        <v>0.8</v>
      </c>
      <c r="AE339" s="59">
        <v>0.8</v>
      </c>
      <c r="AF339" s="59">
        <v>0.8</v>
      </c>
      <c r="AG339" s="59">
        <v>0.8</v>
      </c>
      <c r="AH339" s="59">
        <v>0.8</v>
      </c>
      <c r="AI339" s="59">
        <v>0.8</v>
      </c>
      <c r="AJ339" s="59">
        <v>0.8</v>
      </c>
      <c r="AK339" s="59">
        <v>0.7</v>
      </c>
      <c r="AL339" s="59">
        <v>0.7</v>
      </c>
      <c r="AM339" s="59">
        <v>0.7</v>
      </c>
      <c r="AN339" s="59">
        <v>0.7</v>
      </c>
      <c r="AO339" s="260"/>
      <c r="AP339" s="254">
        <f t="shared" si="135"/>
        <v>0</v>
      </c>
      <c r="AQ339" s="260">
        <v>40</v>
      </c>
      <c r="AR339" s="254">
        <f t="shared" si="136"/>
        <v>32</v>
      </c>
      <c r="AS339" s="261"/>
      <c r="AT339" s="254">
        <f t="shared" si="137"/>
        <v>0</v>
      </c>
      <c r="AU339" s="256">
        <v>320</v>
      </c>
      <c r="AV339" s="257">
        <f t="shared" si="138"/>
        <v>256</v>
      </c>
      <c r="AW339" s="382">
        <v>240</v>
      </c>
      <c r="AX339" s="257">
        <f t="shared" si="139"/>
        <v>192</v>
      </c>
      <c r="AY339" s="268">
        <v>3320</v>
      </c>
      <c r="AZ339" s="257">
        <f t="shared" si="140"/>
        <v>2656</v>
      </c>
      <c r="BA339" s="268">
        <v>16240</v>
      </c>
      <c r="BB339" s="257">
        <f t="shared" si="141"/>
        <v>12992</v>
      </c>
      <c r="BC339" s="268">
        <v>9240</v>
      </c>
      <c r="BD339" s="257">
        <f t="shared" si="142"/>
        <v>7392</v>
      </c>
      <c r="BE339" s="268">
        <v>10640</v>
      </c>
      <c r="BF339" s="257">
        <f t="shared" si="143"/>
        <v>7447.9999999999991</v>
      </c>
      <c r="BG339" s="256">
        <v>8120</v>
      </c>
      <c r="BH339" s="257">
        <f t="shared" si="144"/>
        <v>5684</v>
      </c>
      <c r="BI339" s="268">
        <v>10480</v>
      </c>
      <c r="BJ339" s="257">
        <f t="shared" si="145"/>
        <v>7335.9999999999991</v>
      </c>
      <c r="BK339" s="268">
        <v>6960</v>
      </c>
      <c r="BL339" s="257">
        <f t="shared" si="146"/>
        <v>4872</v>
      </c>
      <c r="BM339" s="1" t="s">
        <v>906</v>
      </c>
      <c r="BN339" s="1" t="s">
        <v>532</v>
      </c>
      <c r="BO339" s="1" t="s">
        <v>457</v>
      </c>
      <c r="BP339" s="378" t="s">
        <v>907</v>
      </c>
    </row>
    <row r="340" spans="1:68" ht="15.6">
      <c r="A340" s="250" t="s">
        <v>451</v>
      </c>
      <c r="B340" s="59" t="s">
        <v>221</v>
      </c>
      <c r="C340" s="354" t="s">
        <v>172</v>
      </c>
      <c r="D340" s="419"/>
      <c r="E340" s="281" t="s">
        <v>332</v>
      </c>
      <c r="F340" s="422"/>
      <c r="G340" s="317">
        <v>2023</v>
      </c>
      <c r="H340" s="323" t="s">
        <v>419</v>
      </c>
      <c r="I340" s="332" t="s">
        <v>183</v>
      </c>
      <c r="J340" s="331">
        <v>15</v>
      </c>
      <c r="K340" s="323" t="s">
        <v>210</v>
      </c>
      <c r="L340" s="323" t="s">
        <v>177</v>
      </c>
      <c r="M340" s="303" t="s">
        <v>624</v>
      </c>
      <c r="N340" s="303">
        <v>8.6</v>
      </c>
      <c r="O340" s="303">
        <v>9.5</v>
      </c>
      <c r="P340" s="303">
        <v>10.8</v>
      </c>
      <c r="Q340" s="303">
        <v>10.8</v>
      </c>
      <c r="R340" s="303">
        <v>10.8</v>
      </c>
      <c r="S340" s="303">
        <v>10.8</v>
      </c>
      <c r="T340" s="303">
        <v>10.8</v>
      </c>
      <c r="U340" s="303">
        <v>10.8</v>
      </c>
      <c r="V340" s="303">
        <v>10.8</v>
      </c>
      <c r="W340" s="303">
        <v>10.8</v>
      </c>
      <c r="X340" s="303">
        <v>9.5</v>
      </c>
      <c r="Y340" s="303">
        <v>9.5</v>
      </c>
      <c r="Z340" s="303">
        <v>9.5</v>
      </c>
      <c r="AA340" s="303">
        <v>9.5</v>
      </c>
      <c r="AB340" s="59">
        <v>2</v>
      </c>
      <c r="AC340" s="59">
        <v>2.35</v>
      </c>
      <c r="AD340" s="59">
        <v>2.35</v>
      </c>
      <c r="AE340" s="59">
        <v>2.35</v>
      </c>
      <c r="AF340" s="59">
        <v>2.35</v>
      </c>
      <c r="AG340" s="59">
        <v>2.35</v>
      </c>
      <c r="AH340" s="59">
        <v>2.35</v>
      </c>
      <c r="AI340" s="59">
        <v>2.35</v>
      </c>
      <c r="AJ340" s="59">
        <v>2.35</v>
      </c>
      <c r="AK340" s="59">
        <v>2</v>
      </c>
      <c r="AL340" s="59">
        <v>2</v>
      </c>
      <c r="AM340" s="59">
        <v>2</v>
      </c>
      <c r="AN340" s="59">
        <v>2</v>
      </c>
      <c r="AO340" s="260"/>
      <c r="AP340" s="254">
        <f t="shared" si="135"/>
        <v>0</v>
      </c>
      <c r="AQ340" s="260">
        <v>120</v>
      </c>
      <c r="AR340" s="254">
        <f t="shared" si="136"/>
        <v>282</v>
      </c>
      <c r="AS340" s="261">
        <v>320</v>
      </c>
      <c r="AT340" s="254">
        <f t="shared" si="137"/>
        <v>752</v>
      </c>
      <c r="AU340" s="256">
        <v>120</v>
      </c>
      <c r="AV340" s="257">
        <f t="shared" si="138"/>
        <v>282</v>
      </c>
      <c r="AW340" s="382">
        <v>40</v>
      </c>
      <c r="AX340" s="257">
        <f t="shared" si="139"/>
        <v>94</v>
      </c>
      <c r="AY340" s="268">
        <v>40</v>
      </c>
      <c r="AZ340" s="257">
        <f t="shared" si="140"/>
        <v>94</v>
      </c>
      <c r="BA340" s="268">
        <v>120</v>
      </c>
      <c r="BB340" s="257">
        <f t="shared" si="141"/>
        <v>282</v>
      </c>
      <c r="BC340" s="268">
        <v>1920</v>
      </c>
      <c r="BD340" s="257">
        <f t="shared" si="142"/>
        <v>4512</v>
      </c>
      <c r="BE340" s="268">
        <v>1080</v>
      </c>
      <c r="BF340" s="257">
        <f t="shared" si="143"/>
        <v>2160</v>
      </c>
      <c r="BG340" s="256">
        <v>4160</v>
      </c>
      <c r="BH340" s="257">
        <f t="shared" si="144"/>
        <v>8320</v>
      </c>
      <c r="BI340" s="268">
        <v>17920</v>
      </c>
      <c r="BJ340" s="257">
        <f t="shared" si="145"/>
        <v>35840</v>
      </c>
      <c r="BK340" s="268">
        <v>1880</v>
      </c>
      <c r="BL340" s="257">
        <f t="shared" si="146"/>
        <v>3760</v>
      </c>
      <c r="BM340" s="1" t="s">
        <v>908</v>
      </c>
      <c r="BN340" s="1" t="s">
        <v>532</v>
      </c>
      <c r="BO340" s="1" t="s">
        <v>457</v>
      </c>
      <c r="BP340" s="378" t="s">
        <v>909</v>
      </c>
    </row>
    <row r="341" spans="1:68" ht="15.6">
      <c r="A341" s="250" t="s">
        <v>451</v>
      </c>
      <c r="B341" s="59" t="s">
        <v>221</v>
      </c>
      <c r="C341" s="354" t="s">
        <v>172</v>
      </c>
      <c r="D341" s="419"/>
      <c r="E341" s="281" t="s">
        <v>332</v>
      </c>
      <c r="F341" s="422"/>
      <c r="G341" s="317">
        <v>2023</v>
      </c>
      <c r="H341" s="323" t="s">
        <v>419</v>
      </c>
      <c r="I341" s="327" t="s">
        <v>190</v>
      </c>
      <c r="J341" s="331">
        <v>15</v>
      </c>
      <c r="K341" s="323" t="s">
        <v>210</v>
      </c>
      <c r="L341" s="323" t="s">
        <v>177</v>
      </c>
      <c r="M341" s="303" t="s">
        <v>624</v>
      </c>
      <c r="N341" s="303">
        <v>4.4000000000000004</v>
      </c>
      <c r="O341" s="303">
        <v>5.4</v>
      </c>
      <c r="P341" s="303">
        <v>5.7</v>
      </c>
      <c r="Q341" s="303">
        <v>5.7</v>
      </c>
      <c r="R341" s="303">
        <v>5.7</v>
      </c>
      <c r="S341" s="303">
        <v>5.7</v>
      </c>
      <c r="T341" s="303">
        <v>5.7</v>
      </c>
      <c r="U341" s="303">
        <v>5.7</v>
      </c>
      <c r="V341" s="303">
        <v>5.7</v>
      </c>
      <c r="W341" s="303">
        <v>5.7</v>
      </c>
      <c r="X341" s="303">
        <v>5.4</v>
      </c>
      <c r="Y341" s="303">
        <v>5.4</v>
      </c>
      <c r="Z341" s="303">
        <v>5.4</v>
      </c>
      <c r="AA341" s="303">
        <v>5.4</v>
      </c>
      <c r="AB341" s="59">
        <v>1</v>
      </c>
      <c r="AC341" s="59">
        <v>1.05</v>
      </c>
      <c r="AD341" s="59">
        <v>1.05</v>
      </c>
      <c r="AE341" s="59">
        <v>1.05</v>
      </c>
      <c r="AF341" s="59">
        <v>1.05</v>
      </c>
      <c r="AG341" s="59">
        <v>1.05</v>
      </c>
      <c r="AH341" s="59">
        <v>1.05</v>
      </c>
      <c r="AI341" s="59">
        <v>1.05</v>
      </c>
      <c r="AJ341" s="59">
        <v>1.05</v>
      </c>
      <c r="AK341" s="59">
        <v>1</v>
      </c>
      <c r="AL341" s="59">
        <v>1</v>
      </c>
      <c r="AM341" s="59">
        <v>1</v>
      </c>
      <c r="AN341" s="59">
        <v>1</v>
      </c>
      <c r="AO341" s="260"/>
      <c r="AP341" s="254">
        <f t="shared" si="135"/>
        <v>0</v>
      </c>
      <c r="AQ341" s="260">
        <v>80</v>
      </c>
      <c r="AR341" s="254">
        <f t="shared" si="136"/>
        <v>84</v>
      </c>
      <c r="AS341" s="261">
        <v>40</v>
      </c>
      <c r="AT341" s="254">
        <f t="shared" si="137"/>
        <v>42</v>
      </c>
      <c r="AU341" s="256">
        <v>200</v>
      </c>
      <c r="AV341" s="257">
        <f t="shared" si="138"/>
        <v>210</v>
      </c>
      <c r="AW341" s="382">
        <v>320</v>
      </c>
      <c r="AX341" s="257">
        <f t="shared" si="139"/>
        <v>336</v>
      </c>
      <c r="AY341" s="268">
        <v>160</v>
      </c>
      <c r="AZ341" s="257">
        <f t="shared" si="140"/>
        <v>168</v>
      </c>
      <c r="BA341" s="268">
        <v>80</v>
      </c>
      <c r="BB341" s="257">
        <f t="shared" si="141"/>
        <v>84</v>
      </c>
      <c r="BC341" s="268">
        <v>1080</v>
      </c>
      <c r="BD341" s="257">
        <f t="shared" si="142"/>
        <v>1134</v>
      </c>
      <c r="BE341" s="268">
        <v>1120</v>
      </c>
      <c r="BF341" s="257">
        <f t="shared" si="143"/>
        <v>1120</v>
      </c>
      <c r="BG341" s="256">
        <v>6600</v>
      </c>
      <c r="BH341" s="257">
        <f t="shared" si="144"/>
        <v>6600</v>
      </c>
      <c r="BI341" s="268">
        <v>1520</v>
      </c>
      <c r="BJ341" s="257">
        <f t="shared" si="145"/>
        <v>1520</v>
      </c>
      <c r="BK341" s="268">
        <v>1480</v>
      </c>
      <c r="BL341" s="257">
        <f t="shared" si="146"/>
        <v>1480</v>
      </c>
      <c r="BM341" s="1" t="s">
        <v>910</v>
      </c>
      <c r="BN341" s="1" t="s">
        <v>532</v>
      </c>
      <c r="BO341" s="1" t="s">
        <v>457</v>
      </c>
      <c r="BP341" s="378" t="s">
        <v>911</v>
      </c>
    </row>
    <row r="342" spans="1:68" ht="15.6">
      <c r="A342" s="250" t="s">
        <v>451</v>
      </c>
      <c r="B342" s="59" t="s">
        <v>221</v>
      </c>
      <c r="C342" s="354" t="s">
        <v>172</v>
      </c>
      <c r="D342" s="419"/>
      <c r="E342" s="281" t="s">
        <v>332</v>
      </c>
      <c r="F342" s="422"/>
      <c r="G342" s="317">
        <v>2023</v>
      </c>
      <c r="H342" s="323" t="s">
        <v>419</v>
      </c>
      <c r="I342" s="332" t="s">
        <v>183</v>
      </c>
      <c r="J342" s="331">
        <v>15</v>
      </c>
      <c r="K342" s="328" t="s">
        <v>243</v>
      </c>
      <c r="L342" s="323" t="s">
        <v>177</v>
      </c>
      <c r="M342" s="303" t="s">
        <v>624</v>
      </c>
      <c r="N342" s="303">
        <v>8.6</v>
      </c>
      <c r="O342" s="303">
        <v>8.8000000000000007</v>
      </c>
      <c r="P342" s="303">
        <v>10.8</v>
      </c>
      <c r="Q342" s="303">
        <v>10.8</v>
      </c>
      <c r="R342" s="303">
        <v>10.8</v>
      </c>
      <c r="S342" s="303">
        <v>10.8</v>
      </c>
      <c r="T342" s="303">
        <v>10.8</v>
      </c>
      <c r="U342" s="303">
        <v>10.8</v>
      </c>
      <c r="V342" s="303">
        <v>10.8</v>
      </c>
      <c r="W342" s="303">
        <v>10.8</v>
      </c>
      <c r="X342" s="303">
        <v>9.5</v>
      </c>
      <c r="Y342" s="303">
        <v>8.8000000000000007</v>
      </c>
      <c r="Z342" s="303">
        <v>8.8000000000000007</v>
      </c>
      <c r="AA342" s="303">
        <v>8.8000000000000007</v>
      </c>
      <c r="AB342" s="59">
        <v>1.6</v>
      </c>
      <c r="AC342" s="59">
        <v>2.35</v>
      </c>
      <c r="AD342" s="59">
        <v>2.35</v>
      </c>
      <c r="AE342" s="59">
        <v>2.35</v>
      </c>
      <c r="AF342" s="59">
        <v>2.35</v>
      </c>
      <c r="AG342" s="59">
        <v>2.35</v>
      </c>
      <c r="AH342" s="59">
        <v>2.35</v>
      </c>
      <c r="AI342" s="59">
        <v>2.35</v>
      </c>
      <c r="AJ342" s="59">
        <v>2.35</v>
      </c>
      <c r="AK342" s="59">
        <v>2</v>
      </c>
      <c r="AL342" s="59">
        <v>1.6</v>
      </c>
      <c r="AM342" s="59">
        <v>1.6</v>
      </c>
      <c r="AN342" s="59">
        <v>1.6</v>
      </c>
      <c r="AO342" s="260"/>
      <c r="AP342" s="254">
        <f t="shared" si="135"/>
        <v>0</v>
      </c>
      <c r="AQ342" s="260">
        <v>80</v>
      </c>
      <c r="AR342" s="254">
        <f t="shared" si="136"/>
        <v>188</v>
      </c>
      <c r="AS342" s="261">
        <v>1840</v>
      </c>
      <c r="AT342" s="254">
        <f t="shared" si="137"/>
        <v>4324</v>
      </c>
      <c r="AU342" s="256">
        <v>5880</v>
      </c>
      <c r="AV342" s="257">
        <f t="shared" si="138"/>
        <v>13818</v>
      </c>
      <c r="AW342" s="382">
        <v>28160</v>
      </c>
      <c r="AX342" s="257">
        <f t="shared" si="139"/>
        <v>66176</v>
      </c>
      <c r="AY342" s="268">
        <v>3280</v>
      </c>
      <c r="AZ342" s="257">
        <f t="shared" si="140"/>
        <v>7708</v>
      </c>
      <c r="BA342" s="268">
        <v>33840</v>
      </c>
      <c r="BB342" s="257">
        <f t="shared" si="141"/>
        <v>79524</v>
      </c>
      <c r="BC342" s="268">
        <v>35880</v>
      </c>
      <c r="BD342" s="257">
        <f t="shared" si="142"/>
        <v>84318</v>
      </c>
      <c r="BE342" s="268">
        <v>18040</v>
      </c>
      <c r="BF342" s="257">
        <f t="shared" si="143"/>
        <v>36080</v>
      </c>
      <c r="BG342" s="256">
        <v>33280</v>
      </c>
      <c r="BH342" s="257">
        <f t="shared" si="144"/>
        <v>53248</v>
      </c>
      <c r="BI342" s="268">
        <v>51280</v>
      </c>
      <c r="BJ342" s="257">
        <f t="shared" si="145"/>
        <v>82048</v>
      </c>
      <c r="BK342" s="268">
        <v>22558</v>
      </c>
      <c r="BL342" s="257">
        <f t="shared" si="146"/>
        <v>36092.800000000003</v>
      </c>
      <c r="BM342" s="1" t="s">
        <v>912</v>
      </c>
      <c r="BN342" s="1" t="s">
        <v>532</v>
      </c>
      <c r="BO342" s="1" t="s">
        <v>457</v>
      </c>
      <c r="BP342" s="378" t="s">
        <v>913</v>
      </c>
    </row>
    <row r="343" spans="1:68" ht="15.6">
      <c r="A343" s="250" t="s">
        <v>451</v>
      </c>
      <c r="B343" s="59" t="s">
        <v>221</v>
      </c>
      <c r="C343" s="354" t="s">
        <v>172</v>
      </c>
      <c r="D343" s="419"/>
      <c r="E343" s="281" t="s">
        <v>332</v>
      </c>
      <c r="F343" s="422"/>
      <c r="G343" s="317">
        <v>2023</v>
      </c>
      <c r="H343" s="323" t="s">
        <v>419</v>
      </c>
      <c r="I343" s="327" t="s">
        <v>190</v>
      </c>
      <c r="J343" s="331">
        <v>15</v>
      </c>
      <c r="K343" s="328" t="s">
        <v>243</v>
      </c>
      <c r="L343" s="323" t="s">
        <v>177</v>
      </c>
      <c r="M343" s="303" t="s">
        <v>624</v>
      </c>
      <c r="N343" s="303">
        <v>2.8</v>
      </c>
      <c r="O343" s="303">
        <v>3.5</v>
      </c>
      <c r="P343" s="303">
        <v>3.65</v>
      </c>
      <c r="Q343" s="303">
        <v>3.65</v>
      </c>
      <c r="R343" s="303">
        <v>3.65</v>
      </c>
      <c r="S343" s="303">
        <v>3.65</v>
      </c>
      <c r="T343" s="303">
        <v>3.65</v>
      </c>
      <c r="U343" s="303">
        <v>3.65</v>
      </c>
      <c r="V343" s="303">
        <v>3.65</v>
      </c>
      <c r="W343" s="303">
        <v>3.65</v>
      </c>
      <c r="X343" s="303">
        <v>3.5</v>
      </c>
      <c r="Y343" s="303">
        <v>3.5</v>
      </c>
      <c r="Z343" s="303">
        <v>3.5</v>
      </c>
      <c r="AA343" s="303">
        <v>3.5</v>
      </c>
      <c r="AB343" s="59">
        <v>0.7</v>
      </c>
      <c r="AC343" s="59">
        <v>0.8</v>
      </c>
      <c r="AD343" s="59">
        <v>0.8</v>
      </c>
      <c r="AE343" s="59">
        <v>0.8</v>
      </c>
      <c r="AF343" s="59">
        <v>0.8</v>
      </c>
      <c r="AG343" s="59">
        <v>0.8</v>
      </c>
      <c r="AH343" s="59">
        <v>0.8</v>
      </c>
      <c r="AI343" s="59">
        <v>0.8</v>
      </c>
      <c r="AJ343" s="59">
        <v>0.8</v>
      </c>
      <c r="AK343" s="59">
        <v>0.7</v>
      </c>
      <c r="AL343" s="59">
        <v>0.7</v>
      </c>
      <c r="AM343" s="59">
        <v>0.7</v>
      </c>
      <c r="AN343" s="59">
        <v>0.7</v>
      </c>
      <c r="AO343" s="260"/>
      <c r="AP343" s="254">
        <f t="shared" si="135"/>
        <v>0</v>
      </c>
      <c r="AQ343" s="260">
        <v>28445</v>
      </c>
      <c r="AR343" s="254">
        <f t="shared" si="136"/>
        <v>22756</v>
      </c>
      <c r="AS343" s="261">
        <v>23600</v>
      </c>
      <c r="AT343" s="254">
        <f t="shared" si="137"/>
        <v>18880</v>
      </c>
      <c r="AU343" s="256">
        <v>10160</v>
      </c>
      <c r="AV343" s="257">
        <f t="shared" si="138"/>
        <v>8128</v>
      </c>
      <c r="AW343" s="382">
        <v>18160</v>
      </c>
      <c r="AX343" s="257">
        <f t="shared" si="139"/>
        <v>14528</v>
      </c>
      <c r="AY343" s="268">
        <v>35490</v>
      </c>
      <c r="AZ343" s="257">
        <f t="shared" si="140"/>
        <v>28392</v>
      </c>
      <c r="BA343" s="268">
        <v>62280</v>
      </c>
      <c r="BB343" s="257">
        <f t="shared" si="141"/>
        <v>49824</v>
      </c>
      <c r="BC343" s="268">
        <v>65760</v>
      </c>
      <c r="BD343" s="257">
        <f t="shared" si="142"/>
        <v>52608</v>
      </c>
      <c r="BE343" s="268">
        <v>56600</v>
      </c>
      <c r="BF343" s="257">
        <f t="shared" si="143"/>
        <v>39620</v>
      </c>
      <c r="BG343" s="256">
        <v>95079</v>
      </c>
      <c r="BH343" s="257">
        <f t="shared" si="144"/>
        <v>66555.3</v>
      </c>
      <c r="BI343" s="268">
        <v>96320</v>
      </c>
      <c r="BJ343" s="257">
        <f t="shared" si="145"/>
        <v>67424</v>
      </c>
      <c r="BK343" s="268">
        <v>75644</v>
      </c>
      <c r="BL343" s="257">
        <f t="shared" si="146"/>
        <v>52950.799999999996</v>
      </c>
      <c r="BM343" s="1" t="s">
        <v>914</v>
      </c>
      <c r="BN343" s="1" t="s">
        <v>532</v>
      </c>
      <c r="BO343" s="1" t="s">
        <v>457</v>
      </c>
      <c r="BP343" s="378" t="s">
        <v>915</v>
      </c>
    </row>
    <row r="344" spans="1:68" ht="15.6">
      <c r="A344" s="250" t="s">
        <v>451</v>
      </c>
      <c r="B344" s="59" t="s">
        <v>221</v>
      </c>
      <c r="C344" s="354" t="s">
        <v>172</v>
      </c>
      <c r="D344" s="419"/>
      <c r="E344" s="281" t="s">
        <v>332</v>
      </c>
      <c r="F344" s="422"/>
      <c r="G344" s="317">
        <v>2023</v>
      </c>
      <c r="H344" s="323" t="s">
        <v>419</v>
      </c>
      <c r="I344" s="332" t="s">
        <v>183</v>
      </c>
      <c r="J344" s="331">
        <v>15</v>
      </c>
      <c r="K344" s="323" t="s">
        <v>247</v>
      </c>
      <c r="L344" s="323" t="s">
        <v>177</v>
      </c>
      <c r="M344" s="303" t="s">
        <v>624</v>
      </c>
      <c r="N344" s="303">
        <v>9</v>
      </c>
      <c r="O344" s="303">
        <v>9.5</v>
      </c>
      <c r="P344" s="303">
        <v>10.8</v>
      </c>
      <c r="Q344" s="303">
        <v>10.8</v>
      </c>
      <c r="R344" s="303">
        <v>10.8</v>
      </c>
      <c r="S344" s="303">
        <v>10.8</v>
      </c>
      <c r="T344" s="303">
        <v>10.8</v>
      </c>
      <c r="U344" s="303">
        <v>10.8</v>
      </c>
      <c r="V344" s="303">
        <v>10.8</v>
      </c>
      <c r="W344" s="303">
        <v>10.8</v>
      </c>
      <c r="X344" s="303">
        <v>9.5</v>
      </c>
      <c r="Y344" s="303">
        <v>9.5</v>
      </c>
      <c r="Z344" s="303">
        <v>9.5</v>
      </c>
      <c r="AA344" s="303">
        <v>9.5</v>
      </c>
      <c r="AB344" s="59">
        <v>2</v>
      </c>
      <c r="AC344" s="59">
        <v>2.35</v>
      </c>
      <c r="AD344" s="59">
        <v>2.35</v>
      </c>
      <c r="AE344" s="59">
        <v>2.35</v>
      </c>
      <c r="AF344" s="59">
        <v>2.35</v>
      </c>
      <c r="AG344" s="59">
        <v>2.35</v>
      </c>
      <c r="AH344" s="59">
        <v>2.35</v>
      </c>
      <c r="AI344" s="59">
        <v>2.35</v>
      </c>
      <c r="AJ344" s="59">
        <v>2.35</v>
      </c>
      <c r="AK344" s="59">
        <v>2</v>
      </c>
      <c r="AL344" s="59">
        <v>2</v>
      </c>
      <c r="AM344" s="59">
        <v>2</v>
      </c>
      <c r="AN344" s="59">
        <v>2</v>
      </c>
      <c r="AO344" s="260"/>
      <c r="AP344" s="254">
        <f t="shared" si="135"/>
        <v>0</v>
      </c>
      <c r="AQ344" s="260"/>
      <c r="AR344" s="254">
        <f t="shared" si="136"/>
        <v>0</v>
      </c>
      <c r="AS344" s="261"/>
      <c r="AT344" s="254">
        <f t="shared" si="137"/>
        <v>0</v>
      </c>
      <c r="AU344" s="256"/>
      <c r="AV344" s="257">
        <f t="shared" si="138"/>
        <v>0</v>
      </c>
      <c r="AW344" s="382"/>
      <c r="AX344" s="257">
        <f t="shared" si="139"/>
        <v>0</v>
      </c>
      <c r="AY344" s="268"/>
      <c r="AZ344" s="257">
        <f t="shared" si="140"/>
        <v>0</v>
      </c>
      <c r="BA344" s="268"/>
      <c r="BB344" s="257">
        <f t="shared" si="141"/>
        <v>0</v>
      </c>
      <c r="BC344" s="268"/>
      <c r="BD344" s="257">
        <f t="shared" si="142"/>
        <v>0</v>
      </c>
      <c r="BE344" s="268"/>
      <c r="BF344" s="257">
        <f t="shared" si="143"/>
        <v>0</v>
      </c>
      <c r="BG344" s="59"/>
      <c r="BH344" s="257">
        <f t="shared" si="144"/>
        <v>0</v>
      </c>
      <c r="BI344" s="268"/>
      <c r="BJ344" s="257">
        <f t="shared" si="145"/>
        <v>0</v>
      </c>
      <c r="BK344" s="268"/>
      <c r="BL344" s="257">
        <f t="shared" si="146"/>
        <v>0</v>
      </c>
      <c r="BM344" s="1" t="s">
        <v>916</v>
      </c>
      <c r="BN344" s="1" t="s">
        <v>532</v>
      </c>
      <c r="BO344" s="1" t="s">
        <v>457</v>
      </c>
      <c r="BP344" s="378" t="s">
        <v>917</v>
      </c>
    </row>
    <row r="345" spans="1:68" ht="15.6">
      <c r="A345" s="250" t="s">
        <v>451</v>
      </c>
      <c r="B345" s="59" t="s">
        <v>221</v>
      </c>
      <c r="C345" s="354" t="s">
        <v>172</v>
      </c>
      <c r="D345" s="419"/>
      <c r="E345" s="281" t="s">
        <v>332</v>
      </c>
      <c r="F345" s="422"/>
      <c r="G345" s="317">
        <v>2023</v>
      </c>
      <c r="H345" s="323" t="s">
        <v>419</v>
      </c>
      <c r="I345" s="332" t="s">
        <v>183</v>
      </c>
      <c r="J345" s="331">
        <v>15</v>
      </c>
      <c r="K345" s="323" t="s">
        <v>899</v>
      </c>
      <c r="L345" s="323" t="s">
        <v>177</v>
      </c>
      <c r="M345" s="303" t="s">
        <v>624</v>
      </c>
      <c r="N345" s="303">
        <v>9</v>
      </c>
      <c r="O345" s="303">
        <v>9.5</v>
      </c>
      <c r="P345" s="303">
        <v>10.8</v>
      </c>
      <c r="Q345" s="303">
        <v>10.8</v>
      </c>
      <c r="R345" s="303">
        <v>10.8</v>
      </c>
      <c r="S345" s="303">
        <v>10.8</v>
      </c>
      <c r="T345" s="303">
        <v>10.8</v>
      </c>
      <c r="U345" s="303">
        <v>10.8</v>
      </c>
      <c r="V345" s="303">
        <v>10.8</v>
      </c>
      <c r="W345" s="303">
        <v>10.8</v>
      </c>
      <c r="X345" s="303">
        <v>9.5</v>
      </c>
      <c r="Y345" s="303">
        <v>9.5</v>
      </c>
      <c r="Z345" s="303">
        <v>9.5</v>
      </c>
      <c r="AA345" s="303">
        <v>9.5</v>
      </c>
      <c r="AB345" s="59">
        <v>2</v>
      </c>
      <c r="AC345" s="59">
        <v>2.35</v>
      </c>
      <c r="AD345" s="59">
        <v>2.35</v>
      </c>
      <c r="AE345" s="59">
        <v>2.35</v>
      </c>
      <c r="AF345" s="59">
        <v>2.35</v>
      </c>
      <c r="AG345" s="59">
        <v>2.35</v>
      </c>
      <c r="AH345" s="59">
        <v>2.35</v>
      </c>
      <c r="AI345" s="59">
        <v>2.35</v>
      </c>
      <c r="AJ345" s="59">
        <v>2.35</v>
      </c>
      <c r="AK345" s="59">
        <v>2</v>
      </c>
      <c r="AL345" s="59">
        <v>2</v>
      </c>
      <c r="AM345" s="59">
        <v>2</v>
      </c>
      <c r="AN345" s="59">
        <v>2</v>
      </c>
      <c r="AO345" s="260"/>
      <c r="AP345" s="254">
        <f t="shared" si="135"/>
        <v>0</v>
      </c>
      <c r="AQ345" s="260"/>
      <c r="AR345" s="254">
        <f t="shared" si="136"/>
        <v>0</v>
      </c>
      <c r="AS345" s="261"/>
      <c r="AT345" s="254">
        <f t="shared" si="137"/>
        <v>0</v>
      </c>
      <c r="AU345" s="256"/>
      <c r="AV345" s="257">
        <f t="shared" si="138"/>
        <v>0</v>
      </c>
      <c r="AW345" s="382"/>
      <c r="AX345" s="257">
        <f t="shared" si="139"/>
        <v>0</v>
      </c>
      <c r="AY345" s="268"/>
      <c r="AZ345" s="257">
        <f t="shared" si="140"/>
        <v>0</v>
      </c>
      <c r="BA345" s="268"/>
      <c r="BB345" s="257">
        <f t="shared" si="141"/>
        <v>0</v>
      </c>
      <c r="BC345" s="268"/>
      <c r="BD345" s="257">
        <f t="shared" si="142"/>
        <v>0</v>
      </c>
      <c r="BE345" s="268"/>
      <c r="BF345" s="257">
        <f t="shared" si="143"/>
        <v>0</v>
      </c>
      <c r="BG345" s="59"/>
      <c r="BH345" s="257">
        <f t="shared" si="144"/>
        <v>0</v>
      </c>
      <c r="BI345" s="268"/>
      <c r="BJ345" s="257">
        <f t="shared" si="145"/>
        <v>0</v>
      </c>
      <c r="BK345" s="268"/>
      <c r="BL345" s="257">
        <f t="shared" si="146"/>
        <v>0</v>
      </c>
      <c r="BM345" s="1" t="s">
        <v>918</v>
      </c>
      <c r="BN345" s="1" t="s">
        <v>532</v>
      </c>
      <c r="BO345" s="1" t="s">
        <v>457</v>
      </c>
      <c r="BP345" s="378" t="s">
        <v>919</v>
      </c>
    </row>
    <row r="346" spans="1:68" ht="15.6">
      <c r="A346" s="250" t="s">
        <v>451</v>
      </c>
      <c r="B346" s="59" t="s">
        <v>221</v>
      </c>
      <c r="C346" s="354" t="s">
        <v>172</v>
      </c>
      <c r="D346" s="419"/>
      <c r="E346" s="281" t="s">
        <v>332</v>
      </c>
      <c r="F346" s="422"/>
      <c r="G346" s="317">
        <v>2023</v>
      </c>
      <c r="H346" s="323" t="s">
        <v>419</v>
      </c>
      <c r="I346" s="332" t="s">
        <v>183</v>
      </c>
      <c r="J346" s="331">
        <v>15</v>
      </c>
      <c r="K346" s="323" t="s">
        <v>422</v>
      </c>
      <c r="L346" s="323" t="s">
        <v>177</v>
      </c>
      <c r="M346" s="303" t="s">
        <v>624</v>
      </c>
      <c r="N346" s="303">
        <v>9.9</v>
      </c>
      <c r="O346" s="303">
        <v>9.5</v>
      </c>
      <c r="P346" s="303">
        <v>11.6</v>
      </c>
      <c r="Q346" s="303">
        <v>11.6</v>
      </c>
      <c r="R346" s="303">
        <v>11.6</v>
      </c>
      <c r="S346" s="303">
        <v>11.6</v>
      </c>
      <c r="T346" s="303">
        <v>11.6</v>
      </c>
      <c r="U346" s="303">
        <v>11.6</v>
      </c>
      <c r="V346" s="303">
        <v>11.6</v>
      </c>
      <c r="W346" s="303">
        <v>11.6</v>
      </c>
      <c r="X346" s="303">
        <v>9.5</v>
      </c>
      <c r="Y346" s="303">
        <v>9.5</v>
      </c>
      <c r="Z346" s="303">
        <v>9.5</v>
      </c>
      <c r="AA346" s="303">
        <v>9.5</v>
      </c>
      <c r="AB346" s="59">
        <v>1.7</v>
      </c>
      <c r="AC346" s="59">
        <v>1.7</v>
      </c>
      <c r="AD346" s="59">
        <v>1.7</v>
      </c>
      <c r="AE346" s="59">
        <v>1.7</v>
      </c>
      <c r="AF346" s="59">
        <v>1.7</v>
      </c>
      <c r="AG346" s="59">
        <v>1.7</v>
      </c>
      <c r="AH346" s="59">
        <v>1.7</v>
      </c>
      <c r="AI346" s="59">
        <v>1.7</v>
      </c>
      <c r="AJ346" s="59">
        <v>1.7</v>
      </c>
      <c r="AK346" s="59">
        <v>1.7</v>
      </c>
      <c r="AL346" s="59">
        <v>1.7</v>
      </c>
      <c r="AM346" s="59">
        <v>1.7</v>
      </c>
      <c r="AN346" s="59">
        <v>1.7</v>
      </c>
      <c r="AO346" s="260"/>
      <c r="AP346" s="254">
        <f t="shared" si="135"/>
        <v>0</v>
      </c>
      <c r="AQ346" s="260"/>
      <c r="AR346" s="254">
        <f t="shared" si="136"/>
        <v>0</v>
      </c>
      <c r="AS346" s="261"/>
      <c r="AT346" s="254">
        <f t="shared" si="137"/>
        <v>0</v>
      </c>
      <c r="AU346" s="256"/>
      <c r="AV346" s="257">
        <f t="shared" si="138"/>
        <v>0</v>
      </c>
      <c r="AW346" s="382"/>
      <c r="AX346" s="257">
        <f t="shared" si="139"/>
        <v>0</v>
      </c>
      <c r="AY346" s="268"/>
      <c r="AZ346" s="257">
        <f t="shared" si="140"/>
        <v>0</v>
      </c>
      <c r="BA346" s="268"/>
      <c r="BB346" s="257">
        <f t="shared" si="141"/>
        <v>0</v>
      </c>
      <c r="BC346" s="268"/>
      <c r="BD346" s="257">
        <f t="shared" si="142"/>
        <v>0</v>
      </c>
      <c r="BE346" s="268"/>
      <c r="BF346" s="257">
        <f t="shared" si="143"/>
        <v>0</v>
      </c>
      <c r="BG346" s="59"/>
      <c r="BH346" s="257">
        <f t="shared" si="144"/>
        <v>0</v>
      </c>
      <c r="BI346" s="268"/>
      <c r="BJ346" s="257">
        <f t="shared" si="145"/>
        <v>0</v>
      </c>
      <c r="BK346" s="268"/>
      <c r="BL346" s="257">
        <f t="shared" si="146"/>
        <v>0</v>
      </c>
      <c r="BM346" s="1" t="s">
        <v>920</v>
      </c>
      <c r="BN346" s="1" t="s">
        <v>532</v>
      </c>
      <c r="BO346" s="1" t="s">
        <v>457</v>
      </c>
      <c r="BP346" s="378" t="s">
        <v>921</v>
      </c>
    </row>
    <row r="347" spans="1:68" ht="15.6">
      <c r="A347" s="250" t="s">
        <v>451</v>
      </c>
      <c r="B347" s="59" t="s">
        <v>221</v>
      </c>
      <c r="C347" s="354" t="s">
        <v>172</v>
      </c>
      <c r="D347" s="419"/>
      <c r="E347" s="281" t="s">
        <v>332</v>
      </c>
      <c r="F347" s="422"/>
      <c r="G347" s="317">
        <v>2023</v>
      </c>
      <c r="H347" s="323" t="s">
        <v>419</v>
      </c>
      <c r="I347" s="332" t="s">
        <v>183</v>
      </c>
      <c r="J347" s="331">
        <v>15</v>
      </c>
      <c r="K347" s="323" t="s">
        <v>423</v>
      </c>
      <c r="L347" s="323" t="s">
        <v>177</v>
      </c>
      <c r="M347" s="303" t="s">
        <v>624</v>
      </c>
      <c r="N347" s="303">
        <v>9.9</v>
      </c>
      <c r="O347" s="303">
        <v>9.5</v>
      </c>
      <c r="P347" s="303">
        <v>11.6</v>
      </c>
      <c r="Q347" s="303">
        <v>11.6</v>
      </c>
      <c r="R347" s="303">
        <v>11.6</v>
      </c>
      <c r="S347" s="303">
        <v>11.6</v>
      </c>
      <c r="T347" s="303">
        <v>11.6</v>
      </c>
      <c r="U347" s="303">
        <v>11.6</v>
      </c>
      <c r="V347" s="303">
        <v>11.6</v>
      </c>
      <c r="W347" s="303">
        <v>11.6</v>
      </c>
      <c r="X347" s="303">
        <v>9.5</v>
      </c>
      <c r="Y347" s="303">
        <v>9.5</v>
      </c>
      <c r="Z347" s="303">
        <v>9.5</v>
      </c>
      <c r="AA347" s="303">
        <v>9.5</v>
      </c>
      <c r="AB347" s="59">
        <v>1.7</v>
      </c>
      <c r="AC347" s="59">
        <v>1.7</v>
      </c>
      <c r="AD347" s="59">
        <v>1.7</v>
      </c>
      <c r="AE347" s="59">
        <v>1.7</v>
      </c>
      <c r="AF347" s="59">
        <v>1.7</v>
      </c>
      <c r="AG347" s="59">
        <v>1.7</v>
      </c>
      <c r="AH347" s="59">
        <v>1.7</v>
      </c>
      <c r="AI347" s="59">
        <v>1.7</v>
      </c>
      <c r="AJ347" s="59">
        <v>1.7</v>
      </c>
      <c r="AK347" s="59">
        <v>1.7</v>
      </c>
      <c r="AL347" s="59">
        <v>1.7</v>
      </c>
      <c r="AM347" s="59">
        <v>1.7</v>
      </c>
      <c r="AN347" s="59">
        <v>1.7</v>
      </c>
      <c r="AO347" s="260"/>
      <c r="AP347" s="254">
        <f t="shared" si="135"/>
        <v>0</v>
      </c>
      <c r="AQ347" s="260"/>
      <c r="AR347" s="254">
        <f t="shared" si="136"/>
        <v>0</v>
      </c>
      <c r="AS347" s="261"/>
      <c r="AT347" s="254">
        <f t="shared" si="137"/>
        <v>0</v>
      </c>
      <c r="AU347" s="256"/>
      <c r="AV347" s="257">
        <f t="shared" si="138"/>
        <v>0</v>
      </c>
      <c r="AW347" s="382"/>
      <c r="AX347" s="257">
        <f t="shared" si="139"/>
        <v>0</v>
      </c>
      <c r="AY347" s="268"/>
      <c r="AZ347" s="257">
        <f t="shared" si="140"/>
        <v>0</v>
      </c>
      <c r="BA347" s="268"/>
      <c r="BB347" s="257">
        <f t="shared" si="141"/>
        <v>0</v>
      </c>
      <c r="BC347" s="268"/>
      <c r="BD347" s="257">
        <f t="shared" si="142"/>
        <v>0</v>
      </c>
      <c r="BE347" s="268"/>
      <c r="BF347" s="257">
        <f t="shared" si="143"/>
        <v>0</v>
      </c>
      <c r="BG347" s="59"/>
      <c r="BH347" s="257">
        <f t="shared" si="144"/>
        <v>0</v>
      </c>
      <c r="BI347" s="268"/>
      <c r="BJ347" s="257">
        <f t="shared" si="145"/>
        <v>0</v>
      </c>
      <c r="BK347" s="268"/>
      <c r="BL347" s="257">
        <f t="shared" si="146"/>
        <v>0</v>
      </c>
      <c r="BM347" s="1" t="s">
        <v>922</v>
      </c>
      <c r="BN347" s="1" t="s">
        <v>532</v>
      </c>
      <c r="BO347" s="1" t="s">
        <v>457</v>
      </c>
      <c r="BP347" s="378" t="s">
        <v>923</v>
      </c>
    </row>
    <row r="348" spans="1:68" ht="15.6">
      <c r="A348" s="250" t="s">
        <v>451</v>
      </c>
      <c r="B348" s="59" t="s">
        <v>221</v>
      </c>
      <c r="C348" s="354" t="s">
        <v>172</v>
      </c>
      <c r="D348" s="419"/>
      <c r="E348" s="281" t="s">
        <v>332</v>
      </c>
      <c r="F348" s="422"/>
      <c r="G348" s="317">
        <v>2023</v>
      </c>
      <c r="H348" s="323" t="s">
        <v>419</v>
      </c>
      <c r="I348" s="327" t="s">
        <v>190</v>
      </c>
      <c r="J348" s="331">
        <v>15</v>
      </c>
      <c r="K348" s="328" t="s">
        <v>924</v>
      </c>
      <c r="L348" s="323" t="s">
        <v>177</v>
      </c>
      <c r="M348" s="303" t="s">
        <v>624</v>
      </c>
      <c r="N348" s="303">
        <v>2.8</v>
      </c>
      <c r="O348" s="303">
        <v>3.5</v>
      </c>
      <c r="P348" s="303">
        <v>3.65</v>
      </c>
      <c r="Q348" s="303">
        <v>3.65</v>
      </c>
      <c r="R348" s="303">
        <v>3.65</v>
      </c>
      <c r="S348" s="303">
        <v>3.65</v>
      </c>
      <c r="T348" s="303">
        <v>3.65</v>
      </c>
      <c r="U348" s="303">
        <v>3.65</v>
      </c>
      <c r="V348" s="303">
        <v>3.65</v>
      </c>
      <c r="W348" s="303">
        <v>3.65</v>
      </c>
      <c r="X348" s="303">
        <v>3.5</v>
      </c>
      <c r="Y348" s="303">
        <v>3.5</v>
      </c>
      <c r="Z348" s="303">
        <v>3.5</v>
      </c>
      <c r="AA348" s="303">
        <v>3.5</v>
      </c>
      <c r="AB348" s="59">
        <v>0.7</v>
      </c>
      <c r="AC348" s="59">
        <v>0.8</v>
      </c>
      <c r="AD348" s="59">
        <v>0.8</v>
      </c>
      <c r="AE348" s="59">
        <v>0.8</v>
      </c>
      <c r="AF348" s="59">
        <v>0.8</v>
      </c>
      <c r="AG348" s="59">
        <v>0.8</v>
      </c>
      <c r="AH348" s="59">
        <v>0.8</v>
      </c>
      <c r="AI348" s="59">
        <v>0.8</v>
      </c>
      <c r="AJ348" s="59">
        <v>0.8</v>
      </c>
      <c r="AK348" s="59">
        <v>0.7</v>
      </c>
      <c r="AL348" s="59">
        <v>0.7</v>
      </c>
      <c r="AM348" s="59">
        <v>0.7</v>
      </c>
      <c r="AN348" s="59">
        <v>0.7</v>
      </c>
      <c r="AO348" s="260"/>
      <c r="AP348" s="254">
        <f t="shared" si="135"/>
        <v>0</v>
      </c>
      <c r="AQ348" s="260"/>
      <c r="AR348" s="254">
        <f t="shared" si="136"/>
        <v>0</v>
      </c>
      <c r="AS348" s="261"/>
      <c r="AT348" s="254">
        <f t="shared" si="137"/>
        <v>0</v>
      </c>
      <c r="AU348" s="256"/>
      <c r="AV348" s="257">
        <f t="shared" si="138"/>
        <v>0</v>
      </c>
      <c r="AW348" s="382"/>
      <c r="AX348" s="257">
        <f t="shared" si="139"/>
        <v>0</v>
      </c>
      <c r="AY348" s="268"/>
      <c r="AZ348" s="257">
        <f t="shared" si="140"/>
        <v>0</v>
      </c>
      <c r="BA348" s="268"/>
      <c r="BB348" s="257">
        <f t="shared" si="141"/>
        <v>0</v>
      </c>
      <c r="BC348" s="268"/>
      <c r="BD348" s="257">
        <f t="shared" si="142"/>
        <v>0</v>
      </c>
      <c r="BE348" s="268"/>
      <c r="BF348" s="257">
        <f t="shared" si="143"/>
        <v>0</v>
      </c>
      <c r="BG348" s="59"/>
      <c r="BH348" s="257">
        <f t="shared" si="144"/>
        <v>0</v>
      </c>
      <c r="BI348" s="268"/>
      <c r="BJ348" s="257">
        <f t="shared" si="145"/>
        <v>0</v>
      </c>
      <c r="BK348" s="268"/>
      <c r="BL348" s="257">
        <f t="shared" si="146"/>
        <v>0</v>
      </c>
      <c r="BM348" s="1" t="s">
        <v>925</v>
      </c>
      <c r="BN348" s="1" t="s">
        <v>532</v>
      </c>
      <c r="BO348" s="1" t="s">
        <v>457</v>
      </c>
      <c r="BP348" s="378" t="s">
        <v>926</v>
      </c>
    </row>
    <row r="349" spans="1:68" ht="15.6">
      <c r="A349" s="250" t="s">
        <v>451</v>
      </c>
      <c r="B349" s="59" t="s">
        <v>221</v>
      </c>
      <c r="C349" s="354" t="s">
        <v>172</v>
      </c>
      <c r="D349" s="419"/>
      <c r="E349" s="281" t="s">
        <v>332</v>
      </c>
      <c r="F349" s="422"/>
      <c r="G349" s="317">
        <v>2023</v>
      </c>
      <c r="H349" s="323" t="s">
        <v>419</v>
      </c>
      <c r="I349" s="332" t="s">
        <v>183</v>
      </c>
      <c r="J349" s="331">
        <v>15</v>
      </c>
      <c r="K349" s="328" t="s">
        <v>854</v>
      </c>
      <c r="L349" s="323" t="s">
        <v>177</v>
      </c>
      <c r="M349" s="303" t="s">
        <v>624</v>
      </c>
      <c r="N349" s="303">
        <v>9</v>
      </c>
      <c r="O349" s="303">
        <v>9.5</v>
      </c>
      <c r="P349" s="303">
        <v>10.8</v>
      </c>
      <c r="Q349" s="303">
        <v>10.8</v>
      </c>
      <c r="R349" s="303">
        <v>10.8</v>
      </c>
      <c r="S349" s="303">
        <v>10.8</v>
      </c>
      <c r="T349" s="303">
        <v>10.8</v>
      </c>
      <c r="U349" s="303">
        <v>10.8</v>
      </c>
      <c r="V349" s="303">
        <v>10.8</v>
      </c>
      <c r="W349" s="303">
        <v>10.8</v>
      </c>
      <c r="X349" s="303">
        <v>9.5</v>
      </c>
      <c r="Y349" s="303">
        <v>9.5</v>
      </c>
      <c r="Z349" s="303">
        <v>9.5</v>
      </c>
      <c r="AA349" s="303">
        <v>9.5</v>
      </c>
      <c r="AB349" s="59">
        <v>2</v>
      </c>
      <c r="AC349" s="59">
        <v>2.3500000000000014</v>
      </c>
      <c r="AD349" s="59">
        <v>2.3500000000000014</v>
      </c>
      <c r="AE349" s="59">
        <v>2.3500000000000014</v>
      </c>
      <c r="AF349" s="59">
        <v>2.3500000000000014</v>
      </c>
      <c r="AG349" s="59">
        <v>2.3500000000000014</v>
      </c>
      <c r="AH349" s="59">
        <v>2.3500000000000014</v>
      </c>
      <c r="AI349" s="59">
        <v>2.3500000000000014</v>
      </c>
      <c r="AJ349" s="59">
        <v>2.3500000000000014</v>
      </c>
      <c r="AK349" s="59">
        <v>2</v>
      </c>
      <c r="AL349" s="59">
        <v>2</v>
      </c>
      <c r="AM349" s="59">
        <v>2</v>
      </c>
      <c r="AN349" s="59">
        <v>2</v>
      </c>
      <c r="AO349" s="260"/>
      <c r="AP349" s="254">
        <f t="shared" si="135"/>
        <v>0</v>
      </c>
      <c r="AQ349" s="260"/>
      <c r="AR349" s="254">
        <f t="shared" si="136"/>
        <v>0</v>
      </c>
      <c r="AS349" s="261"/>
      <c r="AT349" s="254">
        <f t="shared" si="137"/>
        <v>0</v>
      </c>
      <c r="AU349" s="256"/>
      <c r="AV349" s="257">
        <f t="shared" si="138"/>
        <v>0</v>
      </c>
      <c r="AW349" s="382"/>
      <c r="AX349" s="257">
        <f t="shared" si="139"/>
        <v>0</v>
      </c>
      <c r="AY349" s="268"/>
      <c r="AZ349" s="257">
        <f t="shared" si="140"/>
        <v>0</v>
      </c>
      <c r="BA349" s="268"/>
      <c r="BB349" s="257">
        <f t="shared" si="141"/>
        <v>0</v>
      </c>
      <c r="BC349" s="268"/>
      <c r="BD349" s="257">
        <f t="shared" si="142"/>
        <v>0</v>
      </c>
      <c r="BE349" s="268"/>
      <c r="BF349" s="257">
        <f t="shared" si="143"/>
        <v>0</v>
      </c>
      <c r="BG349" s="59"/>
      <c r="BH349" s="257">
        <f t="shared" si="144"/>
        <v>0</v>
      </c>
      <c r="BI349" s="268"/>
      <c r="BJ349" s="257">
        <f t="shared" si="145"/>
        <v>0</v>
      </c>
      <c r="BK349" s="268"/>
      <c r="BL349" s="257">
        <f t="shared" si="146"/>
        <v>0</v>
      </c>
      <c r="BM349" s="1" t="s">
        <v>927</v>
      </c>
      <c r="BN349" s="1" t="s">
        <v>532</v>
      </c>
      <c r="BO349" s="1" t="s">
        <v>457</v>
      </c>
      <c r="BP349" s="378" t="s">
        <v>928</v>
      </c>
    </row>
    <row r="350" spans="1:68" ht="15.6">
      <c r="A350" s="250" t="s">
        <v>451</v>
      </c>
      <c r="B350" s="59" t="s">
        <v>221</v>
      </c>
      <c r="C350" s="354" t="s">
        <v>172</v>
      </c>
      <c r="D350" s="419"/>
      <c r="E350" s="281" t="s">
        <v>332</v>
      </c>
      <c r="F350" s="422"/>
      <c r="G350" s="317">
        <v>2023</v>
      </c>
      <c r="H350" s="323" t="s">
        <v>419</v>
      </c>
      <c r="I350" s="332" t="s">
        <v>183</v>
      </c>
      <c r="J350" s="331">
        <v>15</v>
      </c>
      <c r="K350" s="328" t="s">
        <v>857</v>
      </c>
      <c r="L350" s="323" t="s">
        <v>177</v>
      </c>
      <c r="M350" s="303" t="s">
        <v>624</v>
      </c>
      <c r="N350" s="303">
        <v>9</v>
      </c>
      <c r="O350" s="303">
        <v>9.5</v>
      </c>
      <c r="P350" s="303">
        <v>10.8</v>
      </c>
      <c r="Q350" s="303">
        <v>10.8</v>
      </c>
      <c r="R350" s="303">
        <v>10.8</v>
      </c>
      <c r="S350" s="303">
        <v>10.8</v>
      </c>
      <c r="T350" s="303">
        <v>10.8</v>
      </c>
      <c r="U350" s="303">
        <v>10.8</v>
      </c>
      <c r="V350" s="303">
        <v>10.8</v>
      </c>
      <c r="W350" s="303">
        <v>10.8</v>
      </c>
      <c r="X350" s="303">
        <v>9.5</v>
      </c>
      <c r="Y350" s="303">
        <v>9.5</v>
      </c>
      <c r="Z350" s="303">
        <v>9.5</v>
      </c>
      <c r="AA350" s="303">
        <v>9.5</v>
      </c>
      <c r="AB350" s="59">
        <v>1.7</v>
      </c>
      <c r="AC350" s="59">
        <v>2.3500000000000014</v>
      </c>
      <c r="AD350" s="59">
        <v>2.3500000000000014</v>
      </c>
      <c r="AE350" s="59">
        <v>2.3500000000000014</v>
      </c>
      <c r="AF350" s="59">
        <v>2.3500000000000014</v>
      </c>
      <c r="AG350" s="59">
        <v>2.3500000000000014</v>
      </c>
      <c r="AH350" s="59">
        <v>2.3500000000000014</v>
      </c>
      <c r="AI350" s="59">
        <v>2.3500000000000014</v>
      </c>
      <c r="AJ350" s="59">
        <v>2.3500000000000014</v>
      </c>
      <c r="AK350" s="59">
        <v>1.7000000000000002</v>
      </c>
      <c r="AL350" s="59">
        <v>1.7000000000000002</v>
      </c>
      <c r="AM350" s="59">
        <v>1.7000000000000002</v>
      </c>
      <c r="AN350" s="59">
        <v>1.7000000000000002</v>
      </c>
      <c r="AO350" s="260"/>
      <c r="AP350" s="254">
        <f t="shared" si="135"/>
        <v>0</v>
      </c>
      <c r="AQ350" s="260"/>
      <c r="AR350" s="254">
        <f t="shared" si="136"/>
        <v>0</v>
      </c>
      <c r="AS350" s="261"/>
      <c r="AT350" s="254">
        <f t="shared" si="137"/>
        <v>0</v>
      </c>
      <c r="AU350" s="256"/>
      <c r="AV350" s="257">
        <f t="shared" si="138"/>
        <v>0</v>
      </c>
      <c r="AW350" s="382"/>
      <c r="AX350" s="257">
        <f t="shared" si="139"/>
        <v>0</v>
      </c>
      <c r="AY350" s="268"/>
      <c r="AZ350" s="257">
        <f t="shared" si="140"/>
        <v>0</v>
      </c>
      <c r="BA350" s="268"/>
      <c r="BB350" s="257">
        <f t="shared" si="141"/>
        <v>0</v>
      </c>
      <c r="BC350" s="268"/>
      <c r="BD350" s="257">
        <f t="shared" si="142"/>
        <v>0</v>
      </c>
      <c r="BE350" s="268"/>
      <c r="BF350" s="257">
        <f t="shared" si="143"/>
        <v>0</v>
      </c>
      <c r="BG350" s="59"/>
      <c r="BH350" s="257">
        <f t="shared" si="144"/>
        <v>0</v>
      </c>
      <c r="BI350" s="268"/>
      <c r="BJ350" s="257">
        <f t="shared" si="145"/>
        <v>0</v>
      </c>
      <c r="BK350" s="268"/>
      <c r="BL350" s="257">
        <f t="shared" si="146"/>
        <v>0</v>
      </c>
      <c r="BM350" s="1" t="s">
        <v>929</v>
      </c>
      <c r="BN350" s="1" t="s">
        <v>532</v>
      </c>
      <c r="BO350" s="1" t="s">
        <v>457</v>
      </c>
      <c r="BP350" s="378" t="s">
        <v>930</v>
      </c>
    </row>
    <row r="351" spans="1:68" ht="15.6">
      <c r="A351" s="250" t="s">
        <v>451</v>
      </c>
      <c r="B351" s="59" t="s">
        <v>221</v>
      </c>
      <c r="C351" s="354" t="s">
        <v>172</v>
      </c>
      <c r="D351" s="419"/>
      <c r="E351" s="281" t="s">
        <v>332</v>
      </c>
      <c r="F351" s="422"/>
      <c r="G351" s="317">
        <v>2023</v>
      </c>
      <c r="H351" s="323" t="s">
        <v>419</v>
      </c>
      <c r="I351" s="332" t="s">
        <v>183</v>
      </c>
      <c r="J351" s="331">
        <v>15</v>
      </c>
      <c r="K351" s="323" t="s">
        <v>637</v>
      </c>
      <c r="L351" s="323" t="s">
        <v>177</v>
      </c>
      <c r="M351" s="303" t="s">
        <v>624</v>
      </c>
      <c r="N351" s="303">
        <v>9</v>
      </c>
      <c r="O351" s="303">
        <v>9.5</v>
      </c>
      <c r="P351" s="303">
        <v>10.8</v>
      </c>
      <c r="Q351" s="303">
        <v>10.8</v>
      </c>
      <c r="R351" s="303">
        <v>10.8</v>
      </c>
      <c r="S351" s="303">
        <v>10.8</v>
      </c>
      <c r="T351" s="303">
        <v>10.8</v>
      </c>
      <c r="U351" s="303">
        <v>10.8</v>
      </c>
      <c r="V351" s="303">
        <v>10.8</v>
      </c>
      <c r="W351" s="303">
        <v>10.8</v>
      </c>
      <c r="X351" s="303">
        <v>9.5</v>
      </c>
      <c r="Y351" s="303">
        <v>9.5</v>
      </c>
      <c r="Z351" s="303">
        <v>9.5</v>
      </c>
      <c r="AA351" s="303">
        <v>9.5</v>
      </c>
      <c r="AB351" s="59">
        <v>2</v>
      </c>
      <c r="AC351" s="59">
        <v>2.3500000000000014</v>
      </c>
      <c r="AD351" s="59">
        <v>2.3500000000000014</v>
      </c>
      <c r="AE351" s="59">
        <v>2.3500000000000014</v>
      </c>
      <c r="AF351" s="59">
        <v>2.3500000000000014</v>
      </c>
      <c r="AG351" s="59">
        <v>2.3500000000000014</v>
      </c>
      <c r="AH351" s="59">
        <v>2.3500000000000014</v>
      </c>
      <c r="AI351" s="59">
        <v>2.3500000000000014</v>
      </c>
      <c r="AJ351" s="59">
        <v>2.3500000000000014</v>
      </c>
      <c r="AK351" s="59">
        <v>2</v>
      </c>
      <c r="AL351" s="59">
        <v>2</v>
      </c>
      <c r="AM351" s="59">
        <v>2</v>
      </c>
      <c r="AN351" s="59">
        <v>2</v>
      </c>
      <c r="AO351" s="260"/>
      <c r="AP351" s="254">
        <f t="shared" si="135"/>
        <v>0</v>
      </c>
      <c r="AQ351" s="260"/>
      <c r="AR351" s="254">
        <f t="shared" si="136"/>
        <v>0</v>
      </c>
      <c r="AS351" s="261"/>
      <c r="AT351" s="254">
        <f t="shared" si="137"/>
        <v>0</v>
      </c>
      <c r="AU351" s="256"/>
      <c r="AV351" s="257">
        <f t="shared" si="138"/>
        <v>0</v>
      </c>
      <c r="AW351" s="382"/>
      <c r="AX351" s="257">
        <f t="shared" si="139"/>
        <v>0</v>
      </c>
      <c r="AY351" s="268"/>
      <c r="AZ351" s="257">
        <f t="shared" si="140"/>
        <v>0</v>
      </c>
      <c r="BA351" s="268"/>
      <c r="BB351" s="257">
        <f t="shared" si="141"/>
        <v>0</v>
      </c>
      <c r="BC351" s="268"/>
      <c r="BD351" s="257">
        <f t="shared" si="142"/>
        <v>0</v>
      </c>
      <c r="BE351" s="268"/>
      <c r="BF351" s="257">
        <f t="shared" si="143"/>
        <v>0</v>
      </c>
      <c r="BG351" s="59"/>
      <c r="BH351" s="257">
        <f t="shared" si="144"/>
        <v>0</v>
      </c>
      <c r="BI351" s="268"/>
      <c r="BJ351" s="257">
        <f t="shared" si="145"/>
        <v>0</v>
      </c>
      <c r="BK351" s="268"/>
      <c r="BL351" s="257">
        <f t="shared" si="146"/>
        <v>0</v>
      </c>
      <c r="BM351" s="1" t="s">
        <v>931</v>
      </c>
      <c r="BN351" s="1" t="s">
        <v>532</v>
      </c>
      <c r="BO351" s="1" t="s">
        <v>457</v>
      </c>
      <c r="BP351" s="378" t="s">
        <v>932</v>
      </c>
    </row>
    <row r="352" spans="1:68" ht="15.6">
      <c r="A352" s="250" t="s">
        <v>451</v>
      </c>
      <c r="B352" s="59" t="s">
        <v>221</v>
      </c>
      <c r="C352" s="354" t="s">
        <v>172</v>
      </c>
      <c r="D352" s="419"/>
      <c r="E352" s="281" t="s">
        <v>332</v>
      </c>
      <c r="F352" s="422"/>
      <c r="G352" s="317">
        <v>2023</v>
      </c>
      <c r="H352" s="323" t="s">
        <v>419</v>
      </c>
      <c r="I352" s="332" t="s">
        <v>357</v>
      </c>
      <c r="J352" s="331">
        <v>15</v>
      </c>
      <c r="K352" s="323" t="s">
        <v>637</v>
      </c>
      <c r="L352" s="323" t="s">
        <v>464</v>
      </c>
      <c r="M352" s="303" t="s">
        <v>933</v>
      </c>
      <c r="N352" s="303">
        <v>2.8</v>
      </c>
      <c r="O352" s="303">
        <v>3.5</v>
      </c>
      <c r="P352" s="303">
        <v>3.65</v>
      </c>
      <c r="Q352" s="303">
        <v>3.65</v>
      </c>
      <c r="R352" s="303">
        <v>3.65</v>
      </c>
      <c r="S352" s="303">
        <v>3.65</v>
      </c>
      <c r="T352" s="303">
        <v>3.65</v>
      </c>
      <c r="U352" s="303">
        <v>3.65</v>
      </c>
      <c r="V352" s="303">
        <v>3.65</v>
      </c>
      <c r="W352" s="303">
        <v>3.65</v>
      </c>
      <c r="X352" s="303">
        <v>3.5</v>
      </c>
      <c r="Y352" s="303">
        <v>3.5</v>
      </c>
      <c r="Z352" s="303">
        <v>3.5</v>
      </c>
      <c r="AA352" s="303">
        <v>3.5</v>
      </c>
      <c r="AB352" s="59">
        <v>0.7</v>
      </c>
      <c r="AC352" s="59">
        <v>0.8</v>
      </c>
      <c r="AD352" s="59">
        <v>0.8</v>
      </c>
      <c r="AE352" s="59">
        <v>0.8</v>
      </c>
      <c r="AF352" s="59">
        <v>0.8</v>
      </c>
      <c r="AG352" s="59">
        <v>0.8</v>
      </c>
      <c r="AH352" s="59">
        <v>0.8</v>
      </c>
      <c r="AI352" s="59">
        <v>0.8</v>
      </c>
      <c r="AJ352" s="59">
        <v>0.8</v>
      </c>
      <c r="AK352" s="59">
        <v>0.7</v>
      </c>
      <c r="AL352" s="59">
        <v>0.7</v>
      </c>
      <c r="AM352" s="59">
        <v>0.7</v>
      </c>
      <c r="AN352" s="59">
        <v>0.7</v>
      </c>
      <c r="AO352" s="260">
        <v>13160</v>
      </c>
      <c r="AP352" s="254">
        <f t="shared" si="135"/>
        <v>10528</v>
      </c>
      <c r="AQ352" s="260">
        <v>25034</v>
      </c>
      <c r="AR352" s="254">
        <f t="shared" si="136"/>
        <v>20027.2</v>
      </c>
      <c r="AS352" s="260">
        <v>16960</v>
      </c>
      <c r="AT352" s="254">
        <f t="shared" si="137"/>
        <v>13568</v>
      </c>
      <c r="AU352" s="260">
        <v>24934</v>
      </c>
      <c r="AV352" s="257">
        <f t="shared" si="138"/>
        <v>19947.2</v>
      </c>
      <c r="AW352" s="383">
        <v>4320</v>
      </c>
      <c r="AX352" s="257">
        <f t="shared" si="139"/>
        <v>3456</v>
      </c>
      <c r="AY352" s="392">
        <v>4600</v>
      </c>
      <c r="AZ352" s="257">
        <f t="shared" si="140"/>
        <v>3680</v>
      </c>
      <c r="BA352" s="260">
        <v>23280</v>
      </c>
      <c r="BB352" s="257">
        <f t="shared" si="141"/>
        <v>18624</v>
      </c>
      <c r="BC352" s="260">
        <v>9320</v>
      </c>
      <c r="BD352" s="257">
        <f t="shared" si="142"/>
        <v>7456</v>
      </c>
      <c r="BE352" s="268">
        <v>4960</v>
      </c>
      <c r="BF352" s="257">
        <f t="shared" si="143"/>
        <v>3472</v>
      </c>
      <c r="BG352" s="268">
        <v>160</v>
      </c>
      <c r="BH352" s="257">
        <f t="shared" si="144"/>
        <v>112</v>
      </c>
      <c r="BI352" s="268"/>
      <c r="BJ352" s="257">
        <f t="shared" si="145"/>
        <v>0</v>
      </c>
      <c r="BK352" s="268"/>
      <c r="BL352" s="257">
        <f t="shared" si="146"/>
        <v>0</v>
      </c>
      <c r="BM352" s="1" t="s">
        <v>887</v>
      </c>
      <c r="BO352" s="1" t="s">
        <v>457</v>
      </c>
      <c r="BP352" s="378" t="s">
        <v>888</v>
      </c>
    </row>
    <row r="353" spans="1:68" ht="15.6">
      <c r="A353" s="250" t="s">
        <v>451</v>
      </c>
      <c r="B353" s="59" t="s">
        <v>221</v>
      </c>
      <c r="C353" s="354" t="s">
        <v>172</v>
      </c>
      <c r="D353" s="419"/>
      <c r="E353" s="281" t="s">
        <v>332</v>
      </c>
      <c r="F353" s="422"/>
      <c r="G353" s="317">
        <v>2023</v>
      </c>
      <c r="H353" s="323" t="s">
        <v>421</v>
      </c>
      <c r="I353" s="330" t="s">
        <v>359</v>
      </c>
      <c r="J353" s="331">
        <v>15</v>
      </c>
      <c r="K353" s="323" t="s">
        <v>210</v>
      </c>
      <c r="L353" s="323" t="s">
        <v>464</v>
      </c>
      <c r="M353" s="303" t="s">
        <v>933</v>
      </c>
      <c r="N353" s="303">
        <v>8.6</v>
      </c>
      <c r="O353" s="303">
        <v>9.5</v>
      </c>
      <c r="P353" s="303">
        <v>10.8</v>
      </c>
      <c r="Q353" s="303">
        <v>10.8</v>
      </c>
      <c r="R353" s="303">
        <v>10.8</v>
      </c>
      <c r="S353" s="303">
        <v>10.8</v>
      </c>
      <c r="T353" s="303">
        <v>10.8</v>
      </c>
      <c r="U353" s="303">
        <v>10.8</v>
      </c>
      <c r="V353" s="303">
        <v>10.8</v>
      </c>
      <c r="W353" s="303">
        <v>10.8</v>
      </c>
      <c r="X353" s="303">
        <v>9.5</v>
      </c>
      <c r="Y353" s="303">
        <v>9.5</v>
      </c>
      <c r="Z353" s="303">
        <v>9.5</v>
      </c>
      <c r="AA353" s="303">
        <v>9.5</v>
      </c>
      <c r="AB353" s="59">
        <v>2</v>
      </c>
      <c r="AC353" s="59">
        <v>2.35</v>
      </c>
      <c r="AD353" s="59">
        <v>2.35</v>
      </c>
      <c r="AE353" s="59">
        <v>2.35</v>
      </c>
      <c r="AF353" s="59">
        <v>2.35</v>
      </c>
      <c r="AG353" s="59">
        <v>2.35</v>
      </c>
      <c r="AH353" s="59">
        <v>2.35</v>
      </c>
      <c r="AI353" s="59">
        <v>2.35</v>
      </c>
      <c r="AJ353" s="59">
        <v>2.35</v>
      </c>
      <c r="AK353" s="59">
        <v>2</v>
      </c>
      <c r="AL353" s="59">
        <v>2</v>
      </c>
      <c r="AM353" s="59">
        <v>2</v>
      </c>
      <c r="AN353" s="59">
        <v>2</v>
      </c>
      <c r="AO353" s="260">
        <v>1440</v>
      </c>
      <c r="AP353" s="254">
        <f t="shared" si="135"/>
        <v>3384</v>
      </c>
      <c r="AQ353" s="260">
        <v>5520</v>
      </c>
      <c r="AR353" s="254">
        <f t="shared" si="136"/>
        <v>12972</v>
      </c>
      <c r="AS353" s="270">
        <v>2917</v>
      </c>
      <c r="AT353" s="254">
        <f t="shared" si="137"/>
        <v>6854.95</v>
      </c>
      <c r="AU353" s="270">
        <v>1600</v>
      </c>
      <c r="AV353" s="257">
        <f t="shared" si="138"/>
        <v>3760</v>
      </c>
      <c r="AW353" s="382">
        <v>320</v>
      </c>
      <c r="AX353" s="257">
        <f t="shared" si="139"/>
        <v>752</v>
      </c>
      <c r="AY353" s="268"/>
      <c r="AZ353" s="257">
        <f t="shared" si="140"/>
        <v>0</v>
      </c>
      <c r="BA353" s="270">
        <v>2040</v>
      </c>
      <c r="BB353" s="257">
        <f t="shared" si="141"/>
        <v>4794</v>
      </c>
      <c r="BC353" s="270">
        <v>640</v>
      </c>
      <c r="BD353" s="257">
        <f t="shared" si="142"/>
        <v>1504</v>
      </c>
      <c r="BE353" s="268">
        <v>80</v>
      </c>
      <c r="BF353" s="257">
        <f t="shared" si="143"/>
        <v>160</v>
      </c>
      <c r="BG353" s="268"/>
      <c r="BH353" s="257">
        <f t="shared" si="144"/>
        <v>0</v>
      </c>
      <c r="BI353" s="268"/>
      <c r="BJ353" s="257">
        <f t="shared" si="145"/>
        <v>0</v>
      </c>
      <c r="BK353" s="268"/>
      <c r="BL353" s="257">
        <f t="shared" si="146"/>
        <v>0</v>
      </c>
      <c r="BM353" s="1" t="s">
        <v>889</v>
      </c>
      <c r="BO353" s="1" t="s">
        <v>457</v>
      </c>
      <c r="BP353" s="378" t="s">
        <v>890</v>
      </c>
    </row>
    <row r="354" spans="1:68" ht="15.6">
      <c r="A354" s="250" t="s">
        <v>451</v>
      </c>
      <c r="B354" s="59" t="s">
        <v>221</v>
      </c>
      <c r="C354" s="354" t="s">
        <v>172</v>
      </c>
      <c r="D354" s="419"/>
      <c r="E354" s="281" t="s">
        <v>332</v>
      </c>
      <c r="F354" s="422"/>
      <c r="G354" s="317">
        <v>2023</v>
      </c>
      <c r="H354" s="323" t="s">
        <v>421</v>
      </c>
      <c r="I354" s="332" t="s">
        <v>357</v>
      </c>
      <c r="J354" s="331">
        <v>15</v>
      </c>
      <c r="K354" s="323" t="s">
        <v>210</v>
      </c>
      <c r="L354" s="323" t="s">
        <v>464</v>
      </c>
      <c r="M354" s="303" t="s">
        <v>933</v>
      </c>
      <c r="N354" s="303">
        <v>4.4000000000000004</v>
      </c>
      <c r="O354" s="303">
        <v>5.4</v>
      </c>
      <c r="P354" s="303">
        <v>5.7</v>
      </c>
      <c r="Q354" s="303">
        <v>5.7</v>
      </c>
      <c r="R354" s="303">
        <v>5.7</v>
      </c>
      <c r="S354" s="303">
        <v>5.7</v>
      </c>
      <c r="T354" s="303">
        <v>5.7</v>
      </c>
      <c r="U354" s="303">
        <v>5.7</v>
      </c>
      <c r="V354" s="303">
        <v>5.7</v>
      </c>
      <c r="W354" s="303">
        <v>5.7</v>
      </c>
      <c r="X354" s="303">
        <v>5.4</v>
      </c>
      <c r="Y354" s="303">
        <v>5.4</v>
      </c>
      <c r="Z354" s="303">
        <v>5.4</v>
      </c>
      <c r="AA354" s="303">
        <v>5.4</v>
      </c>
      <c r="AB354" s="59">
        <v>1</v>
      </c>
      <c r="AC354" s="59">
        <v>1.05</v>
      </c>
      <c r="AD354" s="59">
        <v>1.05</v>
      </c>
      <c r="AE354" s="59">
        <v>1.05</v>
      </c>
      <c r="AF354" s="59">
        <v>1.05</v>
      </c>
      <c r="AG354" s="59">
        <v>1.05</v>
      </c>
      <c r="AH354" s="59">
        <v>1.05</v>
      </c>
      <c r="AI354" s="59">
        <v>1.05</v>
      </c>
      <c r="AJ354" s="59">
        <v>1.05</v>
      </c>
      <c r="AK354" s="59">
        <v>1</v>
      </c>
      <c r="AL354" s="59">
        <v>1</v>
      </c>
      <c r="AM354" s="59">
        <v>1</v>
      </c>
      <c r="AN354" s="59">
        <v>1</v>
      </c>
      <c r="AO354" s="260">
        <v>2720</v>
      </c>
      <c r="AP354" s="254">
        <f t="shared" si="135"/>
        <v>2856</v>
      </c>
      <c r="AQ354" s="260">
        <v>11916</v>
      </c>
      <c r="AR354" s="254">
        <f t="shared" si="136"/>
        <v>12511.800000000001</v>
      </c>
      <c r="AS354" s="260">
        <v>5640</v>
      </c>
      <c r="AT354" s="254">
        <f t="shared" si="137"/>
        <v>5922</v>
      </c>
      <c r="AU354" s="260">
        <v>15679</v>
      </c>
      <c r="AV354" s="257">
        <f t="shared" si="138"/>
        <v>16462.95</v>
      </c>
      <c r="AW354" s="382">
        <v>7320</v>
      </c>
      <c r="AX354" s="257">
        <f t="shared" si="139"/>
        <v>7686</v>
      </c>
      <c r="AY354" s="268">
        <v>960</v>
      </c>
      <c r="AZ354" s="257">
        <f t="shared" si="140"/>
        <v>1008</v>
      </c>
      <c r="BA354" s="270">
        <v>3320</v>
      </c>
      <c r="BB354" s="257">
        <f t="shared" si="141"/>
        <v>3486</v>
      </c>
      <c r="BC354" s="270">
        <v>3760</v>
      </c>
      <c r="BD354" s="257">
        <f t="shared" si="142"/>
        <v>3948</v>
      </c>
      <c r="BE354" s="268"/>
      <c r="BF354" s="257">
        <f t="shared" si="143"/>
        <v>0</v>
      </c>
      <c r="BG354" s="268">
        <v>80</v>
      </c>
      <c r="BH354" s="257">
        <f t="shared" si="144"/>
        <v>80</v>
      </c>
      <c r="BI354" s="268"/>
      <c r="BJ354" s="257">
        <f t="shared" si="145"/>
        <v>0</v>
      </c>
      <c r="BK354" s="268"/>
      <c r="BL354" s="257">
        <f t="shared" si="146"/>
        <v>0</v>
      </c>
      <c r="BM354" s="1" t="s">
        <v>891</v>
      </c>
      <c r="BO354" s="1" t="s">
        <v>457</v>
      </c>
      <c r="BP354" s="378" t="s">
        <v>892</v>
      </c>
    </row>
    <row r="355" spans="1:68" ht="15.6">
      <c r="A355" s="250" t="s">
        <v>451</v>
      </c>
      <c r="B355" s="59" t="s">
        <v>221</v>
      </c>
      <c r="C355" s="354" t="s">
        <v>172</v>
      </c>
      <c r="D355" s="419"/>
      <c r="E355" s="281" t="s">
        <v>332</v>
      </c>
      <c r="F355" s="422"/>
      <c r="G355" s="317">
        <v>2023</v>
      </c>
      <c r="H355" s="323" t="s">
        <v>421</v>
      </c>
      <c r="I355" s="330" t="s">
        <v>359</v>
      </c>
      <c r="J355" s="331">
        <v>15</v>
      </c>
      <c r="K355" s="328" t="s">
        <v>243</v>
      </c>
      <c r="L355" s="323" t="s">
        <v>464</v>
      </c>
      <c r="M355" s="303" t="s">
        <v>933</v>
      </c>
      <c r="N355" s="303">
        <v>8.6</v>
      </c>
      <c r="O355" s="303">
        <v>8.8000000000000007</v>
      </c>
      <c r="P355" s="303">
        <v>10.8</v>
      </c>
      <c r="Q355" s="303">
        <v>10.8</v>
      </c>
      <c r="R355" s="303">
        <v>10.8</v>
      </c>
      <c r="S355" s="303">
        <v>10.8</v>
      </c>
      <c r="T355" s="303">
        <v>10.8</v>
      </c>
      <c r="U355" s="303">
        <v>10.8</v>
      </c>
      <c r="V355" s="303">
        <v>10.8</v>
      </c>
      <c r="W355" s="303">
        <v>10.8</v>
      </c>
      <c r="X355" s="303">
        <v>9.5</v>
      </c>
      <c r="Y355" s="303">
        <v>8.8000000000000007</v>
      </c>
      <c r="Z355" s="303">
        <v>8.8000000000000007</v>
      </c>
      <c r="AA355" s="303">
        <v>8.8000000000000007</v>
      </c>
      <c r="AB355" s="59">
        <v>1.6</v>
      </c>
      <c r="AC355" s="59">
        <v>2.35</v>
      </c>
      <c r="AD355" s="59">
        <v>2.35</v>
      </c>
      <c r="AE355" s="59">
        <v>2.35</v>
      </c>
      <c r="AF355" s="59">
        <v>2.35</v>
      </c>
      <c r="AG355" s="59">
        <v>2.35</v>
      </c>
      <c r="AH355" s="59">
        <v>2.35</v>
      </c>
      <c r="AI355" s="59">
        <v>2.35</v>
      </c>
      <c r="AJ355" s="59">
        <v>2.35</v>
      </c>
      <c r="AK355" s="59">
        <v>2</v>
      </c>
      <c r="AL355" s="59">
        <v>1.6</v>
      </c>
      <c r="AM355" s="59">
        <v>1.6</v>
      </c>
      <c r="AN355" s="59">
        <v>1.6</v>
      </c>
      <c r="AO355" s="260">
        <v>8680</v>
      </c>
      <c r="AP355" s="254">
        <f t="shared" si="135"/>
        <v>20398</v>
      </c>
      <c r="AQ355" s="260">
        <v>10080</v>
      </c>
      <c r="AR355" s="254">
        <f t="shared" si="136"/>
        <v>23688</v>
      </c>
      <c r="AS355" s="260">
        <v>10510</v>
      </c>
      <c r="AT355" s="254">
        <f t="shared" si="137"/>
        <v>24698.5</v>
      </c>
      <c r="AU355" s="260">
        <v>6079</v>
      </c>
      <c r="AV355" s="257">
        <f t="shared" si="138"/>
        <v>14285.65</v>
      </c>
      <c r="AW355" s="383">
        <v>3440</v>
      </c>
      <c r="AX355" s="257">
        <f t="shared" si="139"/>
        <v>8084</v>
      </c>
      <c r="AY355" s="392">
        <v>3000</v>
      </c>
      <c r="AZ355" s="257">
        <f t="shared" si="140"/>
        <v>7050</v>
      </c>
      <c r="BA355" s="260">
        <v>3080</v>
      </c>
      <c r="BB355" s="257">
        <f t="shared" si="141"/>
        <v>7238</v>
      </c>
      <c r="BC355" s="260">
        <v>800</v>
      </c>
      <c r="BD355" s="257">
        <f t="shared" si="142"/>
        <v>1880</v>
      </c>
      <c r="BE355" s="268">
        <v>960</v>
      </c>
      <c r="BF355" s="257">
        <f t="shared" si="143"/>
        <v>1920</v>
      </c>
      <c r="BG355" s="268"/>
      <c r="BH355" s="257">
        <f t="shared" si="144"/>
        <v>0</v>
      </c>
      <c r="BI355" s="268"/>
      <c r="BJ355" s="257">
        <f t="shared" si="145"/>
        <v>0</v>
      </c>
      <c r="BK355" s="268"/>
      <c r="BL355" s="257">
        <f t="shared" si="146"/>
        <v>0</v>
      </c>
      <c r="BM355" s="1" t="s">
        <v>893</v>
      </c>
      <c r="BO355" s="1" t="s">
        <v>457</v>
      </c>
      <c r="BP355" s="378" t="s">
        <v>894</v>
      </c>
    </row>
    <row r="356" spans="1:68" ht="15.6">
      <c r="A356" s="250" t="s">
        <v>451</v>
      </c>
      <c r="B356" s="59" t="s">
        <v>221</v>
      </c>
      <c r="C356" s="354" t="s">
        <v>172</v>
      </c>
      <c r="D356" s="419"/>
      <c r="E356" s="281" t="s">
        <v>332</v>
      </c>
      <c r="F356" s="422"/>
      <c r="G356" s="317">
        <v>2023</v>
      </c>
      <c r="H356" s="323" t="s">
        <v>421</v>
      </c>
      <c r="I356" s="332" t="s">
        <v>357</v>
      </c>
      <c r="J356" s="331">
        <v>15</v>
      </c>
      <c r="K356" s="328" t="s">
        <v>243</v>
      </c>
      <c r="L356" s="323" t="s">
        <v>464</v>
      </c>
      <c r="M356" s="303" t="s">
        <v>933</v>
      </c>
      <c r="N356" s="303">
        <v>2.8</v>
      </c>
      <c r="O356" s="303">
        <v>3.5</v>
      </c>
      <c r="P356" s="303">
        <v>3.65</v>
      </c>
      <c r="Q356" s="303">
        <v>3.65</v>
      </c>
      <c r="R356" s="303">
        <v>3.65</v>
      </c>
      <c r="S356" s="303">
        <v>3.65</v>
      </c>
      <c r="T356" s="303">
        <v>3.65</v>
      </c>
      <c r="U356" s="303">
        <v>3.65</v>
      </c>
      <c r="V356" s="303">
        <v>3.65</v>
      </c>
      <c r="W356" s="303">
        <v>3.65</v>
      </c>
      <c r="X356" s="303">
        <v>3.5</v>
      </c>
      <c r="Y356" s="303">
        <v>3.5</v>
      </c>
      <c r="Z356" s="303">
        <v>3.5</v>
      </c>
      <c r="AA356" s="303">
        <v>3.5</v>
      </c>
      <c r="AB356" s="59">
        <v>0.7</v>
      </c>
      <c r="AC356" s="59">
        <v>0.8</v>
      </c>
      <c r="AD356" s="59">
        <v>0.8</v>
      </c>
      <c r="AE356" s="59">
        <v>0.8</v>
      </c>
      <c r="AF356" s="59">
        <v>0.8</v>
      </c>
      <c r="AG356" s="59">
        <v>0.8</v>
      </c>
      <c r="AH356" s="59">
        <v>0.8</v>
      </c>
      <c r="AI356" s="59">
        <v>0.8</v>
      </c>
      <c r="AJ356" s="59">
        <v>0.8</v>
      </c>
      <c r="AK356" s="59">
        <v>0.7</v>
      </c>
      <c r="AL356" s="59">
        <v>0.7</v>
      </c>
      <c r="AM356" s="59">
        <v>0.7</v>
      </c>
      <c r="AN356" s="59">
        <v>0.7</v>
      </c>
      <c r="AO356" s="260">
        <v>36238</v>
      </c>
      <c r="AP356" s="254">
        <f t="shared" si="135"/>
        <v>28990.400000000001</v>
      </c>
      <c r="AQ356" s="260">
        <v>23800</v>
      </c>
      <c r="AR356" s="254">
        <f t="shared" si="136"/>
        <v>19040</v>
      </c>
      <c r="AS356" s="260">
        <v>53797</v>
      </c>
      <c r="AT356" s="254">
        <f t="shared" si="137"/>
        <v>43037.600000000006</v>
      </c>
      <c r="AU356" s="260">
        <v>22680</v>
      </c>
      <c r="AV356" s="257">
        <f t="shared" si="138"/>
        <v>18144</v>
      </c>
      <c r="AW356" s="383">
        <v>12480</v>
      </c>
      <c r="AX356" s="257">
        <f t="shared" si="139"/>
        <v>9984</v>
      </c>
      <c r="AY356" s="392">
        <v>1120</v>
      </c>
      <c r="AZ356" s="257">
        <f t="shared" si="140"/>
        <v>896</v>
      </c>
      <c r="BA356" s="260">
        <v>7960</v>
      </c>
      <c r="BB356" s="257">
        <f t="shared" si="141"/>
        <v>6368</v>
      </c>
      <c r="BC356" s="260">
        <v>4320</v>
      </c>
      <c r="BD356" s="257">
        <f t="shared" si="142"/>
        <v>3456</v>
      </c>
      <c r="BE356" s="268">
        <v>200</v>
      </c>
      <c r="BF356" s="257">
        <f t="shared" si="143"/>
        <v>140</v>
      </c>
      <c r="BG356" s="268">
        <v>320</v>
      </c>
      <c r="BH356" s="257">
        <f t="shared" si="144"/>
        <v>224</v>
      </c>
      <c r="BI356" s="268"/>
      <c r="BJ356" s="257">
        <f t="shared" si="145"/>
        <v>0</v>
      </c>
      <c r="BK356" s="268"/>
      <c r="BL356" s="257">
        <f t="shared" si="146"/>
        <v>0</v>
      </c>
      <c r="BM356" s="1" t="s">
        <v>895</v>
      </c>
      <c r="BO356" s="1" t="s">
        <v>457</v>
      </c>
      <c r="BP356" s="378" t="s">
        <v>896</v>
      </c>
    </row>
    <row r="357" spans="1:68" ht="15.6">
      <c r="A357" s="250" t="s">
        <v>451</v>
      </c>
      <c r="B357" s="59" t="s">
        <v>221</v>
      </c>
      <c r="C357" s="354" t="s">
        <v>172</v>
      </c>
      <c r="D357" s="419"/>
      <c r="E357" s="281" t="s">
        <v>332</v>
      </c>
      <c r="F357" s="422"/>
      <c r="G357" s="317">
        <v>2023</v>
      </c>
      <c r="H357" s="323" t="s">
        <v>421</v>
      </c>
      <c r="I357" s="330" t="s">
        <v>359</v>
      </c>
      <c r="J357" s="331">
        <v>15</v>
      </c>
      <c r="K357" s="323" t="s">
        <v>247</v>
      </c>
      <c r="L357" s="323" t="s">
        <v>464</v>
      </c>
      <c r="M357" s="303" t="s">
        <v>933</v>
      </c>
      <c r="N357" s="303">
        <v>9</v>
      </c>
      <c r="O357" s="303">
        <v>9.5</v>
      </c>
      <c r="P357" s="303">
        <v>10.8</v>
      </c>
      <c r="Q357" s="303">
        <v>10.8</v>
      </c>
      <c r="R357" s="303">
        <v>10.8</v>
      </c>
      <c r="S357" s="303">
        <v>10.8</v>
      </c>
      <c r="T357" s="303">
        <v>10.8</v>
      </c>
      <c r="U357" s="303">
        <v>10.8</v>
      </c>
      <c r="V357" s="303">
        <v>10.8</v>
      </c>
      <c r="W357" s="303">
        <v>10.8</v>
      </c>
      <c r="X357" s="303">
        <v>9.5</v>
      </c>
      <c r="Y357" s="303">
        <v>9.5</v>
      </c>
      <c r="Z357" s="303">
        <v>9.5</v>
      </c>
      <c r="AA357" s="303">
        <v>9.5</v>
      </c>
      <c r="AB357" s="59">
        <v>2</v>
      </c>
      <c r="AC357" s="59">
        <v>2.35</v>
      </c>
      <c r="AD357" s="59">
        <v>2.35</v>
      </c>
      <c r="AE357" s="59">
        <v>2.35</v>
      </c>
      <c r="AF357" s="59">
        <v>2.35</v>
      </c>
      <c r="AG357" s="59">
        <v>2.35</v>
      </c>
      <c r="AH357" s="59">
        <v>2.35</v>
      </c>
      <c r="AI357" s="59">
        <v>2.35</v>
      </c>
      <c r="AJ357" s="59">
        <v>2.35</v>
      </c>
      <c r="AK357" s="59">
        <v>2</v>
      </c>
      <c r="AL357" s="59">
        <v>2</v>
      </c>
      <c r="AM357" s="59">
        <v>2</v>
      </c>
      <c r="AN357" s="59">
        <v>2</v>
      </c>
      <c r="AO357" s="260"/>
      <c r="AP357" s="254">
        <f t="shared" si="135"/>
        <v>0</v>
      </c>
      <c r="AQ357" s="260"/>
      <c r="AR357" s="254">
        <f t="shared" si="136"/>
        <v>0</v>
      </c>
      <c r="AS357" s="260"/>
      <c r="AT357" s="254">
        <f t="shared" si="137"/>
        <v>0</v>
      </c>
      <c r="AU357" s="260"/>
      <c r="AV357" s="257">
        <f t="shared" si="138"/>
        <v>0</v>
      </c>
      <c r="AW357" s="383"/>
      <c r="AX357" s="257">
        <f t="shared" si="139"/>
        <v>0</v>
      </c>
      <c r="AY357" s="392"/>
      <c r="AZ357" s="257">
        <f t="shared" si="140"/>
        <v>0</v>
      </c>
      <c r="BA357" s="260"/>
      <c r="BB357" s="257">
        <f t="shared" si="141"/>
        <v>0</v>
      </c>
      <c r="BC357" s="260"/>
      <c r="BD357" s="257">
        <f t="shared" si="142"/>
        <v>0</v>
      </c>
      <c r="BE357" s="268"/>
      <c r="BF357" s="257">
        <f t="shared" si="143"/>
        <v>0</v>
      </c>
      <c r="BG357" s="256"/>
      <c r="BH357" s="257">
        <f t="shared" si="144"/>
        <v>0</v>
      </c>
      <c r="BI357" s="268"/>
      <c r="BJ357" s="257">
        <f t="shared" si="145"/>
        <v>0</v>
      </c>
      <c r="BK357" s="268"/>
      <c r="BL357" s="257">
        <f t="shared" si="146"/>
        <v>0</v>
      </c>
      <c r="BM357" s="1" t="s">
        <v>897</v>
      </c>
      <c r="BO357" s="1" t="s">
        <v>457</v>
      </c>
      <c r="BP357" s="378" t="s">
        <v>898</v>
      </c>
    </row>
    <row r="358" spans="1:68" ht="15.6">
      <c r="A358" s="250" t="s">
        <v>451</v>
      </c>
      <c r="B358" s="59" t="s">
        <v>221</v>
      </c>
      <c r="C358" s="354" t="s">
        <v>172</v>
      </c>
      <c r="D358" s="419"/>
      <c r="E358" s="281" t="s">
        <v>332</v>
      </c>
      <c r="F358" s="422"/>
      <c r="G358" s="317">
        <v>2023</v>
      </c>
      <c r="H358" s="323" t="s">
        <v>421</v>
      </c>
      <c r="I358" s="330" t="s">
        <v>359</v>
      </c>
      <c r="J358" s="331">
        <v>15</v>
      </c>
      <c r="K358" s="323" t="s">
        <v>899</v>
      </c>
      <c r="L358" s="323" t="s">
        <v>464</v>
      </c>
      <c r="M358" s="303" t="s">
        <v>933</v>
      </c>
      <c r="N358" s="303">
        <v>9</v>
      </c>
      <c r="O358" s="303">
        <v>9.5</v>
      </c>
      <c r="P358" s="303">
        <v>10.8</v>
      </c>
      <c r="Q358" s="303">
        <v>10.8</v>
      </c>
      <c r="R358" s="303">
        <v>10.8</v>
      </c>
      <c r="S358" s="303">
        <v>10.8</v>
      </c>
      <c r="T358" s="303">
        <v>10.8</v>
      </c>
      <c r="U358" s="303">
        <v>10.8</v>
      </c>
      <c r="V358" s="303">
        <v>10.8</v>
      </c>
      <c r="W358" s="303">
        <v>10.8</v>
      </c>
      <c r="X358" s="303">
        <v>9.5</v>
      </c>
      <c r="Y358" s="303">
        <v>9.5</v>
      </c>
      <c r="Z358" s="303">
        <v>9.5</v>
      </c>
      <c r="AA358" s="303">
        <v>9.5</v>
      </c>
      <c r="AB358" s="59">
        <v>2</v>
      </c>
      <c r="AC358" s="59">
        <v>2.35</v>
      </c>
      <c r="AD358" s="59">
        <v>2.35</v>
      </c>
      <c r="AE358" s="59">
        <v>2.35</v>
      </c>
      <c r="AF358" s="59">
        <v>2.35</v>
      </c>
      <c r="AG358" s="59">
        <v>2.35</v>
      </c>
      <c r="AH358" s="59">
        <v>2.35</v>
      </c>
      <c r="AI358" s="59">
        <v>2.35</v>
      </c>
      <c r="AJ358" s="59">
        <v>2.35</v>
      </c>
      <c r="AK358" s="59">
        <v>2</v>
      </c>
      <c r="AL358" s="59">
        <v>2</v>
      </c>
      <c r="AM358" s="59">
        <v>2</v>
      </c>
      <c r="AN358" s="59">
        <v>2</v>
      </c>
      <c r="AO358" s="260"/>
      <c r="AP358" s="254">
        <f t="shared" si="135"/>
        <v>0</v>
      </c>
      <c r="AQ358" s="260"/>
      <c r="AR358" s="254">
        <f t="shared" si="136"/>
        <v>0</v>
      </c>
      <c r="AS358" s="260"/>
      <c r="AT358" s="254">
        <f t="shared" si="137"/>
        <v>0</v>
      </c>
      <c r="AU358" s="260"/>
      <c r="AV358" s="257">
        <f t="shared" si="138"/>
        <v>0</v>
      </c>
      <c r="AW358" s="383"/>
      <c r="AX358" s="257">
        <f t="shared" si="139"/>
        <v>0</v>
      </c>
      <c r="AY358" s="392"/>
      <c r="AZ358" s="257">
        <f t="shared" si="140"/>
        <v>0</v>
      </c>
      <c r="BA358" s="260"/>
      <c r="BB358" s="257">
        <f t="shared" si="141"/>
        <v>0</v>
      </c>
      <c r="BC358" s="260"/>
      <c r="BD358" s="257">
        <f t="shared" si="142"/>
        <v>0</v>
      </c>
      <c r="BE358" s="268"/>
      <c r="BF358" s="257">
        <f t="shared" si="143"/>
        <v>0</v>
      </c>
      <c r="BG358" s="256"/>
      <c r="BH358" s="257">
        <f t="shared" si="144"/>
        <v>0</v>
      </c>
      <c r="BI358" s="268"/>
      <c r="BJ358" s="257">
        <f t="shared" si="145"/>
        <v>0</v>
      </c>
      <c r="BK358" s="268"/>
      <c r="BL358" s="257">
        <f t="shared" si="146"/>
        <v>0</v>
      </c>
      <c r="BM358" s="1" t="s">
        <v>900</v>
      </c>
      <c r="BO358" s="1" t="s">
        <v>457</v>
      </c>
      <c r="BP358" s="378" t="s">
        <v>901</v>
      </c>
    </row>
    <row r="359" spans="1:68" ht="15.6">
      <c r="A359" s="250" t="s">
        <v>451</v>
      </c>
      <c r="B359" s="59" t="s">
        <v>221</v>
      </c>
      <c r="C359" s="354" t="s">
        <v>172</v>
      </c>
      <c r="D359" s="419"/>
      <c r="E359" s="281" t="s">
        <v>332</v>
      </c>
      <c r="F359" s="422"/>
      <c r="G359" s="317">
        <v>2023</v>
      </c>
      <c r="H359" s="323" t="s">
        <v>419</v>
      </c>
      <c r="I359" s="332" t="s">
        <v>183</v>
      </c>
      <c r="J359" s="331">
        <v>15</v>
      </c>
      <c r="K359" s="323" t="s">
        <v>422</v>
      </c>
      <c r="L359" s="323" t="s">
        <v>464</v>
      </c>
      <c r="M359" s="303" t="s">
        <v>933</v>
      </c>
      <c r="N359" s="303">
        <v>9.9</v>
      </c>
      <c r="O359" s="303">
        <v>9.5</v>
      </c>
      <c r="P359" s="303">
        <v>11.6</v>
      </c>
      <c r="Q359" s="303">
        <v>11.6</v>
      </c>
      <c r="R359" s="303">
        <v>11.6</v>
      </c>
      <c r="S359" s="303">
        <v>11.6</v>
      </c>
      <c r="T359" s="303">
        <v>11.6</v>
      </c>
      <c r="U359" s="303">
        <v>11.6</v>
      </c>
      <c r="V359" s="303">
        <v>11.6</v>
      </c>
      <c r="W359" s="303">
        <v>11.6</v>
      </c>
      <c r="X359" s="303">
        <v>9.5</v>
      </c>
      <c r="Y359" s="303">
        <v>9.5</v>
      </c>
      <c r="Z359" s="303">
        <v>9.5</v>
      </c>
      <c r="AA359" s="303">
        <v>9.5</v>
      </c>
      <c r="AB359" s="59">
        <v>1.7</v>
      </c>
      <c r="AC359" s="59">
        <v>1.7</v>
      </c>
      <c r="AD359" s="59">
        <v>1.7</v>
      </c>
      <c r="AE359" s="59">
        <v>1.7</v>
      </c>
      <c r="AF359" s="59">
        <v>1.7</v>
      </c>
      <c r="AG359" s="59">
        <v>1.7</v>
      </c>
      <c r="AH359" s="59">
        <v>1.7</v>
      </c>
      <c r="AI359" s="59">
        <v>1.7</v>
      </c>
      <c r="AJ359" s="59">
        <v>1.7</v>
      </c>
      <c r="AK359" s="59">
        <v>1.7</v>
      </c>
      <c r="AL359" s="59">
        <v>1.7</v>
      </c>
      <c r="AM359" s="59">
        <v>1.7</v>
      </c>
      <c r="AN359" s="59">
        <v>1.7</v>
      </c>
      <c r="AO359" s="260"/>
      <c r="AP359" s="254">
        <f t="shared" si="135"/>
        <v>0</v>
      </c>
      <c r="AQ359" s="260"/>
      <c r="AR359" s="254">
        <f t="shared" si="136"/>
        <v>0</v>
      </c>
      <c r="AS359" s="260">
        <v>400</v>
      </c>
      <c r="AT359" s="254">
        <f t="shared" si="137"/>
        <v>680</v>
      </c>
      <c r="AU359" s="260">
        <v>400</v>
      </c>
      <c r="AV359" s="257">
        <f t="shared" ref="AV359:AV373" si="159">AF359*AU359</f>
        <v>680</v>
      </c>
      <c r="AW359" s="383">
        <v>80</v>
      </c>
      <c r="AX359" s="257">
        <f t="shared" ref="AX359:AX373" si="160">AG359*AW359</f>
        <v>136</v>
      </c>
      <c r="AY359" s="392">
        <v>520</v>
      </c>
      <c r="AZ359" s="257">
        <f t="shared" ref="AZ359:AZ373" si="161">AH359*AY359</f>
        <v>884</v>
      </c>
      <c r="BA359" s="260"/>
      <c r="BB359" s="257">
        <f t="shared" si="141"/>
        <v>0</v>
      </c>
      <c r="BC359" s="260"/>
      <c r="BD359" s="257">
        <f t="shared" si="142"/>
        <v>0</v>
      </c>
      <c r="BE359" s="268"/>
      <c r="BF359" s="257">
        <f t="shared" si="143"/>
        <v>0</v>
      </c>
      <c r="BG359" s="256"/>
      <c r="BH359" s="257">
        <f t="shared" si="144"/>
        <v>0</v>
      </c>
      <c r="BI359" s="268"/>
      <c r="BJ359" s="257">
        <f t="shared" si="145"/>
        <v>0</v>
      </c>
      <c r="BK359" s="268"/>
      <c r="BL359" s="257">
        <f t="shared" si="146"/>
        <v>0</v>
      </c>
      <c r="BM359" s="1" t="s">
        <v>902</v>
      </c>
      <c r="BO359" s="1" t="s">
        <v>457</v>
      </c>
      <c r="BP359" s="378" t="s">
        <v>903</v>
      </c>
    </row>
    <row r="360" spans="1:68" ht="15.6">
      <c r="A360" s="250" t="s">
        <v>451</v>
      </c>
      <c r="B360" s="59" t="s">
        <v>221</v>
      </c>
      <c r="C360" s="354" t="s">
        <v>172</v>
      </c>
      <c r="D360" s="419"/>
      <c r="E360" s="281" t="s">
        <v>332</v>
      </c>
      <c r="F360" s="422"/>
      <c r="G360" s="317">
        <v>2023</v>
      </c>
      <c r="H360" s="323" t="s">
        <v>419</v>
      </c>
      <c r="I360" s="332" t="s">
        <v>183</v>
      </c>
      <c r="J360" s="331">
        <v>15</v>
      </c>
      <c r="K360" s="323" t="s">
        <v>423</v>
      </c>
      <c r="L360" s="323" t="s">
        <v>464</v>
      </c>
      <c r="M360" s="303" t="s">
        <v>933</v>
      </c>
      <c r="N360" s="303">
        <v>9.9</v>
      </c>
      <c r="O360" s="303">
        <v>9.5</v>
      </c>
      <c r="P360" s="303">
        <v>11.6</v>
      </c>
      <c r="Q360" s="303">
        <v>11.6</v>
      </c>
      <c r="R360" s="303">
        <v>11.6</v>
      </c>
      <c r="S360" s="303">
        <v>11.6</v>
      </c>
      <c r="T360" s="303">
        <v>11.6</v>
      </c>
      <c r="U360" s="303">
        <v>11.6</v>
      </c>
      <c r="V360" s="303">
        <v>11.6</v>
      </c>
      <c r="W360" s="303">
        <v>11.6</v>
      </c>
      <c r="X360" s="303">
        <v>9.5</v>
      </c>
      <c r="Y360" s="303">
        <v>9.5</v>
      </c>
      <c r="Z360" s="303">
        <v>9.5</v>
      </c>
      <c r="AA360" s="303">
        <v>9.5</v>
      </c>
      <c r="AB360" s="59">
        <v>1.7</v>
      </c>
      <c r="AC360" s="59">
        <v>1.7</v>
      </c>
      <c r="AD360" s="59">
        <v>1.7</v>
      </c>
      <c r="AE360" s="59">
        <v>1.7</v>
      </c>
      <c r="AF360" s="59">
        <v>1.7</v>
      </c>
      <c r="AG360" s="59">
        <v>1.7</v>
      </c>
      <c r="AH360" s="59">
        <v>1.7</v>
      </c>
      <c r="AI360" s="59">
        <v>1.7</v>
      </c>
      <c r="AJ360" s="59">
        <v>1.7</v>
      </c>
      <c r="AK360" s="59">
        <v>1.7</v>
      </c>
      <c r="AL360" s="59">
        <v>1.7</v>
      </c>
      <c r="AM360" s="59">
        <v>1.7</v>
      </c>
      <c r="AN360" s="59">
        <v>1.7</v>
      </c>
      <c r="AO360" s="260"/>
      <c r="AP360" s="254">
        <f t="shared" ref="AP360:AP373" si="162">AC360*AO360</f>
        <v>0</v>
      </c>
      <c r="AQ360" s="260"/>
      <c r="AR360" s="254">
        <f t="shared" ref="AR360:AR373" si="163">AD360*AQ360</f>
        <v>0</v>
      </c>
      <c r="AS360" s="260"/>
      <c r="AT360" s="254">
        <f t="shared" ref="AT360:AT373" si="164">AE360*AS360</f>
        <v>0</v>
      </c>
      <c r="AU360" s="260">
        <v>680</v>
      </c>
      <c r="AV360" s="257">
        <f t="shared" si="159"/>
        <v>1156</v>
      </c>
      <c r="AW360" s="383">
        <v>40</v>
      </c>
      <c r="AX360" s="257">
        <f t="shared" si="160"/>
        <v>68</v>
      </c>
      <c r="AY360" s="392">
        <v>200</v>
      </c>
      <c r="AZ360" s="257">
        <f t="shared" si="161"/>
        <v>340</v>
      </c>
      <c r="BA360" s="260"/>
      <c r="BB360" s="257">
        <f t="shared" ref="BB360:BB373" si="165">AI360*BA360</f>
        <v>0</v>
      </c>
      <c r="BC360" s="260">
        <v>519</v>
      </c>
      <c r="BD360" s="257">
        <f t="shared" ref="BD360:BD373" si="166">AJ360*BC360</f>
        <v>882.3</v>
      </c>
      <c r="BE360" s="268"/>
      <c r="BF360" s="257">
        <f t="shared" ref="BF360:BF373" si="167">AK360*BE360</f>
        <v>0</v>
      </c>
      <c r="BG360" s="256"/>
      <c r="BH360" s="257">
        <f t="shared" ref="BH360:BH373" si="168">AL360*BG360</f>
        <v>0</v>
      </c>
      <c r="BI360" s="268"/>
      <c r="BJ360" s="257">
        <f t="shared" ref="BJ360:BJ373" si="169">AM360*BI360</f>
        <v>0</v>
      </c>
      <c r="BK360" s="268"/>
      <c r="BL360" s="257">
        <f t="shared" ref="BL360:BL373" si="170">AN360*BK360</f>
        <v>0</v>
      </c>
      <c r="BM360" s="1" t="s">
        <v>904</v>
      </c>
      <c r="BO360" s="1" t="s">
        <v>457</v>
      </c>
      <c r="BP360" s="378" t="s">
        <v>905</v>
      </c>
    </row>
    <row r="361" spans="1:68" ht="15.6">
      <c r="A361" s="250" t="s">
        <v>451</v>
      </c>
      <c r="B361" s="59" t="s">
        <v>221</v>
      </c>
      <c r="C361" s="354" t="s">
        <v>172</v>
      </c>
      <c r="D361" s="419"/>
      <c r="E361" s="281" t="s">
        <v>332</v>
      </c>
      <c r="F361" s="422"/>
      <c r="G361" s="317">
        <v>2023</v>
      </c>
      <c r="H361" s="323" t="s">
        <v>419</v>
      </c>
      <c r="I361" s="332" t="s">
        <v>357</v>
      </c>
      <c r="J361" s="331">
        <v>15</v>
      </c>
      <c r="K361" s="323" t="s">
        <v>637</v>
      </c>
      <c r="L361" s="323" t="s">
        <v>464</v>
      </c>
      <c r="M361" s="303" t="s">
        <v>933</v>
      </c>
      <c r="N361" s="303">
        <v>2.8</v>
      </c>
      <c r="O361" s="303">
        <v>3.5</v>
      </c>
      <c r="P361" s="303">
        <v>3.65</v>
      </c>
      <c r="Q361" s="303">
        <v>3.65</v>
      </c>
      <c r="R361" s="303">
        <v>3.65</v>
      </c>
      <c r="S361" s="303">
        <v>3.65</v>
      </c>
      <c r="T361" s="303">
        <v>3.65</v>
      </c>
      <c r="U361" s="303">
        <v>3.65</v>
      </c>
      <c r="V361" s="303">
        <v>3.65</v>
      </c>
      <c r="W361" s="303">
        <v>3.65</v>
      </c>
      <c r="X361" s="303">
        <v>3.5</v>
      </c>
      <c r="Y361" s="303">
        <v>3.5</v>
      </c>
      <c r="Z361" s="303">
        <v>3.5</v>
      </c>
      <c r="AA361" s="303">
        <v>3.5</v>
      </c>
      <c r="AB361" s="59">
        <v>0.7</v>
      </c>
      <c r="AC361" s="59">
        <v>0.8</v>
      </c>
      <c r="AD361" s="59">
        <v>0.8</v>
      </c>
      <c r="AE361" s="59">
        <v>0.8</v>
      </c>
      <c r="AF361" s="59">
        <v>0.8</v>
      </c>
      <c r="AG361" s="59">
        <v>0.8</v>
      </c>
      <c r="AH361" s="59">
        <v>0.8</v>
      </c>
      <c r="AI361" s="59">
        <v>0.8</v>
      </c>
      <c r="AJ361" s="59">
        <v>0.8</v>
      </c>
      <c r="AK361" s="59">
        <v>0.7</v>
      </c>
      <c r="AL361" s="59">
        <v>0.7</v>
      </c>
      <c r="AM361" s="59">
        <v>0.7</v>
      </c>
      <c r="AN361" s="59">
        <v>0.7</v>
      </c>
      <c r="AO361" s="260"/>
      <c r="AP361" s="254">
        <f t="shared" si="162"/>
        <v>0</v>
      </c>
      <c r="AQ361" s="260"/>
      <c r="AR361" s="254">
        <f t="shared" si="163"/>
        <v>0</v>
      </c>
      <c r="AS361" s="260"/>
      <c r="AT361" s="254">
        <f t="shared" si="164"/>
        <v>0</v>
      </c>
      <c r="AU361" s="260">
        <v>680</v>
      </c>
      <c r="AV361" s="257">
        <f t="shared" si="159"/>
        <v>544</v>
      </c>
      <c r="AW361" s="383">
        <v>3280</v>
      </c>
      <c r="AX361" s="257">
        <f t="shared" si="160"/>
        <v>2624</v>
      </c>
      <c r="AY361" s="392">
        <v>2280</v>
      </c>
      <c r="AZ361" s="257">
        <f t="shared" si="161"/>
        <v>1824</v>
      </c>
      <c r="BA361" s="260">
        <v>2400</v>
      </c>
      <c r="BB361" s="257">
        <f t="shared" si="165"/>
        <v>1920</v>
      </c>
      <c r="BC361" s="260">
        <v>1960</v>
      </c>
      <c r="BD361" s="257">
        <f t="shared" si="166"/>
        <v>1568</v>
      </c>
      <c r="BE361" s="268">
        <v>6678</v>
      </c>
      <c r="BF361" s="257">
        <f t="shared" si="167"/>
        <v>4674.5999999999995</v>
      </c>
      <c r="BG361" s="256">
        <v>12120</v>
      </c>
      <c r="BH361" s="257">
        <f t="shared" si="168"/>
        <v>8484</v>
      </c>
      <c r="BI361" s="268">
        <v>12360</v>
      </c>
      <c r="BJ361" s="257">
        <f t="shared" si="169"/>
        <v>8652</v>
      </c>
      <c r="BK361" s="268">
        <v>5839</v>
      </c>
      <c r="BL361" s="257">
        <f t="shared" si="170"/>
        <v>4087.2999999999997</v>
      </c>
      <c r="BM361" s="1" t="s">
        <v>906</v>
      </c>
      <c r="BN361" s="1" t="s">
        <v>532</v>
      </c>
      <c r="BO361" s="1" t="s">
        <v>457</v>
      </c>
      <c r="BP361" s="378" t="s">
        <v>907</v>
      </c>
    </row>
    <row r="362" spans="1:68" ht="15.6">
      <c r="A362" s="250" t="s">
        <v>451</v>
      </c>
      <c r="B362" s="59" t="s">
        <v>221</v>
      </c>
      <c r="C362" s="354" t="s">
        <v>172</v>
      </c>
      <c r="D362" s="419"/>
      <c r="E362" s="281" t="s">
        <v>332</v>
      </c>
      <c r="F362" s="422"/>
      <c r="G362" s="317">
        <v>2023</v>
      </c>
      <c r="H362" s="323" t="s">
        <v>421</v>
      </c>
      <c r="I362" s="330" t="s">
        <v>359</v>
      </c>
      <c r="J362" s="331">
        <v>15</v>
      </c>
      <c r="K362" s="323" t="s">
        <v>210</v>
      </c>
      <c r="L362" s="323" t="s">
        <v>464</v>
      </c>
      <c r="M362" s="303" t="s">
        <v>933</v>
      </c>
      <c r="N362" s="303">
        <v>8.6</v>
      </c>
      <c r="O362" s="303">
        <v>9.5</v>
      </c>
      <c r="P362" s="303">
        <v>10.8</v>
      </c>
      <c r="Q362" s="303">
        <v>10.8</v>
      </c>
      <c r="R362" s="303">
        <v>10.8</v>
      </c>
      <c r="S362" s="303">
        <v>10.8</v>
      </c>
      <c r="T362" s="303">
        <v>10.8</v>
      </c>
      <c r="U362" s="303">
        <v>10.8</v>
      </c>
      <c r="V362" s="303">
        <v>10.8</v>
      </c>
      <c r="W362" s="303">
        <v>10.8</v>
      </c>
      <c r="X362" s="303">
        <v>9.5</v>
      </c>
      <c r="Y362" s="303">
        <v>9.5</v>
      </c>
      <c r="Z362" s="303">
        <v>9.5</v>
      </c>
      <c r="AA362" s="303">
        <v>9.5</v>
      </c>
      <c r="AB362" s="59">
        <v>2</v>
      </c>
      <c r="AC362" s="59">
        <v>2.35</v>
      </c>
      <c r="AD362" s="59">
        <v>2.35</v>
      </c>
      <c r="AE362" s="59">
        <v>2.35</v>
      </c>
      <c r="AF362" s="59">
        <v>2.35</v>
      </c>
      <c r="AG362" s="59">
        <v>2.35</v>
      </c>
      <c r="AH362" s="59">
        <v>2.35</v>
      </c>
      <c r="AI362" s="59">
        <v>2.35</v>
      </c>
      <c r="AJ362" s="59">
        <v>2.35</v>
      </c>
      <c r="AK362" s="59">
        <v>2</v>
      </c>
      <c r="AL362" s="59">
        <v>2</v>
      </c>
      <c r="AM362" s="59">
        <v>2</v>
      </c>
      <c r="AN362" s="59">
        <v>2</v>
      </c>
      <c r="AO362" s="260"/>
      <c r="AP362" s="254">
        <f t="shared" si="162"/>
        <v>0</v>
      </c>
      <c r="AQ362" s="260"/>
      <c r="AR362" s="254">
        <f t="shared" si="163"/>
        <v>0</v>
      </c>
      <c r="AS362" s="260"/>
      <c r="AT362" s="254">
        <f t="shared" si="164"/>
        <v>0</v>
      </c>
      <c r="AU362" s="260">
        <v>5760</v>
      </c>
      <c r="AV362" s="257">
        <f t="shared" si="159"/>
        <v>13536</v>
      </c>
      <c r="AW362" s="383">
        <v>120</v>
      </c>
      <c r="AX362" s="257">
        <f t="shared" si="160"/>
        <v>282</v>
      </c>
      <c r="AY362" s="392"/>
      <c r="AZ362" s="257">
        <f t="shared" si="161"/>
        <v>0</v>
      </c>
      <c r="BA362" s="260">
        <v>400</v>
      </c>
      <c r="BB362" s="257">
        <f t="shared" si="165"/>
        <v>940</v>
      </c>
      <c r="BC362" s="260"/>
      <c r="BD362" s="257">
        <f t="shared" si="166"/>
        <v>0</v>
      </c>
      <c r="BE362" s="268">
        <v>0</v>
      </c>
      <c r="BF362" s="257">
        <f t="shared" si="167"/>
        <v>0</v>
      </c>
      <c r="BG362" s="256"/>
      <c r="BH362" s="257">
        <f t="shared" si="168"/>
        <v>0</v>
      </c>
      <c r="BI362" s="268"/>
      <c r="BJ362" s="257">
        <f t="shared" si="169"/>
        <v>0</v>
      </c>
      <c r="BK362" s="268"/>
      <c r="BL362" s="257">
        <f t="shared" si="170"/>
        <v>0</v>
      </c>
      <c r="BM362" s="1" t="s">
        <v>908</v>
      </c>
      <c r="BN362" s="1" t="s">
        <v>532</v>
      </c>
      <c r="BO362" s="1" t="s">
        <v>457</v>
      </c>
      <c r="BP362" s="378" t="s">
        <v>909</v>
      </c>
    </row>
    <row r="363" spans="1:68" ht="15.6">
      <c r="A363" s="250" t="s">
        <v>451</v>
      </c>
      <c r="B363" s="59" t="s">
        <v>221</v>
      </c>
      <c r="C363" s="354" t="s">
        <v>172</v>
      </c>
      <c r="D363" s="419"/>
      <c r="E363" s="281" t="s">
        <v>332</v>
      </c>
      <c r="F363" s="422"/>
      <c r="G363" s="317">
        <v>2023</v>
      </c>
      <c r="H363" s="323" t="s">
        <v>421</v>
      </c>
      <c r="I363" s="332" t="s">
        <v>357</v>
      </c>
      <c r="J363" s="331">
        <v>15</v>
      </c>
      <c r="K363" s="323" t="s">
        <v>210</v>
      </c>
      <c r="L363" s="323" t="s">
        <v>464</v>
      </c>
      <c r="M363" s="303" t="s">
        <v>933</v>
      </c>
      <c r="N363" s="303">
        <v>4.4000000000000004</v>
      </c>
      <c r="O363" s="303">
        <v>5.4</v>
      </c>
      <c r="P363" s="303">
        <v>5.7</v>
      </c>
      <c r="Q363" s="303">
        <v>5.7</v>
      </c>
      <c r="R363" s="303">
        <v>5.7</v>
      </c>
      <c r="S363" s="303">
        <v>5.7</v>
      </c>
      <c r="T363" s="303">
        <v>5.7</v>
      </c>
      <c r="U363" s="303">
        <v>5.7</v>
      </c>
      <c r="V363" s="303">
        <v>5.7</v>
      </c>
      <c r="W363" s="303">
        <v>5.7</v>
      </c>
      <c r="X363" s="303">
        <v>5.4</v>
      </c>
      <c r="Y363" s="303">
        <v>5.4</v>
      </c>
      <c r="Z363" s="303">
        <v>5.4</v>
      </c>
      <c r="AA363" s="303">
        <v>5.4</v>
      </c>
      <c r="AB363" s="59">
        <v>1</v>
      </c>
      <c r="AC363" s="59">
        <v>1.05</v>
      </c>
      <c r="AD363" s="59">
        <v>1.05</v>
      </c>
      <c r="AE363" s="59">
        <v>1.05</v>
      </c>
      <c r="AF363" s="59">
        <v>1.05</v>
      </c>
      <c r="AG363" s="59">
        <v>1.05</v>
      </c>
      <c r="AH363" s="59">
        <v>1.05</v>
      </c>
      <c r="AI363" s="59">
        <v>1.05</v>
      </c>
      <c r="AJ363" s="59">
        <v>1.05</v>
      </c>
      <c r="AK363" s="59">
        <v>1</v>
      </c>
      <c r="AL363" s="59">
        <v>1</v>
      </c>
      <c r="AM363" s="59">
        <v>1</v>
      </c>
      <c r="AN363" s="59">
        <v>1</v>
      </c>
      <c r="AO363" s="260"/>
      <c r="AP363" s="254">
        <f t="shared" si="162"/>
        <v>0</v>
      </c>
      <c r="AQ363" s="260"/>
      <c r="AR363" s="254">
        <f t="shared" si="163"/>
        <v>0</v>
      </c>
      <c r="AS363" s="260"/>
      <c r="AT363" s="254">
        <f t="shared" si="164"/>
        <v>0</v>
      </c>
      <c r="AU363" s="260">
        <v>880</v>
      </c>
      <c r="AV363" s="257">
        <f t="shared" si="159"/>
        <v>924</v>
      </c>
      <c r="AW363" s="383">
        <v>40</v>
      </c>
      <c r="AX363" s="257">
        <f t="shared" si="160"/>
        <v>42</v>
      </c>
      <c r="AY363" s="392"/>
      <c r="AZ363" s="257">
        <f t="shared" si="161"/>
        <v>0</v>
      </c>
      <c r="BA363" s="260">
        <v>720</v>
      </c>
      <c r="BB363" s="257">
        <f t="shared" si="165"/>
        <v>756</v>
      </c>
      <c r="BC363" s="260">
        <v>120</v>
      </c>
      <c r="BD363" s="257">
        <f t="shared" si="166"/>
        <v>126</v>
      </c>
      <c r="BE363" s="268">
        <v>0</v>
      </c>
      <c r="BF363" s="257">
        <f t="shared" si="167"/>
        <v>0</v>
      </c>
      <c r="BG363" s="256"/>
      <c r="BH363" s="257">
        <f t="shared" si="168"/>
        <v>0</v>
      </c>
      <c r="BI363" s="268"/>
      <c r="BJ363" s="257">
        <f t="shared" si="169"/>
        <v>0</v>
      </c>
      <c r="BK363" s="268"/>
      <c r="BL363" s="257">
        <f t="shared" si="170"/>
        <v>0</v>
      </c>
      <c r="BM363" s="1" t="s">
        <v>910</v>
      </c>
      <c r="BN363" s="1" t="s">
        <v>532</v>
      </c>
      <c r="BO363" s="1" t="s">
        <v>457</v>
      </c>
      <c r="BP363" s="378" t="s">
        <v>911</v>
      </c>
    </row>
    <row r="364" spans="1:68" ht="15.6">
      <c r="A364" s="250" t="s">
        <v>451</v>
      </c>
      <c r="B364" s="59" t="s">
        <v>221</v>
      </c>
      <c r="C364" s="354" t="s">
        <v>172</v>
      </c>
      <c r="D364" s="419"/>
      <c r="E364" s="281" t="s">
        <v>332</v>
      </c>
      <c r="F364" s="422"/>
      <c r="G364" s="317">
        <v>2023</v>
      </c>
      <c r="H364" s="323" t="s">
        <v>421</v>
      </c>
      <c r="I364" s="330" t="s">
        <v>359</v>
      </c>
      <c r="J364" s="331">
        <v>15</v>
      </c>
      <c r="K364" s="328" t="s">
        <v>243</v>
      </c>
      <c r="L364" s="323" t="s">
        <v>464</v>
      </c>
      <c r="M364" s="303" t="s">
        <v>933</v>
      </c>
      <c r="N364" s="303">
        <v>8.6</v>
      </c>
      <c r="O364" s="303">
        <v>8.8000000000000007</v>
      </c>
      <c r="P364" s="303">
        <v>10.8</v>
      </c>
      <c r="Q364" s="303">
        <v>10.8</v>
      </c>
      <c r="R364" s="303">
        <v>10.8</v>
      </c>
      <c r="S364" s="303">
        <v>10.8</v>
      </c>
      <c r="T364" s="303">
        <v>10.8</v>
      </c>
      <c r="U364" s="303">
        <v>10.8</v>
      </c>
      <c r="V364" s="303">
        <v>10.8</v>
      </c>
      <c r="W364" s="303">
        <v>10.8</v>
      </c>
      <c r="X364" s="303">
        <v>9.5</v>
      </c>
      <c r="Y364" s="303">
        <v>8.8000000000000007</v>
      </c>
      <c r="Z364" s="303">
        <v>8.8000000000000007</v>
      </c>
      <c r="AA364" s="303">
        <v>8.8000000000000007</v>
      </c>
      <c r="AB364" s="59">
        <v>1.6</v>
      </c>
      <c r="AC364" s="59">
        <v>2.35</v>
      </c>
      <c r="AD364" s="59">
        <v>2.35</v>
      </c>
      <c r="AE364" s="59">
        <v>2.35</v>
      </c>
      <c r="AF364" s="59">
        <v>2.35</v>
      </c>
      <c r="AG364" s="59">
        <v>2.35</v>
      </c>
      <c r="AH364" s="59">
        <v>2.35</v>
      </c>
      <c r="AI364" s="59">
        <v>2.35</v>
      </c>
      <c r="AJ364" s="59">
        <v>2.35</v>
      </c>
      <c r="AK364" s="59">
        <v>2</v>
      </c>
      <c r="AL364" s="59">
        <v>1.6</v>
      </c>
      <c r="AM364" s="59">
        <v>1.6</v>
      </c>
      <c r="AN364" s="59">
        <v>1.6</v>
      </c>
      <c r="AO364" s="260"/>
      <c r="AP364" s="254">
        <f t="shared" si="162"/>
        <v>0</v>
      </c>
      <c r="AQ364" s="260"/>
      <c r="AR364" s="254">
        <f t="shared" si="163"/>
        <v>0</v>
      </c>
      <c r="AS364" s="260"/>
      <c r="AT364" s="254">
        <f t="shared" si="164"/>
        <v>0</v>
      </c>
      <c r="AU364" s="260">
        <v>2720</v>
      </c>
      <c r="AV364" s="257">
        <f t="shared" si="159"/>
        <v>6392</v>
      </c>
      <c r="AW364" s="383">
        <v>7960</v>
      </c>
      <c r="AX364" s="257">
        <f t="shared" si="160"/>
        <v>18706</v>
      </c>
      <c r="AY364" s="392">
        <v>2920</v>
      </c>
      <c r="AZ364" s="257">
        <f t="shared" si="161"/>
        <v>6862</v>
      </c>
      <c r="BA364" s="260">
        <v>6420</v>
      </c>
      <c r="BB364" s="257">
        <f t="shared" si="165"/>
        <v>15087</v>
      </c>
      <c r="BC364" s="260">
        <v>10120</v>
      </c>
      <c r="BD364" s="257">
        <f t="shared" si="166"/>
        <v>23782</v>
      </c>
      <c r="BE364" s="268">
        <v>8920</v>
      </c>
      <c r="BF364" s="257">
        <f t="shared" si="167"/>
        <v>17840</v>
      </c>
      <c r="BG364" s="256">
        <v>5480</v>
      </c>
      <c r="BH364" s="257">
        <f t="shared" si="168"/>
        <v>8768</v>
      </c>
      <c r="BI364" s="268">
        <v>8720</v>
      </c>
      <c r="BJ364" s="257">
        <f t="shared" si="169"/>
        <v>13952</v>
      </c>
      <c r="BK364" s="268">
        <v>5919</v>
      </c>
      <c r="BL364" s="257">
        <f t="shared" si="170"/>
        <v>9470.4</v>
      </c>
      <c r="BM364" s="1" t="s">
        <v>912</v>
      </c>
      <c r="BN364" s="1" t="s">
        <v>532</v>
      </c>
      <c r="BO364" s="1" t="s">
        <v>457</v>
      </c>
      <c r="BP364" s="378" t="s">
        <v>913</v>
      </c>
    </row>
    <row r="365" spans="1:68" ht="15.6">
      <c r="A365" s="250" t="s">
        <v>451</v>
      </c>
      <c r="B365" s="59" t="s">
        <v>221</v>
      </c>
      <c r="C365" s="354" t="s">
        <v>172</v>
      </c>
      <c r="D365" s="419"/>
      <c r="E365" s="281" t="s">
        <v>332</v>
      </c>
      <c r="F365" s="422"/>
      <c r="G365" s="317">
        <v>2023</v>
      </c>
      <c r="H365" s="323" t="s">
        <v>421</v>
      </c>
      <c r="I365" s="332" t="s">
        <v>357</v>
      </c>
      <c r="J365" s="331">
        <v>15</v>
      </c>
      <c r="K365" s="328" t="s">
        <v>243</v>
      </c>
      <c r="L365" s="323" t="s">
        <v>464</v>
      </c>
      <c r="M365" s="303" t="s">
        <v>933</v>
      </c>
      <c r="N365" s="303">
        <v>2.8</v>
      </c>
      <c r="O365" s="303">
        <v>3.5</v>
      </c>
      <c r="P365" s="303">
        <v>3.65</v>
      </c>
      <c r="Q365" s="303">
        <v>3.65</v>
      </c>
      <c r="R365" s="303">
        <v>3.65</v>
      </c>
      <c r="S365" s="303">
        <v>3.65</v>
      </c>
      <c r="T365" s="303">
        <v>3.65</v>
      </c>
      <c r="U365" s="303">
        <v>3.65</v>
      </c>
      <c r="V365" s="303">
        <v>3.65</v>
      </c>
      <c r="W365" s="303">
        <v>3.65</v>
      </c>
      <c r="X365" s="303">
        <v>3.5</v>
      </c>
      <c r="Y365" s="303">
        <v>3.5</v>
      </c>
      <c r="Z365" s="303">
        <v>3.5</v>
      </c>
      <c r="AA365" s="303">
        <v>3.5</v>
      </c>
      <c r="AB365" s="59">
        <v>0.7</v>
      </c>
      <c r="AC365" s="59">
        <v>0.8</v>
      </c>
      <c r="AD365" s="59">
        <v>0.8</v>
      </c>
      <c r="AE365" s="59">
        <v>0.8</v>
      </c>
      <c r="AF365" s="59">
        <v>0.8</v>
      </c>
      <c r="AG365" s="59">
        <v>0.8</v>
      </c>
      <c r="AH365" s="59">
        <v>0.8</v>
      </c>
      <c r="AI365" s="59">
        <v>0.8</v>
      </c>
      <c r="AJ365" s="59">
        <v>0.8</v>
      </c>
      <c r="AK365" s="59">
        <v>0.7</v>
      </c>
      <c r="AL365" s="59">
        <v>0.7</v>
      </c>
      <c r="AM365" s="59">
        <v>0.7</v>
      </c>
      <c r="AN365" s="59">
        <v>0.7</v>
      </c>
      <c r="AO365" s="260"/>
      <c r="AP365" s="254">
        <f t="shared" si="162"/>
        <v>0</v>
      </c>
      <c r="AQ365" s="260"/>
      <c r="AR365" s="254">
        <f t="shared" si="163"/>
        <v>0</v>
      </c>
      <c r="AS365" s="260">
        <v>5000</v>
      </c>
      <c r="AT365" s="254">
        <f t="shared" si="164"/>
        <v>4000</v>
      </c>
      <c r="AU365" s="260">
        <v>7120</v>
      </c>
      <c r="AV365" s="257">
        <f t="shared" si="159"/>
        <v>5696</v>
      </c>
      <c r="AW365" s="383">
        <v>45160</v>
      </c>
      <c r="AX365" s="257">
        <f t="shared" si="160"/>
        <v>36128</v>
      </c>
      <c r="AY365" s="392">
        <v>35280</v>
      </c>
      <c r="AZ365" s="257">
        <f t="shared" si="161"/>
        <v>28224</v>
      </c>
      <c r="BA365" s="260">
        <v>35160</v>
      </c>
      <c r="BB365" s="257">
        <f t="shared" si="165"/>
        <v>28128</v>
      </c>
      <c r="BC365" s="260">
        <v>27719</v>
      </c>
      <c r="BD365" s="257">
        <f t="shared" si="166"/>
        <v>22175.200000000001</v>
      </c>
      <c r="BE365" s="268">
        <v>71080</v>
      </c>
      <c r="BF365" s="257">
        <f t="shared" si="167"/>
        <v>49756</v>
      </c>
      <c r="BG365" s="256">
        <v>50800</v>
      </c>
      <c r="BH365" s="257">
        <f t="shared" si="168"/>
        <v>35560</v>
      </c>
      <c r="BI365" s="268">
        <v>69840</v>
      </c>
      <c r="BJ365" s="257">
        <f t="shared" si="169"/>
        <v>48888</v>
      </c>
      <c r="BK365" s="268">
        <v>85880</v>
      </c>
      <c r="BL365" s="257">
        <f t="shared" si="170"/>
        <v>60115.999999999993</v>
      </c>
      <c r="BM365" s="1" t="s">
        <v>914</v>
      </c>
      <c r="BN365" s="1" t="s">
        <v>532</v>
      </c>
      <c r="BO365" s="1" t="s">
        <v>457</v>
      </c>
      <c r="BP365" s="378" t="s">
        <v>915</v>
      </c>
    </row>
    <row r="366" spans="1:68" ht="15.6">
      <c r="A366" s="250" t="s">
        <v>451</v>
      </c>
      <c r="B366" s="59" t="s">
        <v>221</v>
      </c>
      <c r="C366" s="354" t="s">
        <v>172</v>
      </c>
      <c r="D366" s="419"/>
      <c r="E366" s="281" t="s">
        <v>332</v>
      </c>
      <c r="F366" s="422"/>
      <c r="G366" s="317">
        <v>2023</v>
      </c>
      <c r="H366" s="323" t="s">
        <v>421</v>
      </c>
      <c r="I366" s="330" t="s">
        <v>359</v>
      </c>
      <c r="J366" s="331">
        <v>15</v>
      </c>
      <c r="K366" s="323" t="s">
        <v>247</v>
      </c>
      <c r="L366" s="323" t="s">
        <v>464</v>
      </c>
      <c r="M366" s="303" t="s">
        <v>933</v>
      </c>
      <c r="N366" s="303">
        <v>9</v>
      </c>
      <c r="O366" s="303">
        <v>9.5</v>
      </c>
      <c r="P366" s="303">
        <v>10.8</v>
      </c>
      <c r="Q366" s="303">
        <v>10.8</v>
      </c>
      <c r="R366" s="303">
        <v>10.8</v>
      </c>
      <c r="S366" s="303">
        <v>10.8</v>
      </c>
      <c r="T366" s="303">
        <v>10.8</v>
      </c>
      <c r="U366" s="303">
        <v>10.8</v>
      </c>
      <c r="V366" s="303">
        <v>10.8</v>
      </c>
      <c r="W366" s="303">
        <v>10.8</v>
      </c>
      <c r="X366" s="303">
        <v>9.5</v>
      </c>
      <c r="Y366" s="303">
        <v>9.5</v>
      </c>
      <c r="Z366" s="303">
        <v>9.5</v>
      </c>
      <c r="AA366" s="303">
        <v>9.5</v>
      </c>
      <c r="AB366" s="59">
        <v>2</v>
      </c>
      <c r="AC366" s="59">
        <v>2.35</v>
      </c>
      <c r="AD366" s="59">
        <v>2.35</v>
      </c>
      <c r="AE366" s="59">
        <v>2.35</v>
      </c>
      <c r="AF366" s="59">
        <v>2.35</v>
      </c>
      <c r="AG366" s="59">
        <v>2.35</v>
      </c>
      <c r="AH366" s="59">
        <v>2.35</v>
      </c>
      <c r="AI366" s="59">
        <v>2.35</v>
      </c>
      <c r="AJ366" s="59">
        <v>2.35</v>
      </c>
      <c r="AK366" s="59">
        <v>2</v>
      </c>
      <c r="AL366" s="59">
        <v>2</v>
      </c>
      <c r="AM366" s="59">
        <v>2</v>
      </c>
      <c r="AN366" s="59">
        <v>2</v>
      </c>
      <c r="AO366" s="260"/>
      <c r="AP366" s="254">
        <f t="shared" si="162"/>
        <v>0</v>
      </c>
      <c r="AQ366" s="260"/>
      <c r="AR366" s="254">
        <f t="shared" si="163"/>
        <v>0</v>
      </c>
      <c r="AS366" s="260"/>
      <c r="AT366" s="254">
        <f t="shared" si="164"/>
        <v>0</v>
      </c>
      <c r="AU366" s="260"/>
      <c r="AV366" s="257">
        <f t="shared" si="159"/>
        <v>0</v>
      </c>
      <c r="AW366" s="383"/>
      <c r="AX366" s="257">
        <f t="shared" si="160"/>
        <v>0</v>
      </c>
      <c r="AY366" s="392"/>
      <c r="AZ366" s="257">
        <f t="shared" si="161"/>
        <v>0</v>
      </c>
      <c r="BA366" s="260"/>
      <c r="BB366" s="257">
        <f t="shared" si="165"/>
        <v>0</v>
      </c>
      <c r="BC366" s="260"/>
      <c r="BD366" s="257">
        <f t="shared" si="166"/>
        <v>0</v>
      </c>
      <c r="BE366" s="268"/>
      <c r="BF366" s="257">
        <f t="shared" si="167"/>
        <v>0</v>
      </c>
      <c r="BG366" s="256"/>
      <c r="BH366" s="257">
        <f t="shared" si="168"/>
        <v>0</v>
      </c>
      <c r="BI366" s="268"/>
      <c r="BJ366" s="257">
        <f t="shared" si="169"/>
        <v>0</v>
      </c>
      <c r="BK366" s="268"/>
      <c r="BL366" s="257">
        <f t="shared" si="170"/>
        <v>0</v>
      </c>
      <c r="BM366" s="1" t="s">
        <v>916</v>
      </c>
      <c r="BN366" s="1" t="s">
        <v>532</v>
      </c>
      <c r="BO366" s="1" t="s">
        <v>457</v>
      </c>
      <c r="BP366" s="378" t="s">
        <v>917</v>
      </c>
    </row>
    <row r="367" spans="1:68" ht="15.6">
      <c r="A367" s="250" t="s">
        <v>451</v>
      </c>
      <c r="B367" s="59" t="s">
        <v>221</v>
      </c>
      <c r="C367" s="354" t="s">
        <v>172</v>
      </c>
      <c r="D367" s="419"/>
      <c r="E367" s="281" t="s">
        <v>332</v>
      </c>
      <c r="F367" s="422"/>
      <c r="G367" s="317">
        <v>2023</v>
      </c>
      <c r="H367" s="323" t="s">
        <v>421</v>
      </c>
      <c r="I367" s="330" t="s">
        <v>359</v>
      </c>
      <c r="J367" s="331">
        <v>15</v>
      </c>
      <c r="K367" s="323" t="s">
        <v>899</v>
      </c>
      <c r="L367" s="323" t="s">
        <v>464</v>
      </c>
      <c r="M367" s="303" t="s">
        <v>933</v>
      </c>
      <c r="N367" s="303">
        <v>9</v>
      </c>
      <c r="O367" s="303">
        <v>9.5</v>
      </c>
      <c r="P367" s="303">
        <v>10.8</v>
      </c>
      <c r="Q367" s="303">
        <v>10.8</v>
      </c>
      <c r="R367" s="303">
        <v>10.8</v>
      </c>
      <c r="S367" s="303">
        <v>10.8</v>
      </c>
      <c r="T367" s="303">
        <v>10.8</v>
      </c>
      <c r="U367" s="303">
        <v>10.8</v>
      </c>
      <c r="V367" s="303">
        <v>10.8</v>
      </c>
      <c r="W367" s="303">
        <v>10.8</v>
      </c>
      <c r="X367" s="303">
        <v>9.5</v>
      </c>
      <c r="Y367" s="303">
        <v>9.5</v>
      </c>
      <c r="Z367" s="303">
        <v>9.5</v>
      </c>
      <c r="AA367" s="303">
        <v>9.5</v>
      </c>
      <c r="AB367" s="59">
        <v>2</v>
      </c>
      <c r="AC367" s="59">
        <v>2.35</v>
      </c>
      <c r="AD367" s="59">
        <v>2.35</v>
      </c>
      <c r="AE367" s="59">
        <v>2.35</v>
      </c>
      <c r="AF367" s="59">
        <v>2.35</v>
      </c>
      <c r="AG367" s="59">
        <v>2.35</v>
      </c>
      <c r="AH367" s="59">
        <v>2.35</v>
      </c>
      <c r="AI367" s="59">
        <v>2.35</v>
      </c>
      <c r="AJ367" s="59">
        <v>2.35</v>
      </c>
      <c r="AK367" s="59">
        <v>2</v>
      </c>
      <c r="AL367" s="59">
        <v>2</v>
      </c>
      <c r="AM367" s="59">
        <v>2</v>
      </c>
      <c r="AN367" s="59">
        <v>2</v>
      </c>
      <c r="AO367" s="260"/>
      <c r="AP367" s="254">
        <f t="shared" si="162"/>
        <v>0</v>
      </c>
      <c r="AQ367" s="260"/>
      <c r="AR367" s="254">
        <f t="shared" si="163"/>
        <v>0</v>
      </c>
      <c r="AS367" s="260"/>
      <c r="AT367" s="254">
        <f t="shared" si="164"/>
        <v>0</v>
      </c>
      <c r="AU367" s="260"/>
      <c r="AV367" s="257">
        <f t="shared" si="159"/>
        <v>0</v>
      </c>
      <c r="AW367" s="383"/>
      <c r="AX367" s="257">
        <f t="shared" si="160"/>
        <v>0</v>
      </c>
      <c r="AY367" s="392"/>
      <c r="AZ367" s="257">
        <f t="shared" si="161"/>
        <v>0</v>
      </c>
      <c r="BA367" s="260"/>
      <c r="BB367" s="257">
        <f t="shared" si="165"/>
        <v>0</v>
      </c>
      <c r="BC367" s="260"/>
      <c r="BD367" s="257">
        <f t="shared" si="166"/>
        <v>0</v>
      </c>
      <c r="BE367" s="268"/>
      <c r="BF367" s="257">
        <f t="shared" si="167"/>
        <v>0</v>
      </c>
      <c r="BG367" s="256"/>
      <c r="BH367" s="257">
        <f t="shared" si="168"/>
        <v>0</v>
      </c>
      <c r="BI367" s="268"/>
      <c r="BJ367" s="257">
        <f t="shared" si="169"/>
        <v>0</v>
      </c>
      <c r="BK367" s="268"/>
      <c r="BL367" s="257">
        <f t="shared" si="170"/>
        <v>0</v>
      </c>
      <c r="BM367" s="1" t="s">
        <v>918</v>
      </c>
      <c r="BN367" s="1" t="s">
        <v>532</v>
      </c>
      <c r="BO367" s="1" t="s">
        <v>457</v>
      </c>
      <c r="BP367" s="378" t="s">
        <v>919</v>
      </c>
    </row>
    <row r="368" spans="1:68" ht="15.6">
      <c r="A368" s="250" t="s">
        <v>451</v>
      </c>
      <c r="B368" s="59" t="s">
        <v>221</v>
      </c>
      <c r="C368" s="354" t="s">
        <v>172</v>
      </c>
      <c r="D368" s="419"/>
      <c r="E368" s="281" t="s">
        <v>332</v>
      </c>
      <c r="F368" s="422"/>
      <c r="G368" s="317">
        <v>2023</v>
      </c>
      <c r="H368" s="323" t="s">
        <v>419</v>
      </c>
      <c r="I368" s="332" t="s">
        <v>183</v>
      </c>
      <c r="J368" s="331">
        <v>15</v>
      </c>
      <c r="K368" s="323" t="s">
        <v>422</v>
      </c>
      <c r="L368" s="323" t="s">
        <v>464</v>
      </c>
      <c r="M368" s="303" t="s">
        <v>933</v>
      </c>
      <c r="N368" s="303">
        <v>9.9</v>
      </c>
      <c r="O368" s="303">
        <v>9.5</v>
      </c>
      <c r="P368" s="303">
        <v>11.6</v>
      </c>
      <c r="Q368" s="303">
        <v>11.6</v>
      </c>
      <c r="R368" s="303">
        <v>11.6</v>
      </c>
      <c r="S368" s="303">
        <v>11.6</v>
      </c>
      <c r="T368" s="303">
        <v>11.6</v>
      </c>
      <c r="U368" s="303">
        <v>11.6</v>
      </c>
      <c r="V368" s="303">
        <v>11.6</v>
      </c>
      <c r="W368" s="303">
        <v>11.6</v>
      </c>
      <c r="X368" s="303">
        <v>9.5</v>
      </c>
      <c r="Y368" s="303">
        <v>9.5</v>
      </c>
      <c r="Z368" s="303">
        <v>9.5</v>
      </c>
      <c r="AA368" s="303">
        <v>9.5</v>
      </c>
      <c r="AB368" s="59">
        <v>1.7</v>
      </c>
      <c r="AC368" s="59">
        <v>1.7</v>
      </c>
      <c r="AD368" s="59">
        <v>1.7</v>
      </c>
      <c r="AE368" s="59">
        <v>1.7</v>
      </c>
      <c r="AF368" s="59">
        <v>1.7</v>
      </c>
      <c r="AG368" s="59">
        <v>1.7</v>
      </c>
      <c r="AH368" s="59">
        <v>1.7</v>
      </c>
      <c r="AI368" s="59">
        <v>1.7</v>
      </c>
      <c r="AJ368" s="59">
        <v>1.7</v>
      </c>
      <c r="AK368" s="59">
        <v>1.7</v>
      </c>
      <c r="AL368" s="59">
        <v>1.7</v>
      </c>
      <c r="AM368" s="59">
        <v>1.7</v>
      </c>
      <c r="AN368" s="59">
        <v>1.7</v>
      </c>
      <c r="AO368" s="260"/>
      <c r="AP368" s="254">
        <f t="shared" si="162"/>
        <v>0</v>
      </c>
      <c r="AQ368" s="260"/>
      <c r="AR368" s="254">
        <f t="shared" si="163"/>
        <v>0</v>
      </c>
      <c r="AS368" s="260"/>
      <c r="AT368" s="254">
        <f t="shared" si="164"/>
        <v>0</v>
      </c>
      <c r="AU368" s="260"/>
      <c r="AV368" s="257">
        <f t="shared" si="159"/>
        <v>0</v>
      </c>
      <c r="AW368" s="383"/>
      <c r="AX368" s="257">
        <f t="shared" si="160"/>
        <v>0</v>
      </c>
      <c r="AY368" s="392"/>
      <c r="AZ368" s="257">
        <f t="shared" si="161"/>
        <v>0</v>
      </c>
      <c r="BA368" s="260"/>
      <c r="BB368" s="257">
        <f t="shared" si="165"/>
        <v>0</v>
      </c>
      <c r="BC368" s="260"/>
      <c r="BD368" s="257">
        <f t="shared" si="166"/>
        <v>0</v>
      </c>
      <c r="BE368" s="268"/>
      <c r="BF368" s="257">
        <f t="shared" si="167"/>
        <v>0</v>
      </c>
      <c r="BG368" s="256"/>
      <c r="BH368" s="257">
        <f t="shared" si="168"/>
        <v>0</v>
      </c>
      <c r="BI368" s="268"/>
      <c r="BJ368" s="257">
        <f t="shared" si="169"/>
        <v>0</v>
      </c>
      <c r="BK368" s="268"/>
      <c r="BL368" s="257">
        <f t="shared" si="170"/>
        <v>0</v>
      </c>
      <c r="BM368" s="1" t="s">
        <v>920</v>
      </c>
      <c r="BN368" s="1" t="s">
        <v>532</v>
      </c>
      <c r="BO368" s="1" t="s">
        <v>457</v>
      </c>
      <c r="BP368" s="378" t="s">
        <v>921</v>
      </c>
    </row>
    <row r="369" spans="1:68" ht="15.6">
      <c r="A369" s="250" t="s">
        <v>451</v>
      </c>
      <c r="B369" s="59" t="s">
        <v>221</v>
      </c>
      <c r="C369" s="354" t="s">
        <v>172</v>
      </c>
      <c r="D369" s="419"/>
      <c r="E369" s="281" t="s">
        <v>332</v>
      </c>
      <c r="F369" s="422"/>
      <c r="G369" s="317">
        <v>2023</v>
      </c>
      <c r="H369" s="323" t="s">
        <v>419</v>
      </c>
      <c r="I369" s="332" t="s">
        <v>183</v>
      </c>
      <c r="J369" s="331">
        <v>15</v>
      </c>
      <c r="K369" s="323" t="s">
        <v>423</v>
      </c>
      <c r="L369" s="323" t="s">
        <v>464</v>
      </c>
      <c r="M369" s="303" t="s">
        <v>933</v>
      </c>
      <c r="N369" s="303">
        <v>9.9</v>
      </c>
      <c r="O369" s="303">
        <v>9.5</v>
      </c>
      <c r="P369" s="303">
        <v>11.6</v>
      </c>
      <c r="Q369" s="303">
        <v>11.6</v>
      </c>
      <c r="R369" s="303">
        <v>11.6</v>
      </c>
      <c r="S369" s="303">
        <v>11.6</v>
      </c>
      <c r="T369" s="303">
        <v>11.6</v>
      </c>
      <c r="U369" s="303">
        <v>11.6</v>
      </c>
      <c r="V369" s="303">
        <v>11.6</v>
      </c>
      <c r="W369" s="303">
        <v>11.6</v>
      </c>
      <c r="X369" s="303">
        <v>9.5</v>
      </c>
      <c r="Y369" s="303">
        <v>9.5</v>
      </c>
      <c r="Z369" s="303">
        <v>9.5</v>
      </c>
      <c r="AA369" s="303">
        <v>9.5</v>
      </c>
      <c r="AB369" s="59">
        <v>1.7</v>
      </c>
      <c r="AC369" s="59">
        <v>1.7</v>
      </c>
      <c r="AD369" s="59">
        <v>1.7</v>
      </c>
      <c r="AE369" s="59">
        <v>1.7</v>
      </c>
      <c r="AF369" s="59">
        <v>1.7</v>
      </c>
      <c r="AG369" s="59">
        <v>1.7</v>
      </c>
      <c r="AH369" s="59">
        <v>1.7</v>
      </c>
      <c r="AI369" s="59">
        <v>1.7</v>
      </c>
      <c r="AJ369" s="59">
        <v>1.7</v>
      </c>
      <c r="AK369" s="59">
        <v>1.7</v>
      </c>
      <c r="AL369" s="59">
        <v>1.7</v>
      </c>
      <c r="AM369" s="59">
        <v>1.7</v>
      </c>
      <c r="AN369" s="59">
        <v>1.7</v>
      </c>
      <c r="AO369" s="260"/>
      <c r="AP369" s="254">
        <f t="shared" si="162"/>
        <v>0</v>
      </c>
      <c r="AQ369" s="260"/>
      <c r="AR369" s="254">
        <f t="shared" si="163"/>
        <v>0</v>
      </c>
      <c r="AS369" s="260"/>
      <c r="AT369" s="254">
        <f t="shared" si="164"/>
        <v>0</v>
      </c>
      <c r="AU369" s="260"/>
      <c r="AV369" s="257">
        <f t="shared" si="159"/>
        <v>0</v>
      </c>
      <c r="AW369" s="383"/>
      <c r="AX369" s="257">
        <f t="shared" si="160"/>
        <v>0</v>
      </c>
      <c r="AY369" s="392"/>
      <c r="AZ369" s="257">
        <f t="shared" si="161"/>
        <v>0</v>
      </c>
      <c r="BA369" s="260"/>
      <c r="BB369" s="257">
        <f t="shared" si="165"/>
        <v>0</v>
      </c>
      <c r="BC369" s="260"/>
      <c r="BD369" s="257">
        <f t="shared" si="166"/>
        <v>0</v>
      </c>
      <c r="BE369" s="268"/>
      <c r="BF369" s="257">
        <f t="shared" si="167"/>
        <v>0</v>
      </c>
      <c r="BG369" s="256"/>
      <c r="BH369" s="257">
        <f t="shared" si="168"/>
        <v>0</v>
      </c>
      <c r="BI369" s="268"/>
      <c r="BJ369" s="257">
        <f t="shared" si="169"/>
        <v>0</v>
      </c>
      <c r="BK369" s="268"/>
      <c r="BL369" s="257">
        <f t="shared" si="170"/>
        <v>0</v>
      </c>
      <c r="BM369" s="1" t="s">
        <v>922</v>
      </c>
      <c r="BN369" s="1" t="s">
        <v>532</v>
      </c>
      <c r="BO369" s="1" t="s">
        <v>457</v>
      </c>
      <c r="BP369" s="378" t="s">
        <v>923</v>
      </c>
    </row>
    <row r="370" spans="1:68" ht="15">
      <c r="A370" s="250" t="s">
        <v>451</v>
      </c>
      <c r="B370" s="59" t="s">
        <v>221</v>
      </c>
      <c r="C370" s="354" t="s">
        <v>172</v>
      </c>
      <c r="D370" s="419"/>
      <c r="E370" s="281" t="s">
        <v>332</v>
      </c>
      <c r="F370" s="422"/>
      <c r="G370" s="317">
        <v>2023</v>
      </c>
      <c r="H370" s="323" t="s">
        <v>419</v>
      </c>
      <c r="I370" s="327" t="s">
        <v>190</v>
      </c>
      <c r="J370" s="331">
        <v>15</v>
      </c>
      <c r="K370" s="328" t="s">
        <v>924</v>
      </c>
      <c r="L370" s="323" t="s">
        <v>464</v>
      </c>
      <c r="M370" s="303" t="s">
        <v>933</v>
      </c>
      <c r="N370" s="303">
        <v>2.8</v>
      </c>
      <c r="O370" s="303">
        <v>3.5</v>
      </c>
      <c r="P370" s="303">
        <v>3.65</v>
      </c>
      <c r="Q370" s="303">
        <v>3.65</v>
      </c>
      <c r="R370" s="303">
        <v>3.65</v>
      </c>
      <c r="S370" s="303">
        <v>3.65</v>
      </c>
      <c r="T370" s="303">
        <v>3.65</v>
      </c>
      <c r="U370" s="303">
        <v>3.65</v>
      </c>
      <c r="V370" s="303">
        <v>3.65</v>
      </c>
      <c r="W370" s="303">
        <v>3.65</v>
      </c>
      <c r="X370" s="303">
        <v>3.5</v>
      </c>
      <c r="Y370" s="303">
        <v>3.5</v>
      </c>
      <c r="Z370" s="303">
        <v>3.5</v>
      </c>
      <c r="AA370" s="303">
        <v>3.5</v>
      </c>
      <c r="AB370" s="59">
        <v>0.7</v>
      </c>
      <c r="AC370" s="59">
        <v>0.8</v>
      </c>
      <c r="AD370" s="59">
        <v>0.8</v>
      </c>
      <c r="AE370" s="59">
        <v>0.8</v>
      </c>
      <c r="AF370" s="59">
        <v>0.8</v>
      </c>
      <c r="AG370" s="59">
        <v>0.8</v>
      </c>
      <c r="AH370" s="59">
        <v>0.8</v>
      </c>
      <c r="AI370" s="59">
        <v>0.8</v>
      </c>
      <c r="AJ370" s="59">
        <v>0.8</v>
      </c>
      <c r="AK370" s="59">
        <v>0.7</v>
      </c>
      <c r="AL370" s="59">
        <v>0.7</v>
      </c>
      <c r="AM370" s="59">
        <v>0.7</v>
      </c>
      <c r="AN370" s="59">
        <v>0.7</v>
      </c>
      <c r="AO370" s="255"/>
      <c r="AP370" s="254">
        <f t="shared" si="162"/>
        <v>0</v>
      </c>
      <c r="AQ370" s="255"/>
      <c r="AR370" s="254">
        <f t="shared" si="163"/>
        <v>0</v>
      </c>
      <c r="AS370" s="255"/>
      <c r="AT370" s="254">
        <f t="shared" si="164"/>
        <v>0</v>
      </c>
      <c r="AU370" s="59"/>
      <c r="AV370" s="257">
        <f t="shared" si="159"/>
        <v>0</v>
      </c>
      <c r="AW370" s="382">
        <v>11680</v>
      </c>
      <c r="AX370" s="257">
        <f t="shared" si="160"/>
        <v>9344</v>
      </c>
      <c r="AY370" s="268">
        <v>518</v>
      </c>
      <c r="AZ370" s="257">
        <f t="shared" si="161"/>
        <v>414.40000000000003</v>
      </c>
      <c r="BA370" s="59">
        <v>7480</v>
      </c>
      <c r="BB370" s="257">
        <f t="shared" si="165"/>
        <v>5984</v>
      </c>
      <c r="BC370" s="59">
        <v>2520</v>
      </c>
      <c r="BD370" s="257">
        <f t="shared" si="166"/>
        <v>2016</v>
      </c>
      <c r="BE370" s="268">
        <v>4679</v>
      </c>
      <c r="BF370" s="257">
        <f t="shared" si="167"/>
        <v>3275.2999999999997</v>
      </c>
      <c r="BG370" s="256">
        <v>6000</v>
      </c>
      <c r="BH370" s="257">
        <f t="shared" si="168"/>
        <v>4200</v>
      </c>
      <c r="BI370" s="268">
        <v>2757</v>
      </c>
      <c r="BJ370" s="257">
        <f t="shared" si="169"/>
        <v>1929.8999999999999</v>
      </c>
      <c r="BK370" s="268">
        <v>9080</v>
      </c>
      <c r="BL370" s="257">
        <f t="shared" si="170"/>
        <v>6356</v>
      </c>
      <c r="BM370" s="1" t="s">
        <v>925</v>
      </c>
      <c r="BN370" s="1" t="s">
        <v>532</v>
      </c>
      <c r="BO370" s="1" t="s">
        <v>457</v>
      </c>
      <c r="BP370" s="378" t="s">
        <v>926</v>
      </c>
    </row>
    <row r="371" spans="1:68" ht="15">
      <c r="A371" s="250" t="s">
        <v>451</v>
      </c>
      <c r="B371" s="59" t="s">
        <v>221</v>
      </c>
      <c r="C371" s="354" t="s">
        <v>172</v>
      </c>
      <c r="D371" s="419"/>
      <c r="E371" s="281" t="s">
        <v>332</v>
      </c>
      <c r="F371" s="422"/>
      <c r="G371" s="317">
        <v>2023</v>
      </c>
      <c r="H371" s="323" t="s">
        <v>419</v>
      </c>
      <c r="I371" s="332" t="s">
        <v>183</v>
      </c>
      <c r="J371" s="331">
        <v>15</v>
      </c>
      <c r="K371" s="328" t="s">
        <v>854</v>
      </c>
      <c r="L371" s="323" t="s">
        <v>464</v>
      </c>
      <c r="M371" s="303" t="s">
        <v>933</v>
      </c>
      <c r="N371" s="303">
        <v>9</v>
      </c>
      <c r="O371" s="303">
        <v>9.5</v>
      </c>
      <c r="P371" s="303">
        <v>10.8</v>
      </c>
      <c r="Q371" s="303">
        <v>10.8</v>
      </c>
      <c r="R371" s="303">
        <v>10.8</v>
      </c>
      <c r="S371" s="303">
        <v>10.8</v>
      </c>
      <c r="T371" s="303">
        <v>10.8</v>
      </c>
      <c r="U371" s="303">
        <v>10.8</v>
      </c>
      <c r="V371" s="303">
        <v>10.8</v>
      </c>
      <c r="W371" s="303">
        <v>10.8</v>
      </c>
      <c r="X371" s="303">
        <v>9.5</v>
      </c>
      <c r="Y371" s="303">
        <v>9.5</v>
      </c>
      <c r="Z371" s="303">
        <v>9.5</v>
      </c>
      <c r="AA371" s="303">
        <v>9.5</v>
      </c>
      <c r="AB371" s="59">
        <v>2</v>
      </c>
      <c r="AC371" s="59">
        <v>2.3500000000000014</v>
      </c>
      <c r="AD371" s="59">
        <v>2.3500000000000014</v>
      </c>
      <c r="AE371" s="59">
        <v>2.3500000000000014</v>
      </c>
      <c r="AF371" s="59">
        <v>2.3500000000000014</v>
      </c>
      <c r="AG371" s="59">
        <v>2.3500000000000014</v>
      </c>
      <c r="AH371" s="59">
        <v>2.3500000000000014</v>
      </c>
      <c r="AI371" s="59">
        <v>2.3500000000000014</v>
      </c>
      <c r="AJ371" s="59">
        <v>2.3500000000000014</v>
      </c>
      <c r="AK371" s="59">
        <v>2</v>
      </c>
      <c r="AL371" s="59">
        <v>2</v>
      </c>
      <c r="AM371" s="59">
        <v>2</v>
      </c>
      <c r="AN371" s="59">
        <v>2</v>
      </c>
      <c r="AO371" s="255"/>
      <c r="AP371" s="254">
        <f t="shared" si="162"/>
        <v>0</v>
      </c>
      <c r="AQ371" s="255"/>
      <c r="AR371" s="254">
        <f t="shared" si="163"/>
        <v>0</v>
      </c>
      <c r="AS371" s="255"/>
      <c r="AT371" s="254">
        <f t="shared" si="164"/>
        <v>0</v>
      </c>
      <c r="AU371" s="59"/>
      <c r="AV371" s="257">
        <f t="shared" si="159"/>
        <v>0</v>
      </c>
      <c r="AW371" s="382"/>
      <c r="AX371" s="257">
        <f t="shared" si="160"/>
        <v>0</v>
      </c>
      <c r="AY371" s="268"/>
      <c r="AZ371" s="257">
        <f t="shared" si="161"/>
        <v>0</v>
      </c>
      <c r="BA371" s="59"/>
      <c r="BB371" s="257">
        <f t="shared" si="165"/>
        <v>0</v>
      </c>
      <c r="BC371" s="59"/>
      <c r="BD371" s="257">
        <f t="shared" si="166"/>
        <v>0</v>
      </c>
      <c r="BE371" s="268">
        <v>120</v>
      </c>
      <c r="BF371" s="257">
        <f t="shared" si="167"/>
        <v>240</v>
      </c>
      <c r="BG371" s="256">
        <v>920</v>
      </c>
      <c r="BH371" s="257">
        <f t="shared" si="168"/>
        <v>1840</v>
      </c>
      <c r="BI371" s="268">
        <v>2160</v>
      </c>
      <c r="BJ371" s="257">
        <f t="shared" si="169"/>
        <v>4320</v>
      </c>
      <c r="BK371" s="268">
        <v>2560</v>
      </c>
      <c r="BL371" s="257">
        <f t="shared" si="170"/>
        <v>5120</v>
      </c>
      <c r="BM371" s="1" t="s">
        <v>927</v>
      </c>
      <c r="BN371" s="1" t="s">
        <v>532</v>
      </c>
      <c r="BO371" s="1" t="s">
        <v>457</v>
      </c>
      <c r="BP371" s="378" t="s">
        <v>928</v>
      </c>
    </row>
    <row r="372" spans="1:68" ht="15">
      <c r="A372" s="250" t="s">
        <v>451</v>
      </c>
      <c r="B372" s="59" t="s">
        <v>221</v>
      </c>
      <c r="C372" s="354" t="s">
        <v>172</v>
      </c>
      <c r="D372" s="419"/>
      <c r="E372" s="281" t="s">
        <v>332</v>
      </c>
      <c r="F372" s="422"/>
      <c r="G372" s="317">
        <v>2023</v>
      </c>
      <c r="H372" s="323" t="s">
        <v>419</v>
      </c>
      <c r="I372" s="332" t="s">
        <v>183</v>
      </c>
      <c r="J372" s="331">
        <v>15</v>
      </c>
      <c r="K372" s="328" t="s">
        <v>857</v>
      </c>
      <c r="L372" s="323" t="s">
        <v>464</v>
      </c>
      <c r="M372" s="303" t="s">
        <v>933</v>
      </c>
      <c r="N372" s="303">
        <v>9</v>
      </c>
      <c r="O372" s="303">
        <v>9.5</v>
      </c>
      <c r="P372" s="303">
        <v>10.8</v>
      </c>
      <c r="Q372" s="303">
        <v>10.8</v>
      </c>
      <c r="R372" s="303">
        <v>10.8</v>
      </c>
      <c r="S372" s="303">
        <v>10.8</v>
      </c>
      <c r="T372" s="303">
        <v>10.8</v>
      </c>
      <c r="U372" s="303">
        <v>10.8</v>
      </c>
      <c r="V372" s="303">
        <v>10.8</v>
      </c>
      <c r="W372" s="303">
        <v>10.8</v>
      </c>
      <c r="X372" s="303">
        <v>9.5</v>
      </c>
      <c r="Y372" s="303">
        <v>9.5</v>
      </c>
      <c r="Z372" s="303">
        <v>9.5</v>
      </c>
      <c r="AA372" s="303">
        <v>9.5</v>
      </c>
      <c r="AB372" s="59">
        <v>1.7</v>
      </c>
      <c r="AC372" s="59">
        <v>2.3500000000000014</v>
      </c>
      <c r="AD372" s="59">
        <v>2.3500000000000014</v>
      </c>
      <c r="AE372" s="59">
        <v>2.3500000000000014</v>
      </c>
      <c r="AF372" s="59">
        <v>2.3500000000000014</v>
      </c>
      <c r="AG372" s="59">
        <v>2.3500000000000014</v>
      </c>
      <c r="AH372" s="59">
        <v>2.3500000000000014</v>
      </c>
      <c r="AI372" s="59">
        <v>2.3500000000000014</v>
      </c>
      <c r="AJ372" s="59">
        <v>2.3500000000000014</v>
      </c>
      <c r="AK372" s="59">
        <v>1.7000000000000002</v>
      </c>
      <c r="AL372" s="59">
        <v>1.7000000000000002</v>
      </c>
      <c r="AM372" s="59">
        <v>1.7000000000000002</v>
      </c>
      <c r="AN372" s="59">
        <v>1.7000000000000002</v>
      </c>
      <c r="AO372" s="255"/>
      <c r="AP372" s="254">
        <f t="shared" si="162"/>
        <v>0</v>
      </c>
      <c r="AQ372" s="255"/>
      <c r="AR372" s="254">
        <f t="shared" si="163"/>
        <v>0</v>
      </c>
      <c r="AS372" s="255"/>
      <c r="AT372" s="254">
        <f t="shared" si="164"/>
        <v>0</v>
      </c>
      <c r="AU372" s="59"/>
      <c r="AV372" s="257">
        <f t="shared" si="159"/>
        <v>0</v>
      </c>
      <c r="AW372" s="382"/>
      <c r="AX372" s="257">
        <f t="shared" si="160"/>
        <v>0</v>
      </c>
      <c r="AY372" s="268"/>
      <c r="AZ372" s="257">
        <f t="shared" si="161"/>
        <v>0</v>
      </c>
      <c r="BA372" s="59"/>
      <c r="BB372" s="257">
        <f t="shared" si="165"/>
        <v>0</v>
      </c>
      <c r="BC372" s="59"/>
      <c r="BD372" s="257">
        <f t="shared" si="166"/>
        <v>0</v>
      </c>
      <c r="BE372" s="268">
        <v>640</v>
      </c>
      <c r="BF372" s="257">
        <f t="shared" si="167"/>
        <v>1088</v>
      </c>
      <c r="BG372" s="256">
        <v>920</v>
      </c>
      <c r="BH372" s="257">
        <f t="shared" si="168"/>
        <v>1564.0000000000002</v>
      </c>
      <c r="BI372" s="268">
        <v>1600</v>
      </c>
      <c r="BJ372" s="257">
        <f t="shared" si="169"/>
        <v>2720.0000000000005</v>
      </c>
      <c r="BK372" s="268">
        <v>1040</v>
      </c>
      <c r="BL372" s="257">
        <f t="shared" si="170"/>
        <v>1768.0000000000002</v>
      </c>
      <c r="BM372" s="1" t="s">
        <v>929</v>
      </c>
      <c r="BN372" s="1" t="s">
        <v>532</v>
      </c>
      <c r="BO372" s="1" t="s">
        <v>457</v>
      </c>
      <c r="BP372" s="378" t="s">
        <v>930</v>
      </c>
    </row>
    <row r="373" spans="1:68" ht="15">
      <c r="A373" s="250" t="s">
        <v>451</v>
      </c>
      <c r="B373" s="59" t="s">
        <v>221</v>
      </c>
      <c r="C373" s="354" t="s">
        <v>172</v>
      </c>
      <c r="D373" s="419"/>
      <c r="E373" s="281" t="s">
        <v>332</v>
      </c>
      <c r="F373" s="422"/>
      <c r="G373" s="317">
        <v>2023</v>
      </c>
      <c r="H373" s="323" t="s">
        <v>419</v>
      </c>
      <c r="I373" s="332" t="s">
        <v>183</v>
      </c>
      <c r="J373" s="331">
        <v>15</v>
      </c>
      <c r="K373" s="323" t="s">
        <v>637</v>
      </c>
      <c r="L373" s="323" t="s">
        <v>464</v>
      </c>
      <c r="M373" s="303" t="s">
        <v>933</v>
      </c>
      <c r="N373" s="303">
        <v>9</v>
      </c>
      <c r="O373" s="303">
        <v>9.5</v>
      </c>
      <c r="P373" s="303">
        <v>10.8</v>
      </c>
      <c r="Q373" s="303">
        <v>10.8</v>
      </c>
      <c r="R373" s="303">
        <v>10.8</v>
      </c>
      <c r="S373" s="303">
        <v>10.8</v>
      </c>
      <c r="T373" s="303">
        <v>10.8</v>
      </c>
      <c r="U373" s="303">
        <v>10.8</v>
      </c>
      <c r="V373" s="303">
        <v>10.8</v>
      </c>
      <c r="W373" s="303">
        <v>10.8</v>
      </c>
      <c r="X373" s="303">
        <v>9.5</v>
      </c>
      <c r="Y373" s="303">
        <v>9.5</v>
      </c>
      <c r="Z373" s="303">
        <v>9.5</v>
      </c>
      <c r="AA373" s="303">
        <v>9.5</v>
      </c>
      <c r="AB373" s="59">
        <v>2</v>
      </c>
      <c r="AC373" s="59">
        <v>2.3500000000000014</v>
      </c>
      <c r="AD373" s="59">
        <v>2.3500000000000014</v>
      </c>
      <c r="AE373" s="59">
        <v>2.3500000000000014</v>
      </c>
      <c r="AF373" s="59">
        <v>2.3500000000000014</v>
      </c>
      <c r="AG373" s="59">
        <v>2.3500000000000014</v>
      </c>
      <c r="AH373" s="59">
        <v>2.3500000000000014</v>
      </c>
      <c r="AI373" s="59">
        <v>2.3500000000000014</v>
      </c>
      <c r="AJ373" s="59">
        <v>2.3500000000000014</v>
      </c>
      <c r="AK373" s="59">
        <v>2</v>
      </c>
      <c r="AL373" s="59">
        <v>2</v>
      </c>
      <c r="AM373" s="59">
        <v>2</v>
      </c>
      <c r="AN373" s="59">
        <v>2</v>
      </c>
      <c r="AO373" s="255"/>
      <c r="AP373" s="254">
        <f t="shared" si="162"/>
        <v>0</v>
      </c>
      <c r="AQ373" s="255"/>
      <c r="AR373" s="254">
        <f t="shared" si="163"/>
        <v>0</v>
      </c>
      <c r="AS373" s="255"/>
      <c r="AT373" s="254">
        <f t="shared" si="164"/>
        <v>0</v>
      </c>
      <c r="AU373" s="59"/>
      <c r="AV373" s="257">
        <f t="shared" si="159"/>
        <v>0</v>
      </c>
      <c r="AW373" s="382"/>
      <c r="AX373" s="257">
        <f t="shared" si="160"/>
        <v>0</v>
      </c>
      <c r="AY373" s="268"/>
      <c r="AZ373" s="257">
        <f t="shared" si="161"/>
        <v>0</v>
      </c>
      <c r="BA373" s="59"/>
      <c r="BB373" s="257">
        <f t="shared" si="165"/>
        <v>0</v>
      </c>
      <c r="BC373" s="59"/>
      <c r="BD373" s="257">
        <f t="shared" si="166"/>
        <v>0</v>
      </c>
      <c r="BE373" s="268"/>
      <c r="BF373" s="257">
        <f t="shared" si="167"/>
        <v>0</v>
      </c>
      <c r="BG373" s="59"/>
      <c r="BH373" s="257">
        <f t="shared" si="168"/>
        <v>0</v>
      </c>
      <c r="BI373" s="268"/>
      <c r="BJ373" s="257">
        <f t="shared" si="169"/>
        <v>0</v>
      </c>
      <c r="BK373" s="268"/>
      <c r="BL373" s="257">
        <f t="shared" si="170"/>
        <v>0</v>
      </c>
      <c r="BM373" s="1" t="s">
        <v>931</v>
      </c>
      <c r="BN373" s="1" t="s">
        <v>532</v>
      </c>
      <c r="BO373" s="1" t="s">
        <v>457</v>
      </c>
      <c r="BP373" s="378" t="s">
        <v>932</v>
      </c>
    </row>
    <row r="374" spans="1:68" ht="15" thickBot="1">
      <c r="A374" s="250"/>
      <c r="C374" s="354"/>
      <c r="D374" s="420"/>
      <c r="E374" s="282"/>
      <c r="F374" s="422"/>
      <c r="G374" s="59"/>
      <c r="H374" s="59"/>
      <c r="I374" s="59"/>
      <c r="J374" s="302"/>
      <c r="K374" s="59"/>
      <c r="L374" s="59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  <c r="AA374" s="300"/>
      <c r="AB374" s="300"/>
      <c r="AC374" s="301"/>
      <c r="AD374" s="301"/>
      <c r="AE374" s="301"/>
      <c r="AF374" s="59"/>
      <c r="AG374" s="59"/>
      <c r="AH374" s="59"/>
      <c r="AI374" s="59"/>
      <c r="AJ374" s="59"/>
      <c r="AK374" s="59"/>
      <c r="AL374" s="59"/>
      <c r="AM374" s="59"/>
      <c r="AN374" s="59"/>
      <c r="AO374" s="255"/>
      <c r="AP374" s="254">
        <f t="shared" ref="AP374" si="171">AC374*AO374</f>
        <v>0</v>
      </c>
      <c r="AQ374" s="255"/>
      <c r="AR374" s="254">
        <f t="shared" ref="AR374" si="172">AD374*AQ374</f>
        <v>0</v>
      </c>
      <c r="AS374" s="255"/>
      <c r="AT374" s="254">
        <f t="shared" ref="AT374" si="173">AE374*AS374</f>
        <v>0</v>
      </c>
      <c r="AU374" s="59"/>
      <c r="AV374" s="257">
        <f t="shared" ref="AV374" si="174">AF374*AU374</f>
        <v>0</v>
      </c>
      <c r="AW374" s="382"/>
      <c r="AX374" s="257">
        <f t="shared" ref="AX374" si="175">AG374*AW374</f>
        <v>0</v>
      </c>
      <c r="AY374" s="268"/>
      <c r="AZ374" s="257">
        <f t="shared" ref="AZ374" si="176">AH374*AY374</f>
        <v>0</v>
      </c>
      <c r="BA374" s="59"/>
      <c r="BB374" s="257">
        <f t="shared" ref="BB374" si="177">AI374*BA374</f>
        <v>0</v>
      </c>
      <c r="BC374" s="59"/>
      <c r="BD374" s="257">
        <f t="shared" ref="BD374" si="178">AJ374*BC374</f>
        <v>0</v>
      </c>
      <c r="BE374" s="268"/>
      <c r="BF374" s="257">
        <f t="shared" ref="BF374" si="179">AK374*BE374</f>
        <v>0</v>
      </c>
      <c r="BG374" s="59"/>
      <c r="BH374" s="257">
        <f t="shared" ref="BH374" si="180">AL374*BG374</f>
        <v>0</v>
      </c>
      <c r="BI374" s="268"/>
      <c r="BJ374" s="257">
        <f t="shared" ref="BJ374" si="181">AM374*BI374</f>
        <v>0</v>
      </c>
      <c r="BK374" s="268"/>
      <c r="BL374" s="257">
        <f t="shared" ref="BL374" si="182">AN374*BK374</f>
        <v>0</v>
      </c>
    </row>
  </sheetData>
  <autoFilter ref="A2:BP374" xr:uid="{00000000-0009-0000-0000-000009000000}"/>
  <mergeCells count="25">
    <mergeCell ref="D257:D275"/>
    <mergeCell ref="E257:E275"/>
    <mergeCell ref="F257:F275"/>
    <mergeCell ref="D276:D374"/>
    <mergeCell ref="F276:F374"/>
    <mergeCell ref="D3:D169"/>
    <mergeCell ref="F3:F5"/>
    <mergeCell ref="F6:F19"/>
    <mergeCell ref="F20:F39"/>
    <mergeCell ref="F40:F48"/>
    <mergeCell ref="F49:F50"/>
    <mergeCell ref="F51:F65"/>
    <mergeCell ref="F66:F67"/>
    <mergeCell ref="F68:F71"/>
    <mergeCell ref="F72:F102"/>
    <mergeCell ref="F103:F169"/>
    <mergeCell ref="D170:D256"/>
    <mergeCell ref="F170:F181"/>
    <mergeCell ref="F182:F185"/>
    <mergeCell ref="F186:F203"/>
    <mergeCell ref="F204:F206"/>
    <mergeCell ref="F207:F221"/>
    <mergeCell ref="F222:F223"/>
    <mergeCell ref="F224:F249"/>
    <mergeCell ref="F250:F256"/>
  </mergeCells>
  <phoneticPr fontId="3" type="noConversion"/>
  <conditionalFormatting sqref="G3:G4">
    <cfRule type="duplicateValues" dxfId="262" priority="114"/>
  </conditionalFormatting>
  <conditionalFormatting sqref="G6">
    <cfRule type="duplicateValues" dxfId="261" priority="105"/>
  </conditionalFormatting>
  <conditionalFormatting sqref="G7">
    <cfRule type="duplicateValues" dxfId="260" priority="104"/>
  </conditionalFormatting>
  <conditionalFormatting sqref="G8">
    <cfRule type="duplicateValues" dxfId="259" priority="81"/>
  </conditionalFormatting>
  <conditionalFormatting sqref="G9">
    <cfRule type="duplicateValues" dxfId="258" priority="88"/>
  </conditionalFormatting>
  <conditionalFormatting sqref="G10">
    <cfRule type="duplicateValues" dxfId="257" priority="87"/>
  </conditionalFormatting>
  <conditionalFormatting sqref="G11">
    <cfRule type="duplicateValues" dxfId="256" priority="80"/>
  </conditionalFormatting>
  <conditionalFormatting sqref="G12">
    <cfRule type="duplicateValues" dxfId="255" priority="86"/>
  </conditionalFormatting>
  <conditionalFormatting sqref="G13">
    <cfRule type="duplicateValues" dxfId="254" priority="85"/>
  </conditionalFormatting>
  <conditionalFormatting sqref="G14">
    <cfRule type="duplicateValues" dxfId="253" priority="79"/>
  </conditionalFormatting>
  <conditionalFormatting sqref="G15 G18">
    <cfRule type="duplicateValues" dxfId="252" priority="84"/>
  </conditionalFormatting>
  <conditionalFormatting sqref="G16">
    <cfRule type="duplicateValues" dxfId="251" priority="78"/>
  </conditionalFormatting>
  <conditionalFormatting sqref="G17">
    <cfRule type="duplicateValues" dxfId="250" priority="77"/>
  </conditionalFormatting>
  <conditionalFormatting sqref="G19">
    <cfRule type="duplicateValues" dxfId="249" priority="82"/>
  </conditionalFormatting>
  <conditionalFormatting sqref="G20">
    <cfRule type="duplicateValues" dxfId="248" priority="102"/>
  </conditionalFormatting>
  <conditionalFormatting sqref="G21">
    <cfRule type="duplicateValues" dxfId="247" priority="73"/>
  </conditionalFormatting>
  <conditionalFormatting sqref="G22">
    <cfRule type="duplicateValues" dxfId="246" priority="74"/>
  </conditionalFormatting>
  <conditionalFormatting sqref="G23">
    <cfRule type="duplicateValues" dxfId="245" priority="76"/>
    <cfRule type="duplicateValues" dxfId="244" priority="98"/>
  </conditionalFormatting>
  <conditionalFormatting sqref="G24">
    <cfRule type="duplicateValues" dxfId="243" priority="70"/>
    <cfRule type="duplicateValues" dxfId="242" priority="71"/>
  </conditionalFormatting>
  <conditionalFormatting sqref="G25">
    <cfRule type="duplicateValues" dxfId="241" priority="72"/>
  </conditionalFormatting>
  <conditionalFormatting sqref="G32">
    <cfRule type="duplicateValues" dxfId="240" priority="38"/>
  </conditionalFormatting>
  <conditionalFormatting sqref="G33">
    <cfRule type="duplicateValues" dxfId="239" priority="34"/>
  </conditionalFormatting>
  <conditionalFormatting sqref="G34">
    <cfRule type="duplicateValues" dxfId="238" priority="35"/>
  </conditionalFormatting>
  <conditionalFormatting sqref="G35">
    <cfRule type="duplicateValues" dxfId="237" priority="36"/>
    <cfRule type="duplicateValues" dxfId="236" priority="37"/>
  </conditionalFormatting>
  <conditionalFormatting sqref="G36">
    <cfRule type="duplicateValues" dxfId="235" priority="31"/>
    <cfRule type="duplicateValues" dxfId="234" priority="32"/>
  </conditionalFormatting>
  <conditionalFormatting sqref="G37">
    <cfRule type="duplicateValues" dxfId="233" priority="33"/>
  </conditionalFormatting>
  <conditionalFormatting sqref="G40">
    <cfRule type="duplicateValues" dxfId="232" priority="103"/>
  </conditionalFormatting>
  <conditionalFormatting sqref="G41">
    <cfRule type="duplicateValues" dxfId="231" priority="44"/>
  </conditionalFormatting>
  <conditionalFormatting sqref="G42">
    <cfRule type="duplicateValues" dxfId="230" priority="42"/>
  </conditionalFormatting>
  <conditionalFormatting sqref="G43">
    <cfRule type="duplicateValues" dxfId="229" priority="45"/>
    <cfRule type="duplicateValues" dxfId="228" priority="48"/>
  </conditionalFormatting>
  <conditionalFormatting sqref="G44">
    <cfRule type="duplicateValues" dxfId="227" priority="22"/>
  </conditionalFormatting>
  <conditionalFormatting sqref="G45">
    <cfRule type="duplicateValues" dxfId="226" priority="19"/>
  </conditionalFormatting>
  <conditionalFormatting sqref="G46">
    <cfRule type="duplicateValues" dxfId="225" priority="18"/>
  </conditionalFormatting>
  <conditionalFormatting sqref="G47">
    <cfRule type="duplicateValues" dxfId="224" priority="20"/>
    <cfRule type="duplicateValues" dxfId="223" priority="21"/>
  </conditionalFormatting>
  <conditionalFormatting sqref="G48">
    <cfRule type="duplicateValues" dxfId="222" priority="47"/>
  </conditionalFormatting>
  <conditionalFormatting sqref="G49">
    <cfRule type="duplicateValues" dxfId="221" priority="111"/>
  </conditionalFormatting>
  <conditionalFormatting sqref="G51">
    <cfRule type="duplicateValues" dxfId="220" priority="108"/>
  </conditionalFormatting>
  <conditionalFormatting sqref="G52">
    <cfRule type="duplicateValues" dxfId="219" priority="68"/>
  </conditionalFormatting>
  <conditionalFormatting sqref="G53">
    <cfRule type="duplicateValues" dxfId="218" priority="67"/>
  </conditionalFormatting>
  <conditionalFormatting sqref="G54">
    <cfRule type="duplicateValues" dxfId="217" priority="66"/>
  </conditionalFormatting>
  <conditionalFormatting sqref="G55">
    <cfRule type="duplicateValues" dxfId="216" priority="41"/>
  </conditionalFormatting>
  <conditionalFormatting sqref="G56">
    <cfRule type="duplicateValues" dxfId="215" priority="40"/>
  </conditionalFormatting>
  <conditionalFormatting sqref="G57">
    <cfRule type="duplicateValues" dxfId="214" priority="115"/>
  </conditionalFormatting>
  <conditionalFormatting sqref="G58">
    <cfRule type="duplicateValues" dxfId="213" priority="39"/>
  </conditionalFormatting>
  <conditionalFormatting sqref="G64">
    <cfRule type="duplicateValues" dxfId="212" priority="60"/>
  </conditionalFormatting>
  <conditionalFormatting sqref="G65">
    <cfRule type="duplicateValues" dxfId="211" priority="107"/>
  </conditionalFormatting>
  <conditionalFormatting sqref="G66">
    <cfRule type="duplicateValues" dxfId="210" priority="106"/>
  </conditionalFormatting>
  <conditionalFormatting sqref="G68">
    <cfRule type="duplicateValues" dxfId="209" priority="110"/>
  </conditionalFormatting>
  <conditionalFormatting sqref="G182">
    <cfRule type="duplicateValues" dxfId="208" priority="109"/>
  </conditionalFormatting>
  <conditionalFormatting sqref="G193">
    <cfRule type="duplicateValues" dxfId="207" priority="90"/>
  </conditionalFormatting>
  <conditionalFormatting sqref="G194">
    <cfRule type="duplicateValues" dxfId="206" priority="89"/>
  </conditionalFormatting>
  <conditionalFormatting sqref="G195">
    <cfRule type="duplicateValues" dxfId="205" priority="28"/>
  </conditionalFormatting>
  <conditionalFormatting sqref="G196">
    <cfRule type="duplicateValues" dxfId="204" priority="27"/>
  </conditionalFormatting>
  <conditionalFormatting sqref="G197">
    <cfRule type="duplicateValues" dxfId="203" priority="25"/>
  </conditionalFormatting>
  <conditionalFormatting sqref="G201">
    <cfRule type="duplicateValues" dxfId="202" priority="97"/>
  </conditionalFormatting>
  <conditionalFormatting sqref="G202">
    <cfRule type="duplicateValues" dxfId="201" priority="96"/>
  </conditionalFormatting>
  <conditionalFormatting sqref="G212">
    <cfRule type="duplicateValues" dxfId="200" priority="95"/>
  </conditionalFormatting>
  <conditionalFormatting sqref="G213">
    <cfRule type="duplicateValues" dxfId="199" priority="59"/>
  </conditionalFormatting>
  <conditionalFormatting sqref="G214">
    <cfRule type="duplicateValues" dxfId="198" priority="57"/>
  </conditionalFormatting>
  <conditionalFormatting sqref="G215">
    <cfRule type="duplicateValues" dxfId="197" priority="30"/>
  </conditionalFormatting>
  <conditionalFormatting sqref="G216">
    <cfRule type="duplicateValues" dxfId="196" priority="29"/>
  </conditionalFormatting>
  <conditionalFormatting sqref="G217">
    <cfRule type="duplicateValues" dxfId="195" priority="24"/>
  </conditionalFormatting>
  <conditionalFormatting sqref="G218">
    <cfRule type="duplicateValues" dxfId="194" priority="23"/>
  </conditionalFormatting>
  <conditionalFormatting sqref="G219">
    <cfRule type="duplicateValues" dxfId="193" priority="94"/>
  </conditionalFormatting>
  <conditionalFormatting sqref="G237">
    <cfRule type="duplicateValues" dxfId="192" priority="56"/>
  </conditionalFormatting>
  <conditionalFormatting sqref="G238">
    <cfRule type="duplicateValues" dxfId="191" priority="55"/>
  </conditionalFormatting>
  <conditionalFormatting sqref="G239">
    <cfRule type="duplicateValues" dxfId="190" priority="54"/>
  </conditionalFormatting>
  <conditionalFormatting sqref="G240">
    <cfRule type="duplicateValues" dxfId="189" priority="53"/>
  </conditionalFormatting>
  <conditionalFormatting sqref="G241">
    <cfRule type="duplicateValues" dxfId="188" priority="52"/>
  </conditionalFormatting>
  <conditionalFormatting sqref="G242">
    <cfRule type="duplicateValues" dxfId="187" priority="51"/>
  </conditionalFormatting>
  <conditionalFormatting sqref="G243">
    <cfRule type="duplicateValues" dxfId="186" priority="50"/>
  </conditionalFormatting>
  <conditionalFormatting sqref="G244">
    <cfRule type="duplicateValues" dxfId="185" priority="49"/>
  </conditionalFormatting>
  <conditionalFormatting sqref="G249">
    <cfRule type="duplicateValues" dxfId="184" priority="91"/>
  </conditionalFormatting>
  <conditionalFormatting sqref="G245">
    <cfRule type="duplicateValues" dxfId="183" priority="17"/>
  </conditionalFormatting>
  <conditionalFormatting sqref="G246">
    <cfRule type="duplicateValues" dxfId="182" priority="16"/>
  </conditionalFormatting>
  <conditionalFormatting sqref="G247">
    <cfRule type="duplicateValues" dxfId="181" priority="15"/>
  </conditionalFormatting>
  <conditionalFormatting sqref="G248">
    <cfRule type="duplicateValues" dxfId="180" priority="14"/>
  </conditionalFormatting>
  <conditionalFormatting sqref="G59">
    <cfRule type="duplicateValues" dxfId="179" priority="12"/>
  </conditionalFormatting>
  <conditionalFormatting sqref="G60">
    <cfRule type="duplicateValues" dxfId="178" priority="11"/>
  </conditionalFormatting>
  <conditionalFormatting sqref="G61">
    <cfRule type="duplicateValues" dxfId="177" priority="10"/>
  </conditionalFormatting>
  <conditionalFormatting sqref="G62">
    <cfRule type="duplicateValues" dxfId="176" priority="13"/>
  </conditionalFormatting>
  <conditionalFormatting sqref="G63">
    <cfRule type="duplicateValues" dxfId="175" priority="9"/>
  </conditionalFormatting>
  <conditionalFormatting sqref="G26">
    <cfRule type="duplicateValues" dxfId="174" priority="8"/>
  </conditionalFormatting>
  <conditionalFormatting sqref="G27">
    <cfRule type="duplicateValues" dxfId="173" priority="4"/>
  </conditionalFormatting>
  <conditionalFormatting sqref="G28">
    <cfRule type="duplicateValues" dxfId="172" priority="5"/>
  </conditionalFormatting>
  <conditionalFormatting sqref="G29">
    <cfRule type="duplicateValues" dxfId="171" priority="6"/>
    <cfRule type="duplicateValues" dxfId="170" priority="7"/>
  </conditionalFormatting>
  <conditionalFormatting sqref="G30">
    <cfRule type="duplicateValues" dxfId="169" priority="1"/>
    <cfRule type="duplicateValues" dxfId="168" priority="2"/>
  </conditionalFormatting>
  <conditionalFormatting sqref="G31">
    <cfRule type="duplicateValues" dxfId="167" priority="3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Ibp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28"/>
  <sheetViews>
    <sheetView zoomScale="80" zoomScaleNormal="80" workbookViewId="0">
      <selection activeCell="I29" sqref="I29"/>
    </sheetView>
  </sheetViews>
  <sheetFormatPr defaultRowHeight="17.100000000000001"/>
  <cols>
    <col min="2" max="2" width="16.5" customWidth="1"/>
    <col min="3" max="3" width="17.125" customWidth="1"/>
    <col min="4" max="4" width="14.375" customWidth="1"/>
    <col min="5" max="5" width="14.125" customWidth="1"/>
    <col min="6" max="6" width="18.375" customWidth="1"/>
  </cols>
  <sheetData>
    <row r="2" spans="2:8" ht="17.45" thickBot="1"/>
    <row r="3" spans="2:8" ht="17.45" thickBot="1">
      <c r="B3" s="149" t="s">
        <v>30</v>
      </c>
      <c r="C3" s="144" t="s">
        <v>934</v>
      </c>
      <c r="D3" s="144" t="s">
        <v>935</v>
      </c>
      <c r="E3" s="145" t="s">
        <v>936</v>
      </c>
      <c r="F3" s="144" t="s">
        <v>34</v>
      </c>
      <c r="H3" s="150"/>
    </row>
    <row r="4" spans="2:8" ht="17.45" thickBot="1">
      <c r="B4" s="143" t="s">
        <v>35</v>
      </c>
      <c r="C4" s="144">
        <f>SUM('FY26'!AM1)</f>
        <v>401758.22999999992</v>
      </c>
      <c r="D4" s="144">
        <f>SUM('FY26'!AO1)</f>
        <v>419280.00999999995</v>
      </c>
      <c r="E4" s="145">
        <f>SUM('FY26'!AQ1)</f>
        <v>275592.62000000005</v>
      </c>
      <c r="F4" s="144">
        <f>SUM(C4:E4)</f>
        <v>1096630.8599999999</v>
      </c>
    </row>
    <row r="5" spans="2:8" ht="17.45" thickBot="1">
      <c r="B5" s="143" t="s">
        <v>36</v>
      </c>
      <c r="C5" s="144">
        <v>0</v>
      </c>
      <c r="D5" s="144">
        <v>0</v>
      </c>
      <c r="E5" s="145">
        <v>0</v>
      </c>
      <c r="F5" s="144">
        <f t="shared" ref="F5:F6" si="0">SUM(C5:E5)</f>
        <v>0</v>
      </c>
    </row>
    <row r="6" spans="2:8" ht="17.45" thickBot="1">
      <c r="B6" s="146" t="s">
        <v>37</v>
      </c>
      <c r="C6" s="147">
        <v>0</v>
      </c>
      <c r="D6" s="147">
        <v>0</v>
      </c>
      <c r="E6" s="148">
        <v>0</v>
      </c>
      <c r="F6" s="144">
        <f t="shared" si="0"/>
        <v>0</v>
      </c>
      <c r="H6" t="s">
        <v>38</v>
      </c>
    </row>
    <row r="7" spans="2:8" ht="17.45" thickBot="1">
      <c r="B7" s="143" t="s">
        <v>39</v>
      </c>
      <c r="C7" s="144">
        <f>SUM(C4:C6)</f>
        <v>401758.22999999992</v>
      </c>
      <c r="D7" s="144">
        <f t="shared" ref="D7:F7" si="1">SUM(D4:D6)</f>
        <v>419280.00999999995</v>
      </c>
      <c r="E7" s="144">
        <f t="shared" si="1"/>
        <v>275592.62000000005</v>
      </c>
      <c r="F7" s="144">
        <f t="shared" si="1"/>
        <v>1096630.8599999999</v>
      </c>
    </row>
    <row r="8" spans="2:8">
      <c r="H8" t="s">
        <v>40</v>
      </c>
    </row>
    <row r="9" spans="2:8" ht="17.45" thickBot="1"/>
    <row r="10" spans="2:8" ht="17.45" thickBot="1">
      <c r="B10" s="149" t="s">
        <v>30</v>
      </c>
      <c r="C10" s="144" t="s">
        <v>937</v>
      </c>
      <c r="D10" s="144" t="s">
        <v>938</v>
      </c>
      <c r="E10" s="145" t="s">
        <v>939</v>
      </c>
      <c r="F10" s="144" t="s">
        <v>44</v>
      </c>
      <c r="H10" t="s">
        <v>45</v>
      </c>
    </row>
    <row r="11" spans="2:8" ht="17.45" thickBot="1">
      <c r="B11" s="143" t="s">
        <v>35</v>
      </c>
      <c r="C11" s="144">
        <f>SUM('FY26'!AS1)</f>
        <v>10825.800000000003</v>
      </c>
      <c r="D11" s="144">
        <f>SUM('FY26'!AU1)</f>
        <v>540386.12999999977</v>
      </c>
      <c r="E11" s="145">
        <f>SUM('FY26'!AW1)</f>
        <v>420491.80000000005</v>
      </c>
      <c r="F11" s="144">
        <f>SUM(C11:E11)</f>
        <v>971703.72999999986</v>
      </c>
    </row>
    <row r="12" spans="2:8" ht="17.45" thickBot="1">
      <c r="B12" s="143" t="s">
        <v>36</v>
      </c>
      <c r="C12" s="144">
        <v>0</v>
      </c>
      <c r="D12" s="144">
        <v>0</v>
      </c>
      <c r="E12" s="145">
        <v>0</v>
      </c>
      <c r="F12" s="144">
        <f t="shared" ref="F12:F13" si="2">SUM(C12:E12)</f>
        <v>0</v>
      </c>
      <c r="H12" t="s">
        <v>46</v>
      </c>
    </row>
    <row r="13" spans="2:8" ht="17.45" thickBot="1">
      <c r="B13" s="146" t="s">
        <v>37</v>
      </c>
      <c r="C13" s="147">
        <v>0</v>
      </c>
      <c r="D13" s="147">
        <v>0</v>
      </c>
      <c r="E13" s="148">
        <v>0</v>
      </c>
      <c r="F13" s="144">
        <f t="shared" si="2"/>
        <v>0</v>
      </c>
    </row>
    <row r="14" spans="2:8" ht="17.45" thickBot="1">
      <c r="B14" s="143" t="s">
        <v>39</v>
      </c>
      <c r="C14" s="144">
        <f>SUM(C11:C13)</f>
        <v>10825.800000000003</v>
      </c>
      <c r="D14" s="144">
        <f t="shared" ref="D14:F14" si="3">SUM(D11:D13)</f>
        <v>540386.12999999977</v>
      </c>
      <c r="E14" s="144">
        <f t="shared" si="3"/>
        <v>420491.80000000005</v>
      </c>
      <c r="F14" s="144">
        <f t="shared" si="3"/>
        <v>971703.72999999986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149" t="s">
        <v>30</v>
      </c>
      <c r="C17" s="144" t="s">
        <v>940</v>
      </c>
      <c r="D17" s="144" t="s">
        <v>941</v>
      </c>
      <c r="E17" s="145" t="s">
        <v>942</v>
      </c>
      <c r="F17" s="144" t="s">
        <v>52</v>
      </c>
      <c r="H17" t="s">
        <v>53</v>
      </c>
    </row>
    <row r="18" spans="2:8" ht="17.45" thickBot="1">
      <c r="B18" s="143" t="s">
        <v>35</v>
      </c>
      <c r="C18" s="144">
        <f>SUM('FY26'!AY1)</f>
        <v>419457.07999999996</v>
      </c>
      <c r="D18" s="144">
        <f>SUM('FY26'!BA1)</f>
        <v>505177.60000000003</v>
      </c>
      <c r="E18" s="145">
        <f>SUM('FY26'!BC1)</f>
        <v>424442.96</v>
      </c>
      <c r="F18" s="144">
        <f>SUM(C18:E18)</f>
        <v>1349077.64</v>
      </c>
    </row>
    <row r="19" spans="2:8" ht="17.45" thickBot="1">
      <c r="B19" s="143" t="s">
        <v>36</v>
      </c>
      <c r="C19" s="144">
        <v>0</v>
      </c>
      <c r="D19" s="144">
        <v>0</v>
      </c>
      <c r="E19" s="145">
        <v>0</v>
      </c>
      <c r="F19" s="144">
        <f t="shared" ref="F19:F20" si="4">SUM(C19:E19)</f>
        <v>0</v>
      </c>
    </row>
    <row r="20" spans="2:8" ht="17.45" thickBot="1">
      <c r="B20" s="146" t="s">
        <v>37</v>
      </c>
      <c r="C20" s="147">
        <v>0</v>
      </c>
      <c r="D20" s="147">
        <v>0</v>
      </c>
      <c r="E20" s="148">
        <v>0</v>
      </c>
      <c r="F20" s="144">
        <f t="shared" si="4"/>
        <v>0</v>
      </c>
    </row>
    <row r="21" spans="2:8" ht="17.45" thickBot="1">
      <c r="B21" s="143" t="s">
        <v>39</v>
      </c>
      <c r="C21" s="144">
        <f>SUM(C18:C20)</f>
        <v>419457.07999999996</v>
      </c>
      <c r="D21" s="144">
        <f t="shared" ref="D21:F21" si="5">SUM(D18:D20)</f>
        <v>505177.60000000003</v>
      </c>
      <c r="E21" s="144">
        <f t="shared" si="5"/>
        <v>424442.96</v>
      </c>
      <c r="F21" s="144">
        <f t="shared" si="5"/>
        <v>1349077.64</v>
      </c>
    </row>
    <row r="23" spans="2:8" ht="17.45" thickBot="1"/>
    <row r="24" spans="2:8" ht="17.45" thickBot="1">
      <c r="B24" s="149" t="s">
        <v>30</v>
      </c>
      <c r="C24" s="144" t="s">
        <v>943</v>
      </c>
      <c r="D24" s="144" t="s">
        <v>944</v>
      </c>
      <c r="E24" s="145" t="s">
        <v>945</v>
      </c>
      <c r="F24" s="144" t="s">
        <v>57</v>
      </c>
    </row>
    <row r="25" spans="2:8" ht="17.45" thickBot="1">
      <c r="B25" s="143" t="s">
        <v>35</v>
      </c>
      <c r="C25" s="144">
        <f>SUM('FY26'!BE1)</f>
        <v>420631.64</v>
      </c>
      <c r="D25" s="144">
        <f>SUM('FY26'!BG1)</f>
        <v>580845.64</v>
      </c>
      <c r="E25" s="145">
        <f>SUM('FY26'!BI1)</f>
        <v>405591</v>
      </c>
      <c r="F25" s="144">
        <f>SUM(C25:E25)</f>
        <v>1407068.28</v>
      </c>
    </row>
    <row r="26" spans="2:8" ht="17.45" thickBot="1">
      <c r="B26" s="143" t="s">
        <v>36</v>
      </c>
      <c r="C26" s="144">
        <v>0</v>
      </c>
      <c r="D26" s="144">
        <v>0</v>
      </c>
      <c r="E26" s="145">
        <v>0</v>
      </c>
      <c r="F26" s="144">
        <f t="shared" ref="F26:F27" si="6">SUM(C26:E26)</f>
        <v>0</v>
      </c>
    </row>
    <row r="27" spans="2:8" ht="17.45" thickBot="1">
      <c r="B27" s="146" t="s">
        <v>37</v>
      </c>
      <c r="C27" s="147">
        <v>0</v>
      </c>
      <c r="D27" s="147">
        <v>0</v>
      </c>
      <c r="E27" s="148">
        <v>0</v>
      </c>
      <c r="F27" s="144">
        <f t="shared" si="6"/>
        <v>0</v>
      </c>
    </row>
    <row r="28" spans="2:8" ht="17.45" thickBot="1">
      <c r="B28" s="143" t="s">
        <v>39</v>
      </c>
      <c r="C28" s="144">
        <f>SUM(C25:C27)</f>
        <v>420631.64</v>
      </c>
      <c r="D28" s="144">
        <f t="shared" ref="D28:F28" si="7">SUM(D25:D27)</f>
        <v>580845.64</v>
      </c>
      <c r="E28" s="144">
        <f t="shared" si="7"/>
        <v>405591</v>
      </c>
      <c r="F28" s="144">
        <f t="shared" si="7"/>
        <v>1407068.28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139"/>
  <sheetViews>
    <sheetView zoomScale="60" zoomScaleNormal="60" workbookViewId="0">
      <selection activeCell="D7" sqref="D7"/>
    </sheetView>
  </sheetViews>
  <sheetFormatPr defaultRowHeight="17.100000000000001"/>
  <cols>
    <col min="1" max="1" width="2.375" customWidth="1"/>
    <col min="2" max="2" width="26.5" customWidth="1"/>
    <col min="3" max="3" width="22.375" customWidth="1"/>
    <col min="4" max="4" width="20.375" customWidth="1"/>
    <col min="5" max="5" width="14.375" customWidth="1"/>
    <col min="6" max="7" width="18.375" customWidth="1"/>
  </cols>
  <sheetData>
    <row r="3" spans="2:7" ht="17.45" thickBot="1">
      <c r="B3" s="45" t="s">
        <v>58</v>
      </c>
      <c r="C3" s="46"/>
      <c r="D3" s="46"/>
      <c r="E3" s="46"/>
      <c r="F3" s="46"/>
      <c r="G3" s="46"/>
    </row>
    <row r="4" spans="2:7" ht="29.45" thickBot="1">
      <c r="B4" s="47"/>
      <c r="C4" s="48" t="s">
        <v>59</v>
      </c>
      <c r="D4" s="56">
        <v>45962</v>
      </c>
      <c r="E4" s="56">
        <v>45992</v>
      </c>
      <c r="F4" s="56">
        <v>46023</v>
      </c>
      <c r="G4" s="49" t="s">
        <v>946</v>
      </c>
    </row>
    <row r="5" spans="2:7" ht="17.45" thickBot="1">
      <c r="B5" s="437" t="s">
        <v>61</v>
      </c>
      <c r="C5" s="51" t="s">
        <v>62</v>
      </c>
      <c r="D5" s="51">
        <f>SUM('FY26'!AM$375:AM$520)*0.25</f>
        <v>38390.910000000003</v>
      </c>
      <c r="E5" s="51">
        <f>SUM('FY26'!AO375:AO520)*0.25</f>
        <v>38904.2575</v>
      </c>
      <c r="F5" s="51">
        <f>SUM('FY26'!AQ375:AQ520)*0.25</f>
        <v>23778.849999999995</v>
      </c>
      <c r="G5" s="51">
        <f>SUM(D5:F5)</f>
        <v>101074.0175</v>
      </c>
    </row>
    <row r="6" spans="2:7" ht="17.45" thickBot="1">
      <c r="B6" s="438"/>
      <c r="C6" s="51" t="s">
        <v>322</v>
      </c>
      <c r="D6" s="51">
        <f>SUM('FY26'!AM$6:AM$25)</f>
        <v>22825.670000000002</v>
      </c>
      <c r="E6" s="51">
        <f>SUM('FY26'!AO6:AO25)</f>
        <v>32262.11</v>
      </c>
      <c r="F6" s="51">
        <f>SUM('FY26'!AQ6:AQ25)</f>
        <v>14731.120000000003</v>
      </c>
      <c r="G6" s="51">
        <f t="shared" ref="G6:G24" si="0">SUM(D6:F6)</f>
        <v>69818.899999999994</v>
      </c>
    </row>
    <row r="7" spans="2:7" ht="17.45" thickBot="1">
      <c r="B7" s="438"/>
      <c r="C7" s="51" t="s">
        <v>65</v>
      </c>
      <c r="D7" s="51">
        <f>SUM('FY26'!AM$26:AM$63)</f>
        <v>22843.390000000003</v>
      </c>
      <c r="E7" s="51">
        <f>SUM('FY26'!AO26:AO63)</f>
        <v>7398.4</v>
      </c>
      <c r="F7" s="51">
        <f>SUM('FY26'!AQ26:AQ63)</f>
        <v>49644</v>
      </c>
      <c r="G7" s="51">
        <f t="shared" si="0"/>
        <v>79885.790000000008</v>
      </c>
    </row>
    <row r="8" spans="2:7" ht="17.45" thickBot="1">
      <c r="B8" s="438"/>
      <c r="C8" s="51" t="s">
        <v>66</v>
      </c>
      <c r="D8" s="51">
        <f>SUM('FY26'!AM$64:AM$72)</f>
        <v>12510.200000000003</v>
      </c>
      <c r="E8" s="51">
        <f>SUM('FY26'!AO64:AO72)</f>
        <v>18090.8</v>
      </c>
      <c r="F8" s="51">
        <f>SUM('FY26'!AQ64:AQ72)</f>
        <v>9088.64</v>
      </c>
      <c r="G8" s="51">
        <f t="shared" si="0"/>
        <v>39689.64</v>
      </c>
    </row>
    <row r="9" spans="2:7" ht="17.45" thickBot="1">
      <c r="B9" s="438"/>
      <c r="C9" s="51" t="s">
        <v>67</v>
      </c>
      <c r="D9" s="51">
        <f>SUM('FY26'!AM$90:AM$91)</f>
        <v>0</v>
      </c>
      <c r="E9" s="51">
        <f>SUM('FY26'!AO90:AO91)</f>
        <v>0</v>
      </c>
      <c r="F9" s="51">
        <f>SUM('FY26'!AQ90:AQ91)</f>
        <v>0</v>
      </c>
      <c r="G9" s="51">
        <f t="shared" si="0"/>
        <v>0</v>
      </c>
    </row>
    <row r="10" spans="2:7" ht="17.45" thickBot="1">
      <c r="B10" s="438"/>
      <c r="C10" s="51" t="s">
        <v>68</v>
      </c>
      <c r="D10" s="51">
        <f>SUM('FY26'!AM$92:AM$95)</f>
        <v>0</v>
      </c>
      <c r="E10" s="51">
        <f>SUM('FY26'!AO92:AO95)</f>
        <v>0</v>
      </c>
      <c r="F10" s="51">
        <f>SUM('FY26'!AQ92:AQ95)</f>
        <v>0</v>
      </c>
      <c r="G10" s="51">
        <f t="shared" si="0"/>
        <v>0</v>
      </c>
    </row>
    <row r="11" spans="2:7" ht="17.45" thickBot="1">
      <c r="B11" s="438"/>
      <c r="C11" s="51" t="s">
        <v>69</v>
      </c>
      <c r="D11" s="51">
        <f>SUM('FY26'!AM$96:AM$144)*0.7</f>
        <v>15769.599999999997</v>
      </c>
      <c r="E11" s="51">
        <f>SUM('FY26'!AO96:AO144)*0.7</f>
        <v>13825.699999999999</v>
      </c>
      <c r="F11" s="51">
        <f>SUM('FY26'!AQ96:AQ144)*0.7</f>
        <v>15744.259999999998</v>
      </c>
      <c r="G11" s="51">
        <f t="shared" si="0"/>
        <v>45339.56</v>
      </c>
    </row>
    <row r="12" spans="2:7" ht="17.45" thickBot="1">
      <c r="B12" s="438"/>
      <c r="C12" s="51" t="s">
        <v>70</v>
      </c>
      <c r="D12" s="51">
        <f>SUM('FY26'!AM$73:AM$74)</f>
        <v>0</v>
      </c>
      <c r="E12" s="51">
        <f>SUM('FY26'!AO73:AO74)</f>
        <v>0</v>
      </c>
      <c r="F12" s="51">
        <f>SUM('FY26'!AQ73:AQ74)</f>
        <v>0</v>
      </c>
      <c r="G12" s="51">
        <f t="shared" si="0"/>
        <v>0</v>
      </c>
    </row>
    <row r="13" spans="2:7" ht="17.45" thickBot="1">
      <c r="B13" s="438"/>
      <c r="C13" s="51" t="s">
        <v>71</v>
      </c>
      <c r="D13" s="51">
        <f>SUM('FY26'!AM$75:AM$89)</f>
        <v>1464.8</v>
      </c>
      <c r="E13" s="51">
        <f>SUM('FY26'!AO75:AO89)</f>
        <v>2015.0400000000002</v>
      </c>
      <c r="F13" s="51">
        <f>SUM('FY26'!AQ75:AQ89)</f>
        <v>1965.76</v>
      </c>
      <c r="G13" s="51">
        <f t="shared" si="0"/>
        <v>5445.6</v>
      </c>
    </row>
    <row r="14" spans="2:7" ht="17.45" thickBot="1">
      <c r="B14" s="438"/>
      <c r="C14" s="50" t="s">
        <v>72</v>
      </c>
      <c r="D14" s="52"/>
      <c r="E14" s="52"/>
      <c r="F14" s="52"/>
      <c r="G14" s="51">
        <f t="shared" si="0"/>
        <v>0</v>
      </c>
    </row>
    <row r="15" spans="2:7" ht="17.45" thickBot="1">
      <c r="B15" s="439"/>
      <c r="C15" s="53" t="s">
        <v>73</v>
      </c>
      <c r="D15" s="51">
        <f>SUM('FY26'!AM$145:AM$236)</f>
        <v>14736.96</v>
      </c>
      <c r="E15" s="51">
        <f>SUM('FY26'!AO145:AO236)</f>
        <v>26689.640000000003</v>
      </c>
      <c r="F15" s="51">
        <f>SUM('FY26'!AQ145:AQ236)</f>
        <v>10507.080000000002</v>
      </c>
      <c r="G15" s="51">
        <f t="shared" si="0"/>
        <v>51933.680000000008</v>
      </c>
    </row>
    <row r="16" spans="2:7" ht="17.45" thickBot="1">
      <c r="B16" s="440" t="s">
        <v>74</v>
      </c>
      <c r="C16" s="51" t="s">
        <v>75</v>
      </c>
      <c r="D16" s="51">
        <f>SUM('FY26'!AM$375:AM$520)*0.75+SUM('FY26'!AM237:AM248)</f>
        <v>115172.73000000001</v>
      </c>
      <c r="E16" s="51">
        <f>SUM('FY26'!AO375:AO520)*0.75+SUM('FY26'!AO237:AO248)</f>
        <v>116712.77249999999</v>
      </c>
      <c r="F16" s="51">
        <f>SUM('FY26'!AQ375:AQ520)*0.75+SUM('FY26'!AQ237:AQ248)</f>
        <v>71336.549999999988</v>
      </c>
      <c r="G16" s="51">
        <f t="shared" si="0"/>
        <v>303222.05249999999</v>
      </c>
    </row>
    <row r="17" spans="2:7" ht="17.45" thickBot="1">
      <c r="B17" s="441"/>
      <c r="C17" s="51" t="s">
        <v>69</v>
      </c>
      <c r="D17" s="51">
        <f>SUM('FY26'!AM$96:AM$144)*0.3</f>
        <v>6758.3999999999987</v>
      </c>
      <c r="E17" s="51">
        <f>SUM('FY26'!AO96:AO144)*0.3</f>
        <v>5925.3</v>
      </c>
      <c r="F17" s="51">
        <f>SUM('FY26'!AQ96:AQ144)*0.3</f>
        <v>6747.54</v>
      </c>
      <c r="G17" s="51">
        <f t="shared" si="0"/>
        <v>19431.239999999998</v>
      </c>
    </row>
    <row r="18" spans="2:7" ht="17.45" thickBot="1">
      <c r="B18" s="441"/>
      <c r="C18" s="51" t="s">
        <v>76</v>
      </c>
      <c r="D18" s="51">
        <f>SUM('FY26'!AM$253:AM$279)</f>
        <v>35587.85</v>
      </c>
      <c r="E18" s="51">
        <f>SUM('FY26'!AO253:AO279)</f>
        <v>31444.850000000002</v>
      </c>
      <c r="F18" s="51">
        <f>SUM('FY26'!AQ253:AQ279)</f>
        <v>14403</v>
      </c>
      <c r="G18" s="51">
        <f t="shared" si="0"/>
        <v>81435.7</v>
      </c>
    </row>
    <row r="19" spans="2:7" ht="17.45" thickBot="1">
      <c r="B19" s="441"/>
      <c r="C19" s="51" t="s">
        <v>77</v>
      </c>
      <c r="D19" s="51">
        <f>SUM('FY26'!AM$280:AM$291)</f>
        <v>0</v>
      </c>
      <c r="E19" s="51">
        <f>SUM('FY26'!AO280:AO291)</f>
        <v>0</v>
      </c>
      <c r="F19" s="51">
        <f>SUM('FY26'!AQ280:AQ291)</f>
        <v>4867.28</v>
      </c>
      <c r="G19" s="51">
        <f t="shared" si="0"/>
        <v>4867.28</v>
      </c>
    </row>
    <row r="20" spans="2:7" ht="17.45" thickBot="1">
      <c r="B20" s="441"/>
      <c r="C20" s="51" t="s">
        <v>78</v>
      </c>
      <c r="D20" s="51">
        <f>SUM('FY26'!AM$292:AM$309)</f>
        <v>34944</v>
      </c>
      <c r="E20" s="51">
        <f>SUM('FY26'!AO292:AO309)</f>
        <v>37085.050000000003</v>
      </c>
      <c r="F20" s="51">
        <f>SUM('FY26'!AQ292:AQ309)</f>
        <v>10011.1</v>
      </c>
      <c r="G20" s="51">
        <f t="shared" si="0"/>
        <v>82040.150000000009</v>
      </c>
    </row>
    <row r="21" spans="2:7" ht="17.45" thickBot="1">
      <c r="B21" s="441"/>
      <c r="C21" s="51" t="s">
        <v>79</v>
      </c>
      <c r="D21" s="51">
        <f>SUM('FY26'!AM$310:AM$311)</f>
        <v>0</v>
      </c>
      <c r="E21" s="51">
        <f>SUM('FY26'!AO310:AO311)</f>
        <v>0</v>
      </c>
      <c r="F21" s="51">
        <f>SUM('FY26'!AQ310:AQ311)</f>
        <v>0</v>
      </c>
      <c r="G21" s="51">
        <f t="shared" si="0"/>
        <v>0</v>
      </c>
    </row>
    <row r="22" spans="2:7" ht="17.45" thickBot="1">
      <c r="B22" s="441"/>
      <c r="C22" s="51" t="s">
        <v>80</v>
      </c>
      <c r="D22" s="51">
        <f>SUM('FY26'!AM$312:AM$348)</f>
        <v>80641.400000000009</v>
      </c>
      <c r="E22" s="51">
        <f>SUM('FY26'!AO312:AO348)</f>
        <v>88461.45</v>
      </c>
      <c r="F22" s="51">
        <f>SUM('FY26'!AQ312:AQ348)</f>
        <v>42410</v>
      </c>
      <c r="G22" s="51">
        <f t="shared" si="0"/>
        <v>211512.85</v>
      </c>
    </row>
    <row r="23" spans="2:7" ht="17.45" thickBot="1">
      <c r="B23" s="441"/>
      <c r="C23" s="51" t="s">
        <v>72</v>
      </c>
      <c r="D23" s="51">
        <f>SUM('FY26'!AM356:AM374)</f>
        <v>112.32000000000001</v>
      </c>
      <c r="E23" s="51">
        <f>SUM('FY26'!AO356:AO374)</f>
        <v>464.64000000000004</v>
      </c>
      <c r="F23" s="51">
        <f>SUM('FY26'!AQ356:AQ374)</f>
        <v>357.44</v>
      </c>
      <c r="G23" s="51">
        <f t="shared" si="0"/>
        <v>934.40000000000009</v>
      </c>
    </row>
    <row r="24" spans="2:7" ht="17.45" thickBot="1">
      <c r="B24" s="442"/>
      <c r="C24" s="51" t="s">
        <v>73</v>
      </c>
      <c r="D24" s="51">
        <f>SUM('FY26'!AM$349:AM$355)</f>
        <v>0</v>
      </c>
      <c r="E24" s="51">
        <f>SUM('FY26'!AO349:AO355)</f>
        <v>0</v>
      </c>
      <c r="F24" s="51">
        <f>SUM('FY26'!AQ349:AQ355)</f>
        <v>0</v>
      </c>
      <c r="G24" s="51">
        <f t="shared" si="0"/>
        <v>0</v>
      </c>
    </row>
    <row r="25" spans="2:7" ht="17.45" thickBot="1">
      <c r="B25" s="46"/>
      <c r="C25" s="46"/>
      <c r="D25" s="46"/>
      <c r="E25" s="46"/>
      <c r="F25" s="46"/>
      <c r="G25" s="54">
        <f>SUM(G5:G24)</f>
        <v>1096630.8599999999</v>
      </c>
    </row>
    <row r="26" spans="2:7">
      <c r="B26" s="46"/>
      <c r="C26" s="46"/>
      <c r="D26" s="46"/>
      <c r="E26" s="46"/>
      <c r="F26" s="46"/>
      <c r="G26" s="46"/>
    </row>
    <row r="27" spans="2:7" ht="17.45" thickBot="1">
      <c r="B27" s="45" t="s">
        <v>58</v>
      </c>
      <c r="C27" s="46"/>
      <c r="D27" s="46"/>
      <c r="E27" s="46"/>
      <c r="F27" s="46"/>
      <c r="G27" s="46"/>
    </row>
    <row r="28" spans="2:7" ht="29.45" thickBot="1">
      <c r="B28" s="118"/>
      <c r="C28" s="48" t="s">
        <v>81</v>
      </c>
      <c r="D28" s="56">
        <v>45962</v>
      </c>
      <c r="E28" s="56">
        <v>45992</v>
      </c>
      <c r="F28" s="56">
        <v>46023</v>
      </c>
      <c r="G28" s="49" t="s">
        <v>946</v>
      </c>
    </row>
    <row r="29" spans="2:7" ht="17.45" thickBot="1">
      <c r="B29" s="436" t="s">
        <v>82</v>
      </c>
      <c r="C29" s="51" t="s">
        <v>83</v>
      </c>
      <c r="D29" s="51"/>
      <c r="E29" s="51"/>
      <c r="F29" s="51"/>
      <c r="G29" s="51"/>
    </row>
    <row r="30" spans="2:7" ht="17.45" thickBot="1">
      <c r="B30" s="436"/>
      <c r="C30" s="51" t="s">
        <v>84</v>
      </c>
      <c r="D30" s="51"/>
      <c r="E30" s="51"/>
      <c r="F30" s="51"/>
      <c r="G30" s="51"/>
    </row>
    <row r="31" spans="2:7" ht="17.45" thickBot="1">
      <c r="B31" s="436"/>
      <c r="C31" s="51" t="s">
        <v>85</v>
      </c>
      <c r="D31" s="51">
        <f>SUM(D5:D24)</f>
        <v>401758.23000000004</v>
      </c>
      <c r="E31" s="51">
        <f>SUM(E5:E24)</f>
        <v>419280.00999999995</v>
      </c>
      <c r="F31" s="51">
        <f>SUM(F5:F24)</f>
        <v>275592.62</v>
      </c>
      <c r="G31" s="51">
        <f t="shared" ref="G31" si="1">SUM(D31:F31)</f>
        <v>1096630.8599999999</v>
      </c>
    </row>
    <row r="32" spans="2:7" ht="17.45" thickBot="1">
      <c r="B32" s="436"/>
      <c r="C32" s="51" t="s">
        <v>86</v>
      </c>
      <c r="D32" s="51"/>
      <c r="E32" s="51"/>
      <c r="F32" s="51"/>
      <c r="G32" s="51"/>
    </row>
    <row r="33" spans="2:7" ht="17.45" thickBot="1">
      <c r="B33" s="436"/>
      <c r="C33" s="51" t="s">
        <v>87</v>
      </c>
      <c r="D33" s="51"/>
      <c r="E33" s="51"/>
      <c r="F33" s="51"/>
      <c r="G33" s="51"/>
    </row>
    <row r="34" spans="2:7" ht="17.45" thickBot="1">
      <c r="B34" s="436"/>
      <c r="C34" s="51" t="s">
        <v>88</v>
      </c>
      <c r="D34" s="51"/>
      <c r="E34" s="51"/>
      <c r="F34" s="51"/>
      <c r="G34" s="51"/>
    </row>
    <row r="35" spans="2:7" ht="17.45" thickBot="1">
      <c r="B35" s="46"/>
      <c r="C35" s="46"/>
      <c r="D35" s="46"/>
      <c r="E35" s="46"/>
      <c r="F35" s="54" t="s">
        <v>89</v>
      </c>
      <c r="G35" s="55">
        <f>SUM(G29:G34)</f>
        <v>1096630.8599999999</v>
      </c>
    </row>
    <row r="38" spans="2:7" ht="17.45" thickBot="1">
      <c r="B38" s="45" t="s">
        <v>90</v>
      </c>
      <c r="C38" s="46"/>
      <c r="D38" s="46"/>
      <c r="E38" s="46"/>
      <c r="F38" s="46"/>
      <c r="G38" s="46"/>
    </row>
    <row r="39" spans="2:7" ht="29.45" thickBot="1">
      <c r="B39" s="47"/>
      <c r="C39" s="48" t="s">
        <v>59</v>
      </c>
      <c r="D39" s="56">
        <v>46054</v>
      </c>
      <c r="E39" s="56">
        <v>46082</v>
      </c>
      <c r="F39" s="56">
        <v>46113</v>
      </c>
      <c r="G39" s="49" t="s">
        <v>947</v>
      </c>
    </row>
    <row r="40" spans="2:7" ht="17.45" thickBot="1">
      <c r="B40" s="437" t="s">
        <v>61</v>
      </c>
      <c r="C40" s="51" t="s">
        <v>62</v>
      </c>
      <c r="D40" s="51">
        <f>SUM('FY26'!AS$375:AS$520)*0.25</f>
        <v>0</v>
      </c>
      <c r="E40" s="51">
        <f>SUM('FY26'!AU$375:AU$520)*0.25</f>
        <v>40609.725000000006</v>
      </c>
      <c r="F40" s="51">
        <f>SUM('FY26'!AW$375:AW$520)*0.25</f>
        <v>23687.5</v>
      </c>
      <c r="G40" s="51">
        <f t="shared" ref="G40:G59" si="2">SUM(D40:F40)</f>
        <v>64297.225000000006</v>
      </c>
    </row>
    <row r="41" spans="2:7" ht="17.45" thickBot="1">
      <c r="B41" s="438"/>
      <c r="C41" s="51" t="s">
        <v>322</v>
      </c>
      <c r="D41" s="51">
        <f>SUM('FY26'!AS$6:AS$25)</f>
        <v>0</v>
      </c>
      <c r="E41" s="51">
        <f>SUM('FY26'!AU$6:AU$25)</f>
        <v>42190.390000000014</v>
      </c>
      <c r="F41" s="51">
        <f>SUM('FY26'!AW$6:AW$25)</f>
        <v>16289.999999999998</v>
      </c>
      <c r="G41" s="51">
        <f t="shared" si="2"/>
        <v>58480.390000000014</v>
      </c>
    </row>
    <row r="42" spans="2:7" ht="17.45" thickBot="1">
      <c r="B42" s="438"/>
      <c r="C42" s="51" t="s">
        <v>65</v>
      </c>
      <c r="D42" s="51">
        <f>SUM('FY26'!AS$26:AS$63)</f>
        <v>0</v>
      </c>
      <c r="E42" s="51">
        <f>SUM('FY26'!AU$26:AU$63)</f>
        <v>149033.48000000007</v>
      </c>
      <c r="F42" s="51">
        <f>SUM('FY26'!AW$26:AW$63)</f>
        <v>115200.00000000001</v>
      </c>
      <c r="G42" s="51">
        <f t="shared" si="2"/>
        <v>264233.4800000001</v>
      </c>
    </row>
    <row r="43" spans="2:7" ht="17.45" thickBot="1">
      <c r="B43" s="438"/>
      <c r="C43" s="51" t="s">
        <v>66</v>
      </c>
      <c r="D43" s="51">
        <f>SUM('FY26'!AS$64:AS$72)</f>
        <v>0</v>
      </c>
      <c r="E43" s="51">
        <f>SUM('FY26'!AU$64:AU$72)</f>
        <v>13198.72</v>
      </c>
      <c r="F43" s="51">
        <f>SUM('FY26'!AW$64:AW$72)</f>
        <v>7680</v>
      </c>
      <c r="G43" s="51">
        <f t="shared" si="2"/>
        <v>20878.72</v>
      </c>
    </row>
    <row r="44" spans="2:7" ht="17.45" thickBot="1">
      <c r="B44" s="438"/>
      <c r="C44" s="51" t="s">
        <v>67</v>
      </c>
      <c r="D44" s="51">
        <f>SUM('FY26'!AS$90:AS$91)</f>
        <v>0</v>
      </c>
      <c r="E44" s="51">
        <f>SUM('FY26'!AU$90:AU$91)</f>
        <v>0</v>
      </c>
      <c r="F44" s="51">
        <f>SUM('FY26'!AW$90:AW$91)</f>
        <v>0</v>
      </c>
      <c r="G44" s="51">
        <f t="shared" si="2"/>
        <v>0</v>
      </c>
    </row>
    <row r="45" spans="2:7" ht="17.45" thickBot="1">
      <c r="B45" s="438"/>
      <c r="C45" s="51" t="s">
        <v>68</v>
      </c>
      <c r="D45" s="51">
        <f>SUM('FY26'!AS$92:AS$95)</f>
        <v>0</v>
      </c>
      <c r="E45" s="51">
        <f>SUM('FY26'!AU$92:AU$95)</f>
        <v>0</v>
      </c>
      <c r="F45" s="51">
        <f>SUM('FY26'!AW$92:AW$95)</f>
        <v>0</v>
      </c>
      <c r="G45" s="51">
        <f t="shared" si="2"/>
        <v>0</v>
      </c>
    </row>
    <row r="46" spans="2:7" ht="17.45" thickBot="1">
      <c r="B46" s="438"/>
      <c r="C46" s="51" t="s">
        <v>69</v>
      </c>
      <c r="D46" s="51">
        <f>SUM('FY26'!AS$96:AS$144)*0.7</f>
        <v>0</v>
      </c>
      <c r="E46" s="51">
        <f>SUM('FY26'!AU$96:AU$144)*0.7</f>
        <v>12990.823999999999</v>
      </c>
      <c r="F46" s="51">
        <f>SUM('FY26'!AW$96:AW$144)*0.7</f>
        <v>20367.200000000004</v>
      </c>
      <c r="G46" s="51">
        <f t="shared" si="2"/>
        <v>33358.024000000005</v>
      </c>
    </row>
    <row r="47" spans="2:7" ht="17.45" thickBot="1">
      <c r="B47" s="438"/>
      <c r="C47" s="51" t="s">
        <v>70</v>
      </c>
      <c r="D47" s="51">
        <f>SUM('FY26'!AS$73:AS$74)</f>
        <v>0</v>
      </c>
      <c r="E47" s="51">
        <f>SUM('FY26'!AU$73:AU$74)</f>
        <v>0</v>
      </c>
      <c r="F47" s="51">
        <f>SUM('FY26'!AW$73:AW$74)</f>
        <v>0</v>
      </c>
      <c r="G47" s="51">
        <f t="shared" si="2"/>
        <v>0</v>
      </c>
    </row>
    <row r="48" spans="2:7" ht="17.45" thickBot="1">
      <c r="B48" s="438"/>
      <c r="C48" s="51" t="s">
        <v>71</v>
      </c>
      <c r="D48" s="51">
        <f>SUM('FY26'!AS$75:AS$89)</f>
        <v>0</v>
      </c>
      <c r="E48" s="51">
        <f>SUM('FY26'!AU$75:AU$89)</f>
        <v>2587.2000000000003</v>
      </c>
      <c r="F48" s="51">
        <f>SUM('FY26'!AW$75:AW$89)</f>
        <v>880</v>
      </c>
      <c r="G48" s="51">
        <f t="shared" si="2"/>
        <v>3467.2000000000003</v>
      </c>
    </row>
    <row r="49" spans="2:7" ht="17.45" thickBot="1">
      <c r="B49" s="438"/>
      <c r="C49" s="50" t="s">
        <v>72</v>
      </c>
      <c r="D49" s="52"/>
      <c r="E49" s="52"/>
      <c r="F49" s="52"/>
      <c r="G49" s="51">
        <f t="shared" si="2"/>
        <v>0</v>
      </c>
    </row>
    <row r="50" spans="2:7" ht="17.45" thickBot="1">
      <c r="B50" s="439"/>
      <c r="C50" s="53" t="s">
        <v>73</v>
      </c>
      <c r="D50" s="51">
        <f>SUM('FY26'!AS$145:AS$236)</f>
        <v>9927.2400000000034</v>
      </c>
      <c r="E50" s="51">
        <f>SUM('FY26'!AU$145:AU$236)</f>
        <v>29744.119999999981</v>
      </c>
      <c r="F50" s="51">
        <f>SUM('FY26'!AW$145:AW$236)</f>
        <v>37974.999999999985</v>
      </c>
      <c r="G50" s="51">
        <f t="shared" si="2"/>
        <v>77646.359999999971</v>
      </c>
    </row>
    <row r="51" spans="2:7" ht="17.45" thickBot="1">
      <c r="B51" s="440" t="s">
        <v>74</v>
      </c>
      <c r="C51" s="51" t="s">
        <v>75</v>
      </c>
      <c r="D51" s="51">
        <f>SUM('FY26'!AS$375:AS$520)*0.75+SUM('FY26'!AS237:AS248)</f>
        <v>0</v>
      </c>
      <c r="E51" s="51">
        <f>SUM('FY26'!AU$375:AU$520)*0.75+SUM('FY26'!AU237:AU248)</f>
        <v>121829.17500000002</v>
      </c>
      <c r="F51" s="51">
        <f>SUM('FY26'!AW$375:AW$520)*0.75+SUM('FY26'!AW237:AW248)</f>
        <v>71062.5</v>
      </c>
      <c r="G51" s="51">
        <f t="shared" si="2"/>
        <v>192891.67500000002</v>
      </c>
    </row>
    <row r="52" spans="2:7" ht="17.45" thickBot="1">
      <c r="B52" s="441"/>
      <c r="C52" s="51" t="s">
        <v>69</v>
      </c>
      <c r="D52" s="51">
        <f>SUM('FY26'!AS$96:AS$144)*0.3</f>
        <v>0</v>
      </c>
      <c r="E52" s="51">
        <f>SUM('FY26'!AU$96:AU$144)*0.3</f>
        <v>5567.4960000000001</v>
      </c>
      <c r="F52" s="51">
        <f>SUM('FY26'!AW$96:AW$144)*0.3</f>
        <v>8728.8000000000011</v>
      </c>
      <c r="G52" s="51">
        <f t="shared" si="2"/>
        <v>14296.296000000002</v>
      </c>
    </row>
    <row r="53" spans="2:7" ht="17.45" thickBot="1">
      <c r="B53" s="441"/>
      <c r="C53" s="51" t="s">
        <v>76</v>
      </c>
      <c r="D53" s="51">
        <f>SUM('FY26'!AS$253:AS$279)</f>
        <v>0</v>
      </c>
      <c r="E53" s="51">
        <f>SUM('FY26'!AU$253:AU$279)</f>
        <v>21862.999999999996</v>
      </c>
      <c r="F53" s="51">
        <f>SUM('FY26'!AW$253:AW$279)</f>
        <v>19959.999999999993</v>
      </c>
      <c r="G53" s="51">
        <f t="shared" si="2"/>
        <v>41822.999999999985</v>
      </c>
    </row>
    <row r="54" spans="2:7" ht="17.45" thickBot="1">
      <c r="B54" s="441"/>
      <c r="C54" s="51" t="s">
        <v>77</v>
      </c>
      <c r="D54" s="51">
        <f>SUM('FY26'!AS$280:AS$291)</f>
        <v>0</v>
      </c>
      <c r="E54" s="51">
        <f>SUM('FY26'!AU$280:AU$291)</f>
        <v>25508</v>
      </c>
      <c r="F54" s="51">
        <f>SUM('FY26'!AW$280:AW$291)</f>
        <v>0</v>
      </c>
      <c r="G54" s="51">
        <f t="shared" si="2"/>
        <v>25508</v>
      </c>
    </row>
    <row r="55" spans="2:7" ht="17.45" thickBot="1">
      <c r="B55" s="441"/>
      <c r="C55" s="51" t="s">
        <v>78</v>
      </c>
      <c r="D55" s="51">
        <f>SUM('FY26'!AS$292:AS$309)</f>
        <v>0</v>
      </c>
      <c r="E55" s="51">
        <f>SUM('FY26'!AU$292:AU$309)</f>
        <v>37782.400000000009</v>
      </c>
      <c r="F55" s="51">
        <f>SUM('FY26'!AW$292:AW$309)</f>
        <v>14350.000000000005</v>
      </c>
      <c r="G55" s="51">
        <f t="shared" si="2"/>
        <v>52132.400000000016</v>
      </c>
    </row>
    <row r="56" spans="2:7" ht="17.45" thickBot="1">
      <c r="B56" s="441"/>
      <c r="C56" s="51" t="s">
        <v>79</v>
      </c>
      <c r="D56" s="51">
        <f>SUM('FY26'!AS$310:AS$311)</f>
        <v>0</v>
      </c>
      <c r="E56" s="51">
        <f>SUM('FY26'!AU$310:AU$311)</f>
        <v>0</v>
      </c>
      <c r="F56" s="51">
        <f>SUM('FY26'!AW$310:AW$311)</f>
        <v>0</v>
      </c>
      <c r="G56" s="51">
        <f t="shared" si="2"/>
        <v>0</v>
      </c>
    </row>
    <row r="57" spans="2:7" ht="17.45" thickBot="1">
      <c r="B57" s="441"/>
      <c r="C57" s="51" t="s">
        <v>80</v>
      </c>
      <c r="D57" s="51">
        <f>SUM('FY26'!AS$312:AS$348)</f>
        <v>0</v>
      </c>
      <c r="E57" s="51">
        <f>SUM('FY26'!AU$312:AU$348)</f>
        <v>37475.199999999983</v>
      </c>
      <c r="F57" s="51">
        <f>SUM('FY26'!AW$312:AW$348)</f>
        <v>83849.999999999971</v>
      </c>
      <c r="G57" s="51">
        <f t="shared" si="2"/>
        <v>121325.19999999995</v>
      </c>
    </row>
    <row r="58" spans="2:7" ht="17.45" thickBot="1">
      <c r="B58" s="441"/>
      <c r="C58" s="51" t="s">
        <v>72</v>
      </c>
      <c r="D58" s="51">
        <f>SUM('FY26'!AS356:AS374)</f>
        <v>898.56000000000006</v>
      </c>
      <c r="E58" s="51">
        <f>SUM('FY26'!AU356:AU374)</f>
        <v>6.4</v>
      </c>
      <c r="F58" s="51">
        <f>SUM('FY26'!AW356:AW374)</f>
        <v>460.8</v>
      </c>
      <c r="G58" s="51">
        <f t="shared" si="2"/>
        <v>1365.76</v>
      </c>
    </row>
    <row r="59" spans="2:7" ht="17.45" thickBot="1">
      <c r="B59" s="442"/>
      <c r="C59" s="51" t="s">
        <v>73</v>
      </c>
      <c r="D59" s="51">
        <f>SUM('FY26'!AS$349:AS$355)</f>
        <v>0</v>
      </c>
      <c r="E59" s="51">
        <f>SUM('FY26'!AU$349:AU$355)</f>
        <v>0</v>
      </c>
      <c r="F59" s="51">
        <f>SUM('FY26'!AW$349:AW$355)</f>
        <v>0</v>
      </c>
      <c r="G59" s="51">
        <f t="shared" si="2"/>
        <v>0</v>
      </c>
    </row>
    <row r="60" spans="2:7" ht="17.45" thickBot="1">
      <c r="B60" s="46"/>
      <c r="C60" s="46"/>
      <c r="D60" s="46"/>
      <c r="E60" s="46"/>
      <c r="F60" s="46"/>
      <c r="G60" s="54">
        <f>SUM(G40:G59)</f>
        <v>971703.73</v>
      </c>
    </row>
    <row r="61" spans="2:7">
      <c r="B61" s="46"/>
      <c r="C61" s="46"/>
      <c r="D61" s="46"/>
      <c r="E61" s="46"/>
      <c r="F61" s="46"/>
      <c r="G61" s="46"/>
    </row>
    <row r="62" spans="2:7" ht="17.45" thickBot="1">
      <c r="B62" s="45" t="s">
        <v>90</v>
      </c>
      <c r="C62" s="46"/>
      <c r="D62" s="46"/>
      <c r="E62" s="46"/>
      <c r="F62" s="46"/>
      <c r="G62" s="46"/>
    </row>
    <row r="63" spans="2:7" ht="29.45" thickBot="1">
      <c r="B63" s="47"/>
      <c r="C63" s="48" t="s">
        <v>81</v>
      </c>
      <c r="D63" s="56">
        <v>46054</v>
      </c>
      <c r="E63" s="56">
        <v>46082</v>
      </c>
      <c r="F63" s="56">
        <v>46113</v>
      </c>
      <c r="G63" s="49" t="s">
        <v>947</v>
      </c>
    </row>
    <row r="64" spans="2:7" ht="17.45" thickBot="1">
      <c r="B64" s="436" t="s">
        <v>82</v>
      </c>
      <c r="C64" s="51" t="s">
        <v>83</v>
      </c>
      <c r="D64" s="51"/>
      <c r="E64" s="51"/>
      <c r="F64" s="51"/>
      <c r="G64" s="51"/>
    </row>
    <row r="65" spans="2:7" ht="17.45" thickBot="1">
      <c r="B65" s="436" t="s">
        <v>82</v>
      </c>
      <c r="C65" s="51" t="s">
        <v>84</v>
      </c>
      <c r="D65" s="51"/>
      <c r="E65" s="51"/>
      <c r="F65" s="51"/>
      <c r="G65" s="51"/>
    </row>
    <row r="66" spans="2:7" ht="17.45" thickBot="1">
      <c r="B66" s="436"/>
      <c r="C66" s="51" t="s">
        <v>85</v>
      </c>
      <c r="D66" s="51">
        <f>SUM(D40:D59)</f>
        <v>10825.800000000003</v>
      </c>
      <c r="E66" s="51">
        <f>SUM(E40:E59)</f>
        <v>540386.13000000012</v>
      </c>
      <c r="F66" s="51">
        <f>SUM(F40:F59)</f>
        <v>420491.8</v>
      </c>
      <c r="G66" s="51">
        <f t="shared" ref="G66" si="3">SUM(D66:F66)</f>
        <v>971703.73000000021</v>
      </c>
    </row>
    <row r="67" spans="2:7" ht="17.45" thickBot="1">
      <c r="B67" s="436"/>
      <c r="C67" s="51" t="s">
        <v>86</v>
      </c>
      <c r="D67" s="51"/>
      <c r="E67" s="51"/>
      <c r="F67" s="51"/>
      <c r="G67" s="51"/>
    </row>
    <row r="68" spans="2:7" ht="17.45" thickBot="1">
      <c r="B68" s="436"/>
      <c r="C68" s="51" t="s">
        <v>87</v>
      </c>
      <c r="D68" s="51"/>
      <c r="E68" s="51"/>
      <c r="F68" s="51"/>
      <c r="G68" s="51"/>
    </row>
    <row r="69" spans="2:7" ht="17.45" thickBot="1">
      <c r="B69" s="436"/>
      <c r="C69" s="51" t="s">
        <v>88</v>
      </c>
      <c r="D69" s="51"/>
      <c r="E69" s="51"/>
      <c r="F69" s="51"/>
      <c r="G69" s="51"/>
    </row>
    <row r="70" spans="2:7" ht="17.45" thickBot="1">
      <c r="B70" s="46"/>
      <c r="C70" s="46"/>
      <c r="D70" s="46"/>
      <c r="E70" s="46"/>
      <c r="F70" s="54" t="s">
        <v>89</v>
      </c>
      <c r="G70" s="55">
        <f>SUM(G64:G69)</f>
        <v>971703.73000000021</v>
      </c>
    </row>
    <row r="73" spans="2:7" ht="17.45" thickBot="1">
      <c r="B73" s="45" t="s">
        <v>93</v>
      </c>
      <c r="C73" s="46"/>
      <c r="D73" s="46"/>
      <c r="E73" s="46"/>
      <c r="F73" s="46"/>
      <c r="G73" s="46"/>
    </row>
    <row r="74" spans="2:7" ht="29.45" thickBot="1">
      <c r="B74" s="47"/>
      <c r="C74" s="48" t="s">
        <v>59</v>
      </c>
      <c r="D74" s="56">
        <v>46143</v>
      </c>
      <c r="E74" s="56">
        <v>46174</v>
      </c>
      <c r="F74" s="56">
        <v>46204</v>
      </c>
      <c r="G74" s="49" t="s">
        <v>948</v>
      </c>
    </row>
    <row r="75" spans="2:7" ht="17.45" thickBot="1">
      <c r="B75" s="437" t="s">
        <v>61</v>
      </c>
      <c r="C75" s="51" t="s">
        <v>62</v>
      </c>
      <c r="D75" s="51">
        <f>SUM('FY26'!AY$375:AY$520)*0.25</f>
        <v>23687.5</v>
      </c>
      <c r="E75" s="51">
        <f>SUM('FY26'!BA$375:BA$520)*0.25</f>
        <v>28062.5</v>
      </c>
      <c r="F75" s="51">
        <f>SUM('FY26'!BC$375:BC$520)*0.25</f>
        <v>24312.5</v>
      </c>
      <c r="G75" s="51">
        <f t="shared" ref="G75:G94" si="4">SUM(D75:F75)</f>
        <v>76062.5</v>
      </c>
    </row>
    <row r="76" spans="2:7" ht="17.45" thickBot="1">
      <c r="B76" s="438"/>
      <c r="C76" s="51" t="s">
        <v>322</v>
      </c>
      <c r="D76" s="51">
        <f>SUM('FY26'!AY$6:AY$25)</f>
        <v>16289.999999999998</v>
      </c>
      <c r="E76" s="51">
        <f>SUM('FY26'!BA$6:BA$25)</f>
        <v>18020</v>
      </c>
      <c r="F76" s="51">
        <f>SUM('FY26'!BC$6:BC$25)</f>
        <v>15059.999999999998</v>
      </c>
      <c r="G76" s="51">
        <f t="shared" si="4"/>
        <v>49370</v>
      </c>
    </row>
    <row r="77" spans="2:7" ht="17.45" thickBot="1">
      <c r="B77" s="438"/>
      <c r="C77" s="51" t="s">
        <v>65</v>
      </c>
      <c r="D77" s="51">
        <f>SUM('FY26'!AY$26:AY$63)</f>
        <v>115200.00000000001</v>
      </c>
      <c r="E77" s="51">
        <f>SUM('FY26'!BA$26:BA$63)</f>
        <v>140350</v>
      </c>
      <c r="F77" s="51">
        <f>SUM('FY26'!BC$26:BC$63)</f>
        <v>115200.00000000001</v>
      </c>
      <c r="G77" s="51">
        <f t="shared" si="4"/>
        <v>370750</v>
      </c>
    </row>
    <row r="78" spans="2:7" ht="17.45" thickBot="1">
      <c r="B78" s="438"/>
      <c r="C78" s="51" t="s">
        <v>66</v>
      </c>
      <c r="D78" s="51">
        <f>SUM('FY26'!AY$64:AY$72)</f>
        <v>7680</v>
      </c>
      <c r="E78" s="51">
        <f>SUM('FY26'!BA$64:BA$72)</f>
        <v>8320</v>
      </c>
      <c r="F78" s="51">
        <f>SUM('FY26'!BC$64:BC$72)</f>
        <v>7680</v>
      </c>
      <c r="G78" s="51">
        <f t="shared" si="4"/>
        <v>23680</v>
      </c>
    </row>
    <row r="79" spans="2:7" ht="17.45" thickBot="1">
      <c r="B79" s="438"/>
      <c r="C79" s="51" t="s">
        <v>67</v>
      </c>
      <c r="D79" s="51">
        <f>SUM('FY26'!AY$90:AY$91)</f>
        <v>0</v>
      </c>
      <c r="E79" s="51">
        <f>SUM('FY26'!BA$90:BA$91)</f>
        <v>0</v>
      </c>
      <c r="F79" s="51">
        <f>SUM('FY26'!BC$90:BC$91)</f>
        <v>0</v>
      </c>
      <c r="G79" s="51">
        <f t="shared" si="4"/>
        <v>0</v>
      </c>
    </row>
    <row r="80" spans="2:7" ht="17.45" thickBot="1">
      <c r="B80" s="438"/>
      <c r="C80" s="51" t="s">
        <v>68</v>
      </c>
      <c r="D80" s="51">
        <f>SUM('FY26'!AY$92:AY$95)</f>
        <v>0</v>
      </c>
      <c r="E80" s="51">
        <f>SUM('FY26'!BA$92:BA$95)</f>
        <v>0</v>
      </c>
      <c r="F80" s="51">
        <f>SUM('FY26'!BC$92:BC$95)</f>
        <v>0</v>
      </c>
      <c r="G80" s="51">
        <f t="shared" si="4"/>
        <v>0</v>
      </c>
    </row>
    <row r="81" spans="2:7" ht="17.45" thickBot="1">
      <c r="B81" s="438"/>
      <c r="C81" s="51" t="s">
        <v>69</v>
      </c>
      <c r="D81" s="51">
        <f>SUM('FY26'!AY$96:AY$144)*0.7</f>
        <v>20367.200000000004</v>
      </c>
      <c r="E81" s="51">
        <f>SUM('FY26'!BA$96:BA$144)*0.7</f>
        <v>22915.200000000004</v>
      </c>
      <c r="F81" s="51">
        <f>SUM('FY26'!BC$96:BC$144)*0.7</f>
        <v>19947.200000000004</v>
      </c>
      <c r="G81" s="51">
        <f t="shared" si="4"/>
        <v>63229.600000000013</v>
      </c>
    </row>
    <row r="82" spans="2:7" ht="17.45" thickBot="1">
      <c r="B82" s="438"/>
      <c r="C82" s="51" t="s">
        <v>70</v>
      </c>
      <c r="D82" s="51">
        <f>SUM('FY26'!AY$73:AY$74)</f>
        <v>0</v>
      </c>
      <c r="E82" s="51">
        <f>SUM('FY26'!BA$73:BA$74)</f>
        <v>0</v>
      </c>
      <c r="F82" s="51">
        <f>SUM('FY26'!BC$73:BC$74)</f>
        <v>0</v>
      </c>
      <c r="G82" s="51">
        <f t="shared" si="4"/>
        <v>0</v>
      </c>
    </row>
    <row r="83" spans="2:7" ht="17.45" thickBot="1">
      <c r="B83" s="438"/>
      <c r="C83" s="51" t="s">
        <v>71</v>
      </c>
      <c r="D83" s="51">
        <f>SUM('FY26'!AY$75:AY$89)</f>
        <v>880</v>
      </c>
      <c r="E83" s="51">
        <f>SUM('FY26'!BA$75:BA$89)</f>
        <v>880</v>
      </c>
      <c r="F83" s="51">
        <f>SUM('FY26'!BC$75:BC$89)</f>
        <v>880</v>
      </c>
      <c r="G83" s="51">
        <f t="shared" si="4"/>
        <v>2640</v>
      </c>
    </row>
    <row r="84" spans="2:7" ht="17.45" thickBot="1">
      <c r="B84" s="438"/>
      <c r="C84" s="50" t="s">
        <v>72</v>
      </c>
      <c r="D84" s="52"/>
      <c r="E84" s="52"/>
      <c r="F84" s="52"/>
      <c r="G84" s="51">
        <f t="shared" si="4"/>
        <v>0</v>
      </c>
    </row>
    <row r="85" spans="2:7" ht="17.45" thickBot="1">
      <c r="B85" s="439"/>
      <c r="C85" s="53" t="s">
        <v>73</v>
      </c>
      <c r="D85" s="51">
        <f>SUM('FY26'!AY$145:AY$236)</f>
        <v>37354.999999999985</v>
      </c>
      <c r="E85" s="51">
        <f>SUM('FY26'!BA$145:BA$236)</f>
        <v>46119.999999999985</v>
      </c>
      <c r="F85" s="51">
        <f>SUM('FY26'!BC$145:BC$236)</f>
        <v>43069.999999999985</v>
      </c>
      <c r="G85" s="51">
        <f t="shared" si="4"/>
        <v>126544.99999999996</v>
      </c>
    </row>
    <row r="86" spans="2:7" ht="17.45" thickBot="1">
      <c r="B86" s="440" t="s">
        <v>74</v>
      </c>
      <c r="C86" s="51" t="s">
        <v>75</v>
      </c>
      <c r="D86" s="51">
        <f>SUM('FY26'!AY$375:AY$520)*0.75+SUM('FY26'!AY237:AY248)</f>
        <v>71062.5</v>
      </c>
      <c r="E86" s="51">
        <f>SUM('FY26'!BA$375:BA$520)*0.75+SUM('FY26'!BA237:BA248)</f>
        <v>84187.5</v>
      </c>
      <c r="F86" s="51">
        <f>SUM('FY26'!BC$375:BC$520)*0.75+SUM('FY26'!BC237:BC248)</f>
        <v>72937.5</v>
      </c>
      <c r="G86" s="51">
        <f t="shared" si="4"/>
        <v>228187.5</v>
      </c>
    </row>
    <row r="87" spans="2:7" ht="17.45" thickBot="1">
      <c r="B87" s="441"/>
      <c r="C87" s="51" t="s">
        <v>69</v>
      </c>
      <c r="D87" s="51">
        <f>SUM('FY26'!AY$96:AY$144)*0.3</f>
        <v>8728.8000000000011</v>
      </c>
      <c r="E87" s="51">
        <f>SUM('FY26'!BA$96:BA$144)*0.3</f>
        <v>9820.8000000000011</v>
      </c>
      <c r="F87" s="51">
        <f>SUM('FY26'!BC$96:BC$144)*0.3</f>
        <v>8548.8000000000011</v>
      </c>
      <c r="G87" s="51">
        <f t="shared" si="4"/>
        <v>27098.400000000001</v>
      </c>
    </row>
    <row r="88" spans="2:7" ht="17.45" thickBot="1">
      <c r="B88" s="441"/>
      <c r="C88" s="51" t="s">
        <v>76</v>
      </c>
      <c r="D88" s="51">
        <f>SUM('FY26'!AY$253:AY$279)</f>
        <v>19959.999999999993</v>
      </c>
      <c r="E88" s="51">
        <f>SUM('FY26'!BA$253:BA$279)</f>
        <v>25009.999999999993</v>
      </c>
      <c r="F88" s="51">
        <f>SUM('FY26'!BC$253:BC$279)</f>
        <v>19959.999999999993</v>
      </c>
      <c r="G88" s="51">
        <f t="shared" si="4"/>
        <v>64929.999999999978</v>
      </c>
    </row>
    <row r="89" spans="2:7" ht="17.45" thickBot="1">
      <c r="B89" s="441"/>
      <c r="C89" s="51" t="s">
        <v>77</v>
      </c>
      <c r="D89" s="51">
        <f>SUM('FY26'!AY$280:AY$291)</f>
        <v>0</v>
      </c>
      <c r="E89" s="51">
        <f>SUM('FY26'!BA$280:BA$291)</f>
        <v>0</v>
      </c>
      <c r="F89" s="51">
        <f>SUM('FY26'!BC$280:BC$291)</f>
        <v>0</v>
      </c>
      <c r="G89" s="51">
        <f t="shared" si="4"/>
        <v>0</v>
      </c>
    </row>
    <row r="90" spans="2:7" ht="17.45" thickBot="1">
      <c r="B90" s="441"/>
      <c r="C90" s="51" t="s">
        <v>78</v>
      </c>
      <c r="D90" s="51">
        <f>SUM('FY26'!AY$292:AY$309)</f>
        <v>14350.000000000005</v>
      </c>
      <c r="E90" s="51">
        <f>SUM('FY26'!BA$292:BA$309)</f>
        <v>18550.000000000011</v>
      </c>
      <c r="F90" s="51">
        <f>SUM('FY26'!BC$292:BC$309)</f>
        <v>14350.000000000005</v>
      </c>
      <c r="G90" s="51">
        <f t="shared" si="4"/>
        <v>47250.000000000022</v>
      </c>
    </row>
    <row r="91" spans="2:7" ht="17.45" thickBot="1">
      <c r="B91" s="441"/>
      <c r="C91" s="51" t="s">
        <v>79</v>
      </c>
      <c r="D91" s="51">
        <f>SUM('FY26'!AY$310:AY$311)</f>
        <v>0</v>
      </c>
      <c r="E91" s="51">
        <f>SUM('FY26'!BA$310:BA$311)</f>
        <v>0</v>
      </c>
      <c r="F91" s="51">
        <f>SUM('FY26'!BC$310:BC$311)</f>
        <v>0</v>
      </c>
      <c r="G91" s="51">
        <f t="shared" si="4"/>
        <v>0</v>
      </c>
    </row>
    <row r="92" spans="2:7" ht="17.45" thickBot="1">
      <c r="B92" s="441"/>
      <c r="C92" s="51" t="s">
        <v>80</v>
      </c>
      <c r="D92" s="51">
        <f>SUM('FY26'!AY$312:AY$348)</f>
        <v>83849.999999999971</v>
      </c>
      <c r="E92" s="51">
        <f>SUM('FY26'!BA$312:BA$348)</f>
        <v>102019.99999999996</v>
      </c>
      <c r="F92" s="51">
        <f>SUM('FY26'!BC$312:BC$348)</f>
        <v>82159.999999999971</v>
      </c>
      <c r="G92" s="51">
        <f t="shared" si="4"/>
        <v>268029.99999999988</v>
      </c>
    </row>
    <row r="93" spans="2:7" ht="17.45" thickBot="1">
      <c r="B93" s="441"/>
      <c r="C93" s="51" t="s">
        <v>72</v>
      </c>
      <c r="D93" s="51">
        <f>SUM('FY26'!AY356:AY374)</f>
        <v>46.08</v>
      </c>
      <c r="E93" s="51">
        <f>SUM('FY26'!BA356:BA374)</f>
        <v>921.6</v>
      </c>
      <c r="F93" s="51">
        <f>SUM('FY26'!BC356:BC374)</f>
        <v>336.96000000000004</v>
      </c>
      <c r="G93" s="51">
        <f t="shared" si="4"/>
        <v>1304.6400000000001</v>
      </c>
    </row>
    <row r="94" spans="2:7" ht="17.45" thickBot="1">
      <c r="B94" s="442"/>
      <c r="C94" s="51" t="s">
        <v>73</v>
      </c>
      <c r="D94" s="51">
        <f>SUM('FY26'!AY$349:AY$355)</f>
        <v>0</v>
      </c>
      <c r="E94" s="51">
        <f>SUM('FY26'!BA$349:BA$355)</f>
        <v>0</v>
      </c>
      <c r="F94" s="51">
        <f>SUM('FY26'!BC$349:BC$355)</f>
        <v>0</v>
      </c>
      <c r="G94" s="51">
        <f t="shared" si="4"/>
        <v>0</v>
      </c>
    </row>
    <row r="95" spans="2:7" ht="17.45" thickBot="1">
      <c r="B95" s="46"/>
      <c r="C95" s="46"/>
      <c r="D95" s="46"/>
      <c r="E95" s="46"/>
      <c r="F95" s="46"/>
      <c r="G95" s="54">
        <f>SUM(G75:G94)</f>
        <v>1349077.64</v>
      </c>
    </row>
    <row r="96" spans="2:7">
      <c r="B96" s="46"/>
      <c r="C96" s="46"/>
      <c r="D96" s="46"/>
      <c r="E96" s="46"/>
      <c r="F96" s="46"/>
      <c r="G96" s="46"/>
    </row>
    <row r="97" spans="2:7" ht="17.45" thickBot="1">
      <c r="B97" s="45" t="s">
        <v>93</v>
      </c>
      <c r="C97" s="46"/>
      <c r="D97" s="46"/>
      <c r="E97" s="46"/>
      <c r="F97" s="46"/>
      <c r="G97" s="46"/>
    </row>
    <row r="98" spans="2:7" ht="29.45" thickBot="1">
      <c r="B98" s="118"/>
      <c r="C98" s="48" t="s">
        <v>81</v>
      </c>
      <c r="D98" s="56">
        <v>46143</v>
      </c>
      <c r="E98" s="56">
        <v>46174</v>
      </c>
      <c r="F98" s="56">
        <v>46204</v>
      </c>
      <c r="G98" s="49" t="s">
        <v>948</v>
      </c>
    </row>
    <row r="99" spans="2:7" ht="17.45" thickBot="1">
      <c r="B99" s="436" t="s">
        <v>82</v>
      </c>
      <c r="C99" s="51" t="s">
        <v>83</v>
      </c>
      <c r="D99" s="51"/>
      <c r="E99" s="51"/>
      <c r="F99" s="51"/>
      <c r="G99" s="51"/>
    </row>
    <row r="100" spans="2:7" ht="17.45" thickBot="1">
      <c r="B100" s="436"/>
      <c r="C100" s="51" t="s">
        <v>84</v>
      </c>
      <c r="D100" s="51"/>
      <c r="E100" s="51"/>
      <c r="F100" s="51"/>
      <c r="G100" s="51"/>
    </row>
    <row r="101" spans="2:7" ht="17.45" thickBot="1">
      <c r="B101" s="436"/>
      <c r="C101" s="51" t="s">
        <v>85</v>
      </c>
      <c r="D101" s="51">
        <f>SUM(D75:D94)</f>
        <v>419457.08</v>
      </c>
      <c r="E101" s="51">
        <f>SUM(E75:E94)</f>
        <v>505177.59999999992</v>
      </c>
      <c r="F101" s="51">
        <f>SUM(F75:F94)</f>
        <v>424442.96</v>
      </c>
      <c r="G101" s="51">
        <f t="shared" ref="G101" si="5">SUM(D101:F101)</f>
        <v>1349077.64</v>
      </c>
    </row>
    <row r="102" spans="2:7" ht="17.45" thickBot="1">
      <c r="B102" s="436"/>
      <c r="C102" s="51" t="s">
        <v>86</v>
      </c>
      <c r="D102" s="51"/>
      <c r="E102" s="51"/>
      <c r="F102" s="51"/>
      <c r="G102" s="51"/>
    </row>
    <row r="103" spans="2:7" ht="17.45" thickBot="1">
      <c r="B103" s="436"/>
      <c r="C103" s="51" t="s">
        <v>87</v>
      </c>
      <c r="D103" s="51"/>
      <c r="E103" s="51"/>
      <c r="F103" s="51"/>
      <c r="G103" s="51"/>
    </row>
    <row r="104" spans="2:7" ht="17.45" thickBot="1">
      <c r="B104" s="436"/>
      <c r="C104" s="51" t="s">
        <v>88</v>
      </c>
      <c r="D104" s="51"/>
      <c r="E104" s="51"/>
      <c r="F104" s="51"/>
      <c r="G104" s="51"/>
    </row>
    <row r="105" spans="2:7" ht="17.45" thickBot="1">
      <c r="B105" s="46"/>
      <c r="C105" s="46"/>
      <c r="D105" s="46"/>
      <c r="E105" s="46"/>
      <c r="F105" s="54" t="s">
        <v>89</v>
      </c>
      <c r="G105" s="55">
        <f>SUM(G99:G104)</f>
        <v>1349077.64</v>
      </c>
    </row>
    <row r="107" spans="2:7" ht="17.45" thickBot="1">
      <c r="B107" s="45" t="s">
        <v>95</v>
      </c>
      <c r="C107" s="46"/>
      <c r="D107" s="46"/>
      <c r="E107" s="46"/>
      <c r="F107" s="46"/>
      <c r="G107" s="46"/>
    </row>
    <row r="108" spans="2:7" ht="29.45" thickBot="1">
      <c r="B108" s="47"/>
      <c r="C108" s="48" t="s">
        <v>59</v>
      </c>
      <c r="D108" s="56">
        <v>46235</v>
      </c>
      <c r="E108" s="56">
        <v>46266</v>
      </c>
      <c r="F108" s="56">
        <v>46296</v>
      </c>
      <c r="G108" s="49" t="s">
        <v>949</v>
      </c>
    </row>
    <row r="109" spans="2:7" ht="17.45" thickBot="1">
      <c r="B109" s="437" t="s">
        <v>61</v>
      </c>
      <c r="C109" s="51" t="s">
        <v>62</v>
      </c>
      <c r="D109" s="51">
        <f>SUM('FY26'!BE$375:BE$520)*0.25</f>
        <v>24212.5</v>
      </c>
      <c r="E109" s="51">
        <f>SUM('FY26'!BG$375:BG$520)*0.25</f>
        <v>33337.5</v>
      </c>
      <c r="F109" s="51">
        <f>SUM('FY26'!BI$375:BI$520)*0.25</f>
        <v>21437.5</v>
      </c>
      <c r="G109" s="51">
        <f t="shared" ref="G109:G128" si="6">SUM(D109:F109)</f>
        <v>78987.5</v>
      </c>
    </row>
    <row r="110" spans="2:7" ht="17.45" thickBot="1">
      <c r="B110" s="438"/>
      <c r="C110" s="51" t="s">
        <v>322</v>
      </c>
      <c r="D110" s="51">
        <f>SUM('FY26'!BE$6:BE$25)</f>
        <v>15059.999999999998</v>
      </c>
      <c r="E110" s="51">
        <f>SUM('FY26'!BG$6:BG$25)</f>
        <v>29789.999999999996</v>
      </c>
      <c r="F110" s="51">
        <f>SUM('FY26'!BI$6:BI$25)</f>
        <v>15059.999999999998</v>
      </c>
      <c r="G110" s="51">
        <f t="shared" si="6"/>
        <v>59909.999999999993</v>
      </c>
    </row>
    <row r="111" spans="2:7" ht="17.45" thickBot="1">
      <c r="B111" s="438"/>
      <c r="C111" s="51" t="s">
        <v>65</v>
      </c>
      <c r="D111" s="51">
        <f>SUM('FY26'!BE$26:BE$63)</f>
        <v>115200.00000000001</v>
      </c>
      <c r="E111" s="51">
        <f>SUM('FY26'!BG$26:BG$63)</f>
        <v>176450</v>
      </c>
      <c r="F111" s="51">
        <f>SUM('FY26'!BI$26:BI$63)</f>
        <v>115200.00000000001</v>
      </c>
      <c r="G111" s="51">
        <f t="shared" si="6"/>
        <v>406850</v>
      </c>
    </row>
    <row r="112" spans="2:7" ht="17.45" thickBot="1">
      <c r="B112" s="438"/>
      <c r="C112" s="51" t="s">
        <v>66</v>
      </c>
      <c r="D112" s="51">
        <f>SUM('FY26'!BE$64:BE$72)</f>
        <v>7680</v>
      </c>
      <c r="E112" s="51">
        <f>SUM('FY26'!BG$64:BG$72)</f>
        <v>7680</v>
      </c>
      <c r="F112" s="51">
        <f>SUM('FY26'!BI$64:BI$72)</f>
        <v>7680</v>
      </c>
      <c r="G112" s="51">
        <f t="shared" si="6"/>
        <v>23040</v>
      </c>
    </row>
    <row r="113" spans="2:7" ht="17.45" thickBot="1">
      <c r="B113" s="438"/>
      <c r="C113" s="51" t="s">
        <v>67</v>
      </c>
      <c r="D113" s="51">
        <f>SUM('FY26'!BE$90:BE$91)</f>
        <v>0</v>
      </c>
      <c r="E113" s="51">
        <f>SUM('FY26'!BG$90:BG$91)</f>
        <v>0</v>
      </c>
      <c r="F113" s="51">
        <f>SUM('FY26'!BI$90:BI$91)</f>
        <v>0</v>
      </c>
      <c r="G113" s="51">
        <f t="shared" si="6"/>
        <v>0</v>
      </c>
    </row>
    <row r="114" spans="2:7" ht="17.45" thickBot="1">
      <c r="B114" s="438"/>
      <c r="C114" s="51" t="s">
        <v>68</v>
      </c>
      <c r="D114" s="51">
        <f>SUM('FY26'!BE$92:BE$95)</f>
        <v>0</v>
      </c>
      <c r="E114" s="51">
        <f>SUM('FY26'!BG$92:BG$95)</f>
        <v>0</v>
      </c>
      <c r="F114" s="51">
        <f>SUM('FY26'!BI$92:BI$95)</f>
        <v>0</v>
      </c>
      <c r="G114" s="51">
        <f t="shared" si="6"/>
        <v>0</v>
      </c>
    </row>
    <row r="115" spans="2:7" ht="17.45" thickBot="1">
      <c r="B115" s="438"/>
      <c r="C115" s="51" t="s">
        <v>69</v>
      </c>
      <c r="D115" s="51">
        <f>SUM('FY26'!BE$96:BE$144)*0.7</f>
        <v>20787.200000000004</v>
      </c>
      <c r="E115" s="51">
        <f>SUM('FY26'!BG$96:BG$144)*0.7</f>
        <v>24595.200000000004</v>
      </c>
      <c r="F115" s="51">
        <f>SUM('FY26'!BI$96:BI$144)*0.7</f>
        <v>21207.200000000004</v>
      </c>
      <c r="G115" s="51">
        <f t="shared" si="6"/>
        <v>66589.600000000006</v>
      </c>
    </row>
    <row r="116" spans="2:7" ht="17.45" thickBot="1">
      <c r="B116" s="438"/>
      <c r="C116" s="51" t="s">
        <v>70</v>
      </c>
      <c r="D116" s="51">
        <f>SUM('FY26'!BE$73:BE$74)</f>
        <v>0</v>
      </c>
      <c r="E116" s="51">
        <f>SUM('FY26'!BG$73:BG$74)</f>
        <v>0</v>
      </c>
      <c r="F116" s="51">
        <f>SUM('FY26'!BI$73:BI$74)</f>
        <v>0</v>
      </c>
      <c r="G116" s="51">
        <f t="shared" si="6"/>
        <v>0</v>
      </c>
    </row>
    <row r="117" spans="2:7" ht="17.45" thickBot="1">
      <c r="B117" s="438"/>
      <c r="C117" s="51" t="s">
        <v>71</v>
      </c>
      <c r="D117" s="51">
        <f>SUM('FY26'!BE$75:BE$89)</f>
        <v>880</v>
      </c>
      <c r="E117" s="51">
        <f>SUM('FY26'!BG$75:BG$89)</f>
        <v>880</v>
      </c>
      <c r="F117" s="51">
        <f>SUM('FY26'!BI$75:BI$89)</f>
        <v>880</v>
      </c>
      <c r="G117" s="51">
        <f t="shared" si="6"/>
        <v>2640</v>
      </c>
    </row>
    <row r="118" spans="2:7" ht="17.45" thickBot="1">
      <c r="B118" s="438"/>
      <c r="C118" s="50" t="s">
        <v>72</v>
      </c>
      <c r="D118" s="52"/>
      <c r="E118" s="52"/>
      <c r="F118" s="52"/>
      <c r="G118" s="51">
        <f t="shared" si="6"/>
        <v>0</v>
      </c>
    </row>
    <row r="119" spans="2:7" ht="17.45" thickBot="1">
      <c r="B119" s="439"/>
      <c r="C119" s="53" t="s">
        <v>73</v>
      </c>
      <c r="D119" s="51">
        <f>SUM('FY26'!BE$145:BE$236)</f>
        <v>38594.999999999985</v>
      </c>
      <c r="E119" s="51">
        <f>SUM('FY26'!BG$145:BG$236)</f>
        <v>42484.999999999993</v>
      </c>
      <c r="F119" s="51">
        <f>SUM('FY26'!BI$145:BI$236)</f>
        <v>37354.999999999985</v>
      </c>
      <c r="G119" s="51">
        <f t="shared" si="6"/>
        <v>118434.99999999996</v>
      </c>
    </row>
    <row r="120" spans="2:7" ht="17.45" thickBot="1">
      <c r="B120" s="440" t="s">
        <v>74</v>
      </c>
      <c r="C120" s="51" t="s">
        <v>75</v>
      </c>
      <c r="D120" s="51">
        <f>SUM('FY26'!BE$375:BE$520)*0.75+SUM('FY26'!BE237:BE248)</f>
        <v>72637.5</v>
      </c>
      <c r="E120" s="51">
        <f>SUM('FY26'!BG$375:BG$520)*0.75+SUM('FY26'!BG237:BG248)</f>
        <v>100012.5</v>
      </c>
      <c r="F120" s="51">
        <f>SUM('FY26'!BI$375:BI$520)*0.75+SUM('FY26'!BI237:BI248)</f>
        <v>64312.5</v>
      </c>
      <c r="G120" s="51">
        <f t="shared" si="6"/>
        <v>236962.5</v>
      </c>
    </row>
    <row r="121" spans="2:7" ht="17.45" thickBot="1">
      <c r="B121" s="441"/>
      <c r="C121" s="51" t="s">
        <v>69</v>
      </c>
      <c r="D121" s="51">
        <f>SUM('FY26'!BE$96:BE$144)*0.3</f>
        <v>8908.8000000000011</v>
      </c>
      <c r="E121" s="51">
        <f>SUM('FY26'!BG$96:BG$144)*0.3</f>
        <v>10540.800000000001</v>
      </c>
      <c r="F121" s="51">
        <f>SUM('FY26'!BI$96:BI$144)*0.3</f>
        <v>9088.8000000000011</v>
      </c>
      <c r="G121" s="51">
        <f t="shared" si="6"/>
        <v>28538.400000000001</v>
      </c>
    </row>
    <row r="122" spans="2:7" ht="17.45" thickBot="1">
      <c r="B122" s="441"/>
      <c r="C122" s="51" t="s">
        <v>76</v>
      </c>
      <c r="D122" s="51">
        <f>SUM('FY26'!BE$253:BE$279)</f>
        <v>19959.999999999993</v>
      </c>
      <c r="E122" s="51">
        <f>SUM('FY26'!BG$253:BG$279)</f>
        <v>26209.999999999989</v>
      </c>
      <c r="F122" s="51">
        <f>SUM('FY26'!BI$253:BI$279)</f>
        <v>19959.999999999993</v>
      </c>
      <c r="G122" s="51">
        <f t="shared" si="6"/>
        <v>66129.999999999971</v>
      </c>
    </row>
    <row r="123" spans="2:7" ht="17.45" thickBot="1">
      <c r="B123" s="441"/>
      <c r="C123" s="51" t="s">
        <v>77</v>
      </c>
      <c r="D123" s="51">
        <f>SUM('FY26'!BE$280:BE$291)</f>
        <v>0</v>
      </c>
      <c r="E123" s="51">
        <f>SUM('FY26'!BG$280:BG$291)</f>
        <v>0</v>
      </c>
      <c r="F123" s="51">
        <f>SUM('FY26'!BI$280:BI$291)</f>
        <v>0</v>
      </c>
      <c r="G123" s="51">
        <f t="shared" si="6"/>
        <v>0</v>
      </c>
    </row>
    <row r="124" spans="2:7" ht="17.45" thickBot="1">
      <c r="B124" s="441"/>
      <c r="C124" s="51" t="s">
        <v>78</v>
      </c>
      <c r="D124" s="51">
        <f>SUM('FY26'!BE$292:BE$309)</f>
        <v>14350.000000000005</v>
      </c>
      <c r="E124" s="51">
        <f>SUM('FY26'!BG$292:BG$309)</f>
        <v>20150.000000000015</v>
      </c>
      <c r="F124" s="51">
        <f>SUM('FY26'!BI$292:BI$309)</f>
        <v>14350.000000000005</v>
      </c>
      <c r="G124" s="51">
        <f t="shared" si="6"/>
        <v>48850.000000000029</v>
      </c>
    </row>
    <row r="125" spans="2:7" ht="17.45" thickBot="1">
      <c r="B125" s="441"/>
      <c r="C125" s="51" t="s">
        <v>79</v>
      </c>
      <c r="D125" s="51">
        <f>SUM('FY26'!BE$310:BE$311)</f>
        <v>0</v>
      </c>
      <c r="E125" s="51">
        <f>SUM('FY26'!BG$310:BG$311)</f>
        <v>0</v>
      </c>
      <c r="F125" s="51">
        <f>SUM('FY26'!BI$310:BI$311)</f>
        <v>0</v>
      </c>
      <c r="G125" s="51">
        <f t="shared" si="6"/>
        <v>0</v>
      </c>
    </row>
    <row r="126" spans="2:7" ht="17.45" thickBot="1">
      <c r="B126" s="441"/>
      <c r="C126" s="51" t="s">
        <v>80</v>
      </c>
      <c r="D126" s="51">
        <f>SUM('FY26'!BE$312:BE$348)</f>
        <v>82159.999999999971</v>
      </c>
      <c r="E126" s="51">
        <f>SUM('FY26'!BG$312:BG$348)</f>
        <v>108129.99999999996</v>
      </c>
      <c r="F126" s="51">
        <f>SUM('FY26'!BI$312:BI$348)</f>
        <v>79059.999999999971</v>
      </c>
      <c r="G126" s="51">
        <f t="shared" si="6"/>
        <v>269349.99999999988</v>
      </c>
    </row>
    <row r="127" spans="2:7" ht="17.45" thickBot="1">
      <c r="B127" s="441"/>
      <c r="C127" s="51" t="s">
        <v>72</v>
      </c>
      <c r="D127" s="51">
        <f>SUM('FY26'!BE356:BE374)</f>
        <v>200.64000000000001</v>
      </c>
      <c r="E127" s="51">
        <f>SUM('FY26'!BG356:BG374)</f>
        <v>584.64</v>
      </c>
      <c r="F127" s="51">
        <f>SUM('FY26'!BI356:BI374)</f>
        <v>0</v>
      </c>
      <c r="G127" s="51">
        <f t="shared" si="6"/>
        <v>785.28</v>
      </c>
    </row>
    <row r="128" spans="2:7" ht="17.45" thickBot="1">
      <c r="B128" s="442"/>
      <c r="C128" s="51" t="s">
        <v>73</v>
      </c>
      <c r="D128" s="51">
        <f>SUM('FY26'!BE$349:BE$355)</f>
        <v>0</v>
      </c>
      <c r="E128" s="51">
        <f>SUM('FY26'!BG$349:BG$355)</f>
        <v>0</v>
      </c>
      <c r="F128" s="51">
        <f>SUM('FY26'!BI$349:BI$355)</f>
        <v>0</v>
      </c>
      <c r="G128" s="51">
        <f t="shared" si="6"/>
        <v>0</v>
      </c>
    </row>
    <row r="129" spans="2:7" ht="17.45" thickBot="1">
      <c r="B129" s="46"/>
      <c r="C129" s="46"/>
      <c r="D129" s="46"/>
      <c r="E129" s="46"/>
      <c r="F129" s="46"/>
      <c r="G129" s="54">
        <f>SUM(G109:G128)</f>
        <v>1407068.28</v>
      </c>
    </row>
    <row r="130" spans="2:7">
      <c r="B130" s="46"/>
      <c r="C130" s="46"/>
      <c r="D130" s="46"/>
      <c r="E130" s="46"/>
      <c r="F130" s="46"/>
      <c r="G130" s="46"/>
    </row>
    <row r="131" spans="2:7" ht="17.45" thickBot="1">
      <c r="B131" s="45" t="s">
        <v>95</v>
      </c>
      <c r="C131" s="46"/>
      <c r="D131" s="46"/>
      <c r="E131" s="46"/>
      <c r="F131" s="46"/>
      <c r="G131" s="46"/>
    </row>
    <row r="132" spans="2:7" ht="29.45" thickBot="1">
      <c r="B132" s="118"/>
      <c r="C132" s="48" t="s">
        <v>81</v>
      </c>
      <c r="D132" s="56">
        <v>46235</v>
      </c>
      <c r="E132" s="56">
        <v>46266</v>
      </c>
      <c r="F132" s="56">
        <v>46296</v>
      </c>
      <c r="G132" s="49" t="s">
        <v>949</v>
      </c>
    </row>
    <row r="133" spans="2:7" ht="17.45" thickBot="1">
      <c r="B133" s="436" t="s">
        <v>82</v>
      </c>
      <c r="C133" s="51" t="s">
        <v>83</v>
      </c>
      <c r="D133" s="51"/>
      <c r="E133" s="51"/>
      <c r="F133" s="51"/>
      <c r="G133" s="51"/>
    </row>
    <row r="134" spans="2:7" ht="17.45" thickBot="1">
      <c r="B134" s="436"/>
      <c r="C134" s="51" t="s">
        <v>84</v>
      </c>
      <c r="D134" s="51"/>
      <c r="E134" s="51"/>
      <c r="F134" s="51"/>
      <c r="G134" s="51"/>
    </row>
    <row r="135" spans="2:7" ht="17.45" thickBot="1">
      <c r="B135" s="436"/>
      <c r="C135" s="51" t="s">
        <v>85</v>
      </c>
      <c r="D135" s="51">
        <f>SUM(D109:D128)</f>
        <v>420631.64</v>
      </c>
      <c r="E135" s="51">
        <f>SUM(E109:E128)</f>
        <v>580845.64</v>
      </c>
      <c r="F135" s="51">
        <f>SUM(F109:F128)</f>
        <v>405591</v>
      </c>
      <c r="G135" s="51">
        <f t="shared" ref="G135" si="7">SUM(D135:F135)</f>
        <v>1407068.28</v>
      </c>
    </row>
    <row r="136" spans="2:7" ht="17.45" thickBot="1">
      <c r="B136" s="436"/>
      <c r="C136" s="51" t="s">
        <v>86</v>
      </c>
      <c r="D136" s="51"/>
      <c r="E136" s="51"/>
      <c r="F136" s="51"/>
      <c r="G136" s="51"/>
    </row>
    <row r="137" spans="2:7" ht="17.45" thickBot="1">
      <c r="B137" s="436"/>
      <c r="C137" s="51" t="s">
        <v>87</v>
      </c>
      <c r="D137" s="51"/>
      <c r="E137" s="51"/>
      <c r="F137" s="51"/>
      <c r="G137" s="51"/>
    </row>
    <row r="138" spans="2:7" ht="17.45" thickBot="1">
      <c r="B138" s="436"/>
      <c r="C138" s="51" t="s">
        <v>88</v>
      </c>
      <c r="D138" s="51"/>
      <c r="E138" s="51"/>
      <c r="F138" s="51"/>
      <c r="G138" s="51"/>
    </row>
    <row r="139" spans="2:7" ht="17.45" thickBot="1">
      <c r="B139" s="46"/>
      <c r="C139" s="46"/>
      <c r="D139" s="46"/>
      <c r="E139" s="46"/>
      <c r="F139" s="54" t="s">
        <v>89</v>
      </c>
      <c r="G139" s="55">
        <f>SUM(G133:G138)</f>
        <v>1407068.28</v>
      </c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M520"/>
  <sheetViews>
    <sheetView tabSelected="1" zoomScale="55" zoomScaleNormal="55" workbookViewId="0">
      <pane xSplit="13" ySplit="2" topLeftCell="AJ3" activePane="bottomRight" state="frozen"/>
      <selection pane="bottomRight" activeCell="I5" sqref="I5"/>
      <selection pane="bottomLeft" activeCell="A3" sqref="A3"/>
      <selection pane="topRight" activeCell="N1" sqref="N1"/>
    </sheetView>
  </sheetViews>
  <sheetFormatPr defaultColWidth="9" defaultRowHeight="14.45"/>
  <cols>
    <col min="1" max="1" width="5.25" style="251" customWidth="1"/>
    <col min="2" max="2" width="9" style="59"/>
    <col min="3" max="3" width="7.5" style="1" customWidth="1"/>
    <col min="4" max="4" width="12.125" style="1" customWidth="1"/>
    <col min="5" max="5" width="11.375" style="1" customWidth="1"/>
    <col min="6" max="6" width="13.375" style="1" customWidth="1"/>
    <col min="7" max="7" width="11.125" style="1" customWidth="1"/>
    <col min="8" max="8" width="27.875" style="1" customWidth="1"/>
    <col min="9" max="9" width="11.5" style="1" customWidth="1"/>
    <col min="10" max="10" width="8.375" style="32" bestFit="1" customWidth="1"/>
    <col min="11" max="11" width="24.375" style="1" customWidth="1"/>
    <col min="12" max="12" width="11" style="1" customWidth="1"/>
    <col min="13" max="13" width="18" style="27" customWidth="1"/>
    <col min="14" max="25" width="10.5" style="27" customWidth="1"/>
    <col min="26" max="28" width="11.375" style="3" customWidth="1"/>
    <col min="29" max="37" width="11.375" style="1" customWidth="1"/>
    <col min="38" max="38" width="16.375" style="5" hidden="1" customWidth="1"/>
    <col min="39" max="39" width="16.375" style="6" hidden="1" customWidth="1"/>
    <col min="40" max="40" width="16.375" style="5" hidden="1" customWidth="1"/>
    <col min="41" max="41" width="16.375" style="6" hidden="1" customWidth="1"/>
    <col min="42" max="42" width="16.375" style="5" hidden="1" customWidth="1"/>
    <col min="43" max="43" width="16.375" style="6" hidden="1" customWidth="1"/>
    <col min="44" max="45" width="16.375" style="1" hidden="1" customWidth="1"/>
    <col min="46" max="47" width="16.375" style="1" customWidth="1"/>
    <col min="48" max="61" width="16.375" style="1" hidden="1" customWidth="1"/>
    <col min="62" max="62" width="14.875" style="1" customWidth="1"/>
    <col min="63" max="63" width="13" style="1" customWidth="1"/>
    <col min="64" max="64" width="9" style="1"/>
    <col min="65" max="65" width="28.375" style="1" customWidth="1"/>
    <col min="66" max="16384" width="9" style="1"/>
  </cols>
  <sheetData>
    <row r="1" spans="1:65" s="2" customFormat="1" ht="86.85" customHeight="1" thickBot="1">
      <c r="A1" s="315"/>
      <c r="B1" s="57"/>
      <c r="C1" s="57"/>
      <c r="D1" s="57" t="s">
        <v>97</v>
      </c>
      <c r="E1" s="41" t="s">
        <v>98</v>
      </c>
      <c r="F1" s="8"/>
      <c r="G1" s="29" t="s">
        <v>440</v>
      </c>
      <c r="H1" s="29" t="s">
        <v>441</v>
      </c>
      <c r="I1" s="40" t="s">
        <v>442</v>
      </c>
      <c r="J1" s="40" t="s">
        <v>443</v>
      </c>
      <c r="K1" s="40" t="s">
        <v>444</v>
      </c>
      <c r="L1" s="40" t="s">
        <v>445</v>
      </c>
      <c r="M1" s="393" t="s">
        <v>446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4"/>
      <c r="AA1" s="4"/>
      <c r="AB1" s="4"/>
      <c r="AL1" s="4"/>
      <c r="AM1" s="4">
        <f>SUM(AM3:AM1249)</f>
        <v>401758.22999999992</v>
      </c>
      <c r="AN1" s="4"/>
      <c r="AO1" s="4">
        <f>SUM(AO3:AO1249)</f>
        <v>419280.00999999995</v>
      </c>
      <c r="AP1" s="4"/>
      <c r="AQ1" s="4">
        <f>SUM(AQ3:AQ1249)</f>
        <v>275592.62000000005</v>
      </c>
      <c r="AS1" s="2">
        <f>SUM(AS3:AS1249)</f>
        <v>10825.800000000003</v>
      </c>
      <c r="AU1" s="2">
        <f>SUM(AU3:AU1249)</f>
        <v>540386.12999999977</v>
      </c>
      <c r="AW1" s="2">
        <f>SUM(AW3:AW1249)</f>
        <v>420491.80000000005</v>
      </c>
      <c r="AY1" s="2">
        <f>SUM(AY3:AY1249)</f>
        <v>419457.07999999996</v>
      </c>
      <c r="BA1" s="2">
        <f>SUM(BA3:BA1249)</f>
        <v>505177.60000000003</v>
      </c>
      <c r="BC1" s="2">
        <f>SUM(BC3:BC1249)</f>
        <v>424442.96</v>
      </c>
      <c r="BE1" s="2">
        <f>SUM(BE3:BE1249)</f>
        <v>420631.64</v>
      </c>
      <c r="BG1" s="2">
        <f>SUM(BG3:BG1249)</f>
        <v>580845.64</v>
      </c>
      <c r="BI1" s="2">
        <f>SUM(BI3:BI1249)</f>
        <v>405591</v>
      </c>
      <c r="BJ1" s="40" t="s">
        <v>447</v>
      </c>
      <c r="BK1" s="40" t="s">
        <v>448</v>
      </c>
      <c r="BL1" s="40" t="s">
        <v>449</v>
      </c>
      <c r="BM1" s="40" t="s">
        <v>450</v>
      </c>
    </row>
    <row r="2" spans="1:65" s="7" customFormat="1" ht="104.85" customHeight="1" thickBot="1">
      <c r="A2" s="151" t="s">
        <v>950</v>
      </c>
      <c r="B2" s="62" t="s">
        <v>106</v>
      </c>
      <c r="C2" s="277" t="s">
        <v>107</v>
      </c>
      <c r="D2" s="58" t="s">
        <v>108</v>
      </c>
      <c r="E2" s="9" t="s">
        <v>59</v>
      </c>
      <c r="F2" s="280" t="s">
        <v>109</v>
      </c>
      <c r="G2" s="350" t="s">
        <v>110</v>
      </c>
      <c r="H2" s="283" t="s">
        <v>111</v>
      </c>
      <c r="I2" s="284" t="s">
        <v>112</v>
      </c>
      <c r="J2" s="285" t="s">
        <v>113</v>
      </c>
      <c r="K2" s="284" t="s">
        <v>114</v>
      </c>
      <c r="L2" s="284" t="s">
        <v>115</v>
      </c>
      <c r="M2" s="286" t="s">
        <v>116</v>
      </c>
      <c r="N2" s="288" t="s">
        <v>118</v>
      </c>
      <c r="O2" s="288" t="s">
        <v>119</v>
      </c>
      <c r="P2" s="288" t="s">
        <v>120</v>
      </c>
      <c r="Q2" s="288" t="s">
        <v>121</v>
      </c>
      <c r="R2" s="288" t="s">
        <v>122</v>
      </c>
      <c r="S2" s="288" t="s">
        <v>123</v>
      </c>
      <c r="T2" s="288" t="s">
        <v>124</v>
      </c>
      <c r="U2" s="288" t="s">
        <v>125</v>
      </c>
      <c r="V2" s="288" t="s">
        <v>126</v>
      </c>
      <c r="W2" s="288" t="s">
        <v>127</v>
      </c>
      <c r="X2" s="288" t="s">
        <v>128</v>
      </c>
      <c r="Y2" s="288" t="s">
        <v>129</v>
      </c>
      <c r="Z2" s="400" t="s">
        <v>131</v>
      </c>
      <c r="AA2" s="400" t="s">
        <v>132</v>
      </c>
      <c r="AB2" s="400" t="s">
        <v>133</v>
      </c>
      <c r="AC2" s="400" t="s">
        <v>134</v>
      </c>
      <c r="AD2" s="400" t="s">
        <v>135</v>
      </c>
      <c r="AE2" s="400" t="s">
        <v>136</v>
      </c>
      <c r="AF2" s="400" t="s">
        <v>137</v>
      </c>
      <c r="AG2" s="400" t="s">
        <v>138</v>
      </c>
      <c r="AH2" s="400" t="s">
        <v>139</v>
      </c>
      <c r="AI2" s="400" t="s">
        <v>140</v>
      </c>
      <c r="AJ2" s="400" t="s">
        <v>141</v>
      </c>
      <c r="AK2" s="400" t="s">
        <v>142</v>
      </c>
      <c r="AL2" s="290" t="s">
        <v>143</v>
      </c>
      <c r="AM2" s="291" t="s">
        <v>144</v>
      </c>
      <c r="AN2" s="290" t="s">
        <v>145</v>
      </c>
      <c r="AO2" s="291" t="s">
        <v>146</v>
      </c>
      <c r="AP2" s="291" t="s">
        <v>147</v>
      </c>
      <c r="AQ2" s="291" t="s">
        <v>148</v>
      </c>
      <c r="AR2" s="292" t="s">
        <v>149</v>
      </c>
      <c r="AS2" s="293" t="s">
        <v>150</v>
      </c>
      <c r="AT2" s="292" t="s">
        <v>151</v>
      </c>
      <c r="AU2" s="293" t="s">
        <v>152</v>
      </c>
      <c r="AV2" s="293" t="s">
        <v>153</v>
      </c>
      <c r="AW2" s="293" t="s">
        <v>154</v>
      </c>
      <c r="AX2" s="294" t="s">
        <v>155</v>
      </c>
      <c r="AY2" s="295" t="s">
        <v>156</v>
      </c>
      <c r="AZ2" s="294" t="s">
        <v>157</v>
      </c>
      <c r="BA2" s="295" t="s">
        <v>158</v>
      </c>
      <c r="BB2" s="295" t="s">
        <v>159</v>
      </c>
      <c r="BC2" s="295" t="s">
        <v>160</v>
      </c>
      <c r="BD2" s="296" t="s">
        <v>161</v>
      </c>
      <c r="BE2" s="297" t="s">
        <v>162</v>
      </c>
      <c r="BF2" s="296" t="s">
        <v>163</v>
      </c>
      <c r="BG2" s="297" t="s">
        <v>164</v>
      </c>
      <c r="BH2" s="297" t="s">
        <v>165</v>
      </c>
      <c r="BI2" s="297" t="s">
        <v>166</v>
      </c>
      <c r="BJ2" s="279" t="s">
        <v>167</v>
      </c>
      <c r="BK2" s="279" t="s">
        <v>168</v>
      </c>
      <c r="BL2" s="279" t="s">
        <v>329</v>
      </c>
      <c r="BM2" s="367" t="s">
        <v>452</v>
      </c>
    </row>
    <row r="3" spans="1:65" ht="17.25" customHeight="1">
      <c r="A3" s="250" t="s">
        <v>950</v>
      </c>
      <c r="C3" s="354"/>
      <c r="D3" s="423" t="s">
        <v>169</v>
      </c>
      <c r="E3" s="356"/>
      <c r="F3" s="426">
        <v>200</v>
      </c>
      <c r="G3" s="319"/>
      <c r="H3" s="298"/>
      <c r="I3" s="298"/>
      <c r="J3" s="299"/>
      <c r="K3" s="298"/>
      <c r="L3" s="298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255"/>
      <c r="AM3" s="254">
        <f>Z3*AL3</f>
        <v>0</v>
      </c>
      <c r="AN3" s="255"/>
      <c r="AO3" s="254">
        <f>AA3*AN3</f>
        <v>0</v>
      </c>
      <c r="AP3" s="255"/>
      <c r="AQ3" s="254">
        <f>AB3*AP3</f>
        <v>0</v>
      </c>
      <c r="AR3" s="256"/>
      <c r="AS3" s="257">
        <f>AC3*AR3</f>
        <v>0</v>
      </c>
      <c r="AT3" s="59"/>
      <c r="AU3" s="257">
        <f>AD3*AT3</f>
        <v>0</v>
      </c>
      <c r="AV3" s="59"/>
      <c r="AW3" s="257">
        <f>AE3*AV3</f>
        <v>0</v>
      </c>
      <c r="AX3" s="59"/>
      <c r="AY3" s="257">
        <f>AF3*AX3</f>
        <v>0</v>
      </c>
      <c r="AZ3" s="59"/>
      <c r="BA3" s="257">
        <f>AG3*AZ3</f>
        <v>0</v>
      </c>
      <c r="BB3" s="268"/>
      <c r="BC3" s="257">
        <f>AH3*BB3</f>
        <v>0</v>
      </c>
      <c r="BD3" s="59"/>
      <c r="BE3" s="257">
        <f>AI3*BD3</f>
        <v>0</v>
      </c>
      <c r="BF3" s="59"/>
      <c r="BG3" s="257">
        <f>AJ3*BF3</f>
        <v>0</v>
      </c>
      <c r="BH3" s="59"/>
      <c r="BI3" s="257">
        <f>AK3*BH3</f>
        <v>0</v>
      </c>
    </row>
    <row r="4" spans="1:65" ht="17.25" customHeight="1">
      <c r="A4" s="250" t="s">
        <v>950</v>
      </c>
      <c r="C4" s="354"/>
      <c r="D4" s="424"/>
      <c r="E4" s="357"/>
      <c r="F4" s="427"/>
      <c r="G4" s="59"/>
      <c r="H4" s="59"/>
      <c r="I4" s="59"/>
      <c r="J4" s="302"/>
      <c r="K4" s="59"/>
      <c r="L4" s="59"/>
      <c r="M4" s="303"/>
      <c r="N4" s="303"/>
      <c r="O4" s="303"/>
      <c r="P4" s="303"/>
      <c r="Q4" s="303"/>
      <c r="R4" s="303"/>
      <c r="S4" s="303"/>
      <c r="T4" s="303"/>
      <c r="U4" s="303"/>
      <c r="V4" s="303"/>
      <c r="W4" s="303"/>
      <c r="X4" s="303"/>
      <c r="Y4" s="303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255"/>
      <c r="AM4" s="254">
        <f t="shared" ref="AM4:AM91" si="0">Z4*AL4</f>
        <v>0</v>
      </c>
      <c r="AN4" s="255"/>
      <c r="AO4" s="254">
        <f t="shared" ref="AO4:AO91" si="1">AA4*AN4</f>
        <v>0</v>
      </c>
      <c r="AP4" s="274"/>
      <c r="AQ4" s="254">
        <f t="shared" ref="AQ4:AQ91" si="2">AB4*AP4</f>
        <v>0</v>
      </c>
      <c r="AR4" s="256"/>
      <c r="AS4" s="257">
        <f t="shared" ref="AS4:AS91" si="3">AC4*AR4</f>
        <v>0</v>
      </c>
      <c r="AT4" s="268"/>
      <c r="AU4" s="257">
        <f t="shared" ref="AU4:AU91" si="4">AD4*AT4</f>
        <v>0</v>
      </c>
      <c r="AV4" s="59"/>
      <c r="AW4" s="257">
        <f t="shared" ref="AW4:AW91" si="5">AE4*AV4</f>
        <v>0</v>
      </c>
      <c r="AX4" s="59"/>
      <c r="AY4" s="257">
        <f t="shared" ref="AY4:AY91" si="6">AF4*AX4</f>
        <v>0</v>
      </c>
      <c r="AZ4" s="59"/>
      <c r="BA4" s="257">
        <f t="shared" ref="BA4:BA91" si="7">AG4*AZ4</f>
        <v>0</v>
      </c>
      <c r="BB4" s="268"/>
      <c r="BC4" s="257">
        <f t="shared" ref="BC4:BC91" si="8">AH4*BB4</f>
        <v>0</v>
      </c>
      <c r="BD4" s="59"/>
      <c r="BE4" s="257">
        <f t="shared" ref="BE4:BE91" si="9">AI4*BD4</f>
        <v>0</v>
      </c>
      <c r="BF4" s="59"/>
      <c r="BG4" s="257">
        <f t="shared" ref="BG4:BG91" si="10">AJ4*BF4</f>
        <v>0</v>
      </c>
      <c r="BH4" s="59"/>
      <c r="BI4" s="257">
        <f t="shared" ref="BI4:BI91" si="11">AK4*BH4</f>
        <v>0</v>
      </c>
    </row>
    <row r="5" spans="1:65" ht="15" customHeight="1">
      <c r="A5" s="250" t="s">
        <v>951</v>
      </c>
      <c r="C5" s="354"/>
      <c r="D5" s="424"/>
      <c r="E5" s="357"/>
      <c r="F5" s="427"/>
      <c r="G5" s="59"/>
      <c r="H5" s="59"/>
      <c r="I5" s="59"/>
      <c r="J5" s="302"/>
      <c r="K5" s="59"/>
      <c r="L5" s="59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255"/>
      <c r="AM5" s="254">
        <f t="shared" si="0"/>
        <v>0</v>
      </c>
      <c r="AN5" s="255"/>
      <c r="AO5" s="254">
        <f t="shared" si="1"/>
        <v>0</v>
      </c>
      <c r="AP5" s="255"/>
      <c r="AQ5" s="254">
        <f t="shared" si="2"/>
        <v>0</v>
      </c>
      <c r="AR5" s="256"/>
      <c r="AS5" s="257">
        <f t="shared" si="3"/>
        <v>0</v>
      </c>
      <c r="AT5" s="268"/>
      <c r="AU5" s="257">
        <f t="shared" si="4"/>
        <v>0</v>
      </c>
      <c r="AV5" s="59"/>
      <c r="AW5" s="257">
        <f t="shared" si="5"/>
        <v>0</v>
      </c>
      <c r="AX5" s="59"/>
      <c r="AY5" s="257">
        <f t="shared" si="6"/>
        <v>0</v>
      </c>
      <c r="AZ5" s="59"/>
      <c r="BA5" s="257">
        <f t="shared" si="7"/>
        <v>0</v>
      </c>
      <c r="BB5" s="268"/>
      <c r="BC5" s="257">
        <f t="shared" si="8"/>
        <v>0</v>
      </c>
      <c r="BD5" s="59"/>
      <c r="BE5" s="257">
        <f t="shared" si="9"/>
        <v>0</v>
      </c>
      <c r="BF5" s="59"/>
      <c r="BG5" s="257">
        <f t="shared" si="10"/>
        <v>0</v>
      </c>
      <c r="BH5" s="59"/>
      <c r="BI5" s="257">
        <f t="shared" si="11"/>
        <v>0</v>
      </c>
    </row>
    <row r="6" spans="1:65" ht="17.25" customHeight="1">
      <c r="A6" s="250" t="s">
        <v>951</v>
      </c>
      <c r="B6" s="59" t="s">
        <v>341</v>
      </c>
      <c r="C6" s="354" t="s">
        <v>172</v>
      </c>
      <c r="D6" s="424"/>
      <c r="E6" s="357" t="s">
        <v>332</v>
      </c>
      <c r="F6" s="428" t="s">
        <v>333</v>
      </c>
      <c r="G6" s="317">
        <v>2024</v>
      </c>
      <c r="H6" s="298" t="s">
        <v>454</v>
      </c>
      <c r="I6" s="315" t="s">
        <v>175</v>
      </c>
      <c r="J6" s="316">
        <v>16</v>
      </c>
      <c r="K6" s="298" t="s">
        <v>335</v>
      </c>
      <c r="L6" s="298" t="s">
        <v>336</v>
      </c>
      <c r="M6" s="300" t="s">
        <v>455</v>
      </c>
      <c r="N6" s="300">
        <v>3.51</v>
      </c>
      <c r="O6" s="300">
        <v>3.51</v>
      </c>
      <c r="P6" s="300">
        <v>3.51</v>
      </c>
      <c r="Q6" s="300">
        <v>3.51</v>
      </c>
      <c r="R6" s="404">
        <v>4.26</v>
      </c>
      <c r="S6" s="404">
        <v>4.26</v>
      </c>
      <c r="T6" s="404">
        <v>4.26</v>
      </c>
      <c r="U6" s="404">
        <v>4.26</v>
      </c>
      <c r="V6" s="404">
        <v>4.26</v>
      </c>
      <c r="W6" s="404">
        <v>4.26</v>
      </c>
      <c r="X6" s="404">
        <v>4.26</v>
      </c>
      <c r="Y6" s="404">
        <v>4.26</v>
      </c>
      <c r="Z6" s="301">
        <v>0.31</v>
      </c>
      <c r="AA6" s="301">
        <v>0.31</v>
      </c>
      <c r="AB6" s="301">
        <v>0.31</v>
      </c>
      <c r="AC6" s="301">
        <v>0</v>
      </c>
      <c r="AD6" s="406">
        <v>0.45999999999999996</v>
      </c>
      <c r="AE6" s="406">
        <v>0.45999999999999996</v>
      </c>
      <c r="AF6" s="406">
        <v>0.45999999999999996</v>
      </c>
      <c r="AG6" s="406">
        <v>0.45999999999999996</v>
      </c>
      <c r="AH6" s="406">
        <v>0.45999999999999996</v>
      </c>
      <c r="AI6" s="406">
        <v>0.45999999999999996</v>
      </c>
      <c r="AJ6" s="406">
        <v>0.45999999999999996</v>
      </c>
      <c r="AK6" s="406">
        <v>0.45999999999999996</v>
      </c>
      <c r="AL6" s="270">
        <v>3000</v>
      </c>
      <c r="AM6" s="254">
        <f t="shared" si="0"/>
        <v>930</v>
      </c>
      <c r="AN6" s="255">
        <v>5040</v>
      </c>
      <c r="AO6" s="254">
        <f t="shared" si="1"/>
        <v>1562.4</v>
      </c>
      <c r="AP6" s="255">
        <v>2039</v>
      </c>
      <c r="AQ6" s="254">
        <f t="shared" si="2"/>
        <v>632.09</v>
      </c>
      <c r="AR6" s="255">
        <v>1800</v>
      </c>
      <c r="AS6" s="257">
        <f t="shared" si="3"/>
        <v>0</v>
      </c>
      <c r="AT6" s="255">
        <v>1920</v>
      </c>
      <c r="AU6" s="257">
        <f t="shared" si="4"/>
        <v>883.19999999999993</v>
      </c>
      <c r="AV6" s="255">
        <v>2000</v>
      </c>
      <c r="AW6" s="257">
        <f t="shared" si="5"/>
        <v>919.99999999999989</v>
      </c>
      <c r="AX6" s="255">
        <v>2000</v>
      </c>
      <c r="AY6" s="257">
        <f t="shared" si="6"/>
        <v>919.99999999999989</v>
      </c>
      <c r="AZ6" s="255">
        <v>2000</v>
      </c>
      <c r="BA6" s="257">
        <f t="shared" si="7"/>
        <v>919.99999999999989</v>
      </c>
      <c r="BB6" s="255">
        <v>2000</v>
      </c>
      <c r="BC6" s="257">
        <f t="shared" si="8"/>
        <v>919.99999999999989</v>
      </c>
      <c r="BD6" s="255">
        <v>2000</v>
      </c>
      <c r="BE6" s="257">
        <f t="shared" si="9"/>
        <v>919.99999999999989</v>
      </c>
      <c r="BF6" s="255">
        <v>2000</v>
      </c>
      <c r="BG6" s="257">
        <f t="shared" si="10"/>
        <v>919.99999999999989</v>
      </c>
      <c r="BH6" s="255">
        <v>2000</v>
      </c>
      <c r="BI6" s="257">
        <f t="shared" si="11"/>
        <v>919.99999999999989</v>
      </c>
      <c r="BJ6" s="1" t="s">
        <v>456</v>
      </c>
      <c r="BL6" s="1" t="s">
        <v>457</v>
      </c>
      <c r="BM6" s="1" t="s">
        <v>458</v>
      </c>
    </row>
    <row r="7" spans="1:65" ht="17.25" customHeight="1">
      <c r="A7" s="250" t="s">
        <v>951</v>
      </c>
      <c r="B7" s="59" t="s">
        <v>341</v>
      </c>
      <c r="C7" s="354" t="s">
        <v>172</v>
      </c>
      <c r="D7" s="424"/>
      <c r="E7" s="357" t="s">
        <v>332</v>
      </c>
      <c r="F7" s="427"/>
      <c r="G7" s="317">
        <v>2024</v>
      </c>
      <c r="H7" s="298" t="s">
        <v>454</v>
      </c>
      <c r="I7" s="315" t="s">
        <v>249</v>
      </c>
      <c r="J7" s="316">
        <v>16</v>
      </c>
      <c r="K7" s="298" t="s">
        <v>335</v>
      </c>
      <c r="L7" s="298" t="s">
        <v>336</v>
      </c>
      <c r="M7" s="300" t="s">
        <v>455</v>
      </c>
      <c r="N7" s="303">
        <v>7.91</v>
      </c>
      <c r="O7" s="303">
        <v>7.91</v>
      </c>
      <c r="P7" s="303">
        <v>7.91</v>
      </c>
      <c r="Q7" s="303">
        <v>7.91</v>
      </c>
      <c r="R7" s="401">
        <v>8.66</v>
      </c>
      <c r="S7" s="401">
        <v>8.66</v>
      </c>
      <c r="T7" s="401">
        <v>8.66</v>
      </c>
      <c r="U7" s="401">
        <v>8.66</v>
      </c>
      <c r="V7" s="401">
        <v>8.66</v>
      </c>
      <c r="W7" s="401">
        <v>8.66</v>
      </c>
      <c r="X7" s="401">
        <v>8.66</v>
      </c>
      <c r="Y7" s="401">
        <v>8.66</v>
      </c>
      <c r="Z7" s="304">
        <v>0.41</v>
      </c>
      <c r="AA7" s="304">
        <v>0.41</v>
      </c>
      <c r="AB7" s="304">
        <v>0.41</v>
      </c>
      <c r="AC7" s="301">
        <v>0</v>
      </c>
      <c r="AD7" s="403">
        <v>0.5600000000000005</v>
      </c>
      <c r="AE7" s="403">
        <v>0.5600000000000005</v>
      </c>
      <c r="AF7" s="403">
        <v>0.5600000000000005</v>
      </c>
      <c r="AG7" s="403">
        <v>0.5600000000000005</v>
      </c>
      <c r="AH7" s="403">
        <v>0.5600000000000005</v>
      </c>
      <c r="AI7" s="403">
        <v>0.5600000000000005</v>
      </c>
      <c r="AJ7" s="403">
        <v>0.5600000000000005</v>
      </c>
      <c r="AK7" s="403">
        <v>0.5600000000000005</v>
      </c>
      <c r="AL7" s="270">
        <v>5037</v>
      </c>
      <c r="AM7" s="254">
        <f t="shared" si="0"/>
        <v>2065.17</v>
      </c>
      <c r="AN7" s="255">
        <v>10023</v>
      </c>
      <c r="AO7" s="254">
        <f t="shared" si="1"/>
        <v>4109.4299999999994</v>
      </c>
      <c r="AP7" s="271">
        <v>520</v>
      </c>
      <c r="AQ7" s="254">
        <f t="shared" si="2"/>
        <v>213.2</v>
      </c>
      <c r="AR7" s="261">
        <v>7000</v>
      </c>
      <c r="AS7" s="257">
        <f t="shared" si="3"/>
        <v>0</v>
      </c>
      <c r="AT7" s="268">
        <v>4480</v>
      </c>
      <c r="AU7" s="257">
        <f t="shared" si="4"/>
        <v>2508.800000000002</v>
      </c>
      <c r="AV7" s="256">
        <v>2000</v>
      </c>
      <c r="AW7" s="257">
        <f t="shared" si="5"/>
        <v>1120.0000000000009</v>
      </c>
      <c r="AX7" s="256">
        <v>2000</v>
      </c>
      <c r="AY7" s="257">
        <f t="shared" si="6"/>
        <v>1120.0000000000009</v>
      </c>
      <c r="AZ7" s="256">
        <v>2000</v>
      </c>
      <c r="BA7" s="257">
        <f t="shared" si="7"/>
        <v>1120.0000000000009</v>
      </c>
      <c r="BB7" s="256">
        <v>2000</v>
      </c>
      <c r="BC7" s="257">
        <f t="shared" si="8"/>
        <v>1120.0000000000009</v>
      </c>
      <c r="BD7" s="256">
        <v>2000</v>
      </c>
      <c r="BE7" s="257">
        <f t="shared" si="9"/>
        <v>1120.0000000000009</v>
      </c>
      <c r="BF7" s="256">
        <v>2000</v>
      </c>
      <c r="BG7" s="257">
        <f t="shared" si="10"/>
        <v>1120.0000000000009</v>
      </c>
      <c r="BH7" s="256">
        <v>2000</v>
      </c>
      <c r="BI7" s="257">
        <f t="shared" si="11"/>
        <v>1120.0000000000009</v>
      </c>
      <c r="BJ7" s="1" t="s">
        <v>459</v>
      </c>
      <c r="BL7" s="1" t="s">
        <v>457</v>
      </c>
      <c r="BM7" s="1" t="s">
        <v>460</v>
      </c>
    </row>
    <row r="8" spans="1:65" ht="17.25" customHeight="1">
      <c r="A8" s="250" t="s">
        <v>951</v>
      </c>
      <c r="B8" s="59" t="s">
        <v>341</v>
      </c>
      <c r="C8" s="354" t="s">
        <v>172</v>
      </c>
      <c r="D8" s="424"/>
      <c r="E8" s="357" t="s">
        <v>332</v>
      </c>
      <c r="F8" s="427"/>
      <c r="G8" s="317">
        <v>2024</v>
      </c>
      <c r="H8" s="298" t="s">
        <v>454</v>
      </c>
      <c r="I8" s="315" t="s">
        <v>249</v>
      </c>
      <c r="J8" s="316">
        <v>16</v>
      </c>
      <c r="K8" s="298" t="s">
        <v>335</v>
      </c>
      <c r="L8" s="298" t="s">
        <v>336</v>
      </c>
      <c r="M8" s="300" t="s">
        <v>455</v>
      </c>
      <c r="N8" s="303">
        <v>7.91</v>
      </c>
      <c r="O8" s="303">
        <v>7.91</v>
      </c>
      <c r="P8" s="303">
        <v>7.91</v>
      </c>
      <c r="Q8" s="303">
        <v>7.91</v>
      </c>
      <c r="R8" s="401">
        <v>8.66</v>
      </c>
      <c r="S8" s="401">
        <v>8.66</v>
      </c>
      <c r="T8" s="401">
        <v>8.66</v>
      </c>
      <c r="U8" s="401">
        <v>8.66</v>
      </c>
      <c r="V8" s="401">
        <v>8.66</v>
      </c>
      <c r="W8" s="401">
        <v>8.66</v>
      </c>
      <c r="X8" s="401">
        <v>8.66</v>
      </c>
      <c r="Y8" s="401">
        <v>8.66</v>
      </c>
      <c r="Z8" s="304">
        <v>0.41</v>
      </c>
      <c r="AA8" s="304">
        <v>0.41</v>
      </c>
      <c r="AB8" s="304">
        <v>0.41</v>
      </c>
      <c r="AC8" s="301">
        <v>0</v>
      </c>
      <c r="AD8" s="403">
        <v>0.5600000000000005</v>
      </c>
      <c r="AE8" s="403">
        <v>0.5600000000000005</v>
      </c>
      <c r="AF8" s="403">
        <v>0.5600000000000005</v>
      </c>
      <c r="AG8" s="403">
        <v>0.5600000000000005</v>
      </c>
      <c r="AH8" s="403">
        <v>0.5600000000000005</v>
      </c>
      <c r="AI8" s="403">
        <v>0.5600000000000005</v>
      </c>
      <c r="AJ8" s="403">
        <v>0.5600000000000005</v>
      </c>
      <c r="AK8" s="403">
        <v>0.5600000000000005</v>
      </c>
      <c r="AL8" s="270">
        <v>120</v>
      </c>
      <c r="AM8" s="254">
        <f t="shared" si="0"/>
        <v>49.199999999999996</v>
      </c>
      <c r="AN8" s="255">
        <v>38</v>
      </c>
      <c r="AO8" s="254">
        <f t="shared" si="1"/>
        <v>15.579999999999998</v>
      </c>
      <c r="AP8" s="274"/>
      <c r="AQ8" s="254">
        <f t="shared" si="2"/>
        <v>0</v>
      </c>
      <c r="AR8" s="261"/>
      <c r="AS8" s="257">
        <f t="shared" si="3"/>
        <v>0</v>
      </c>
      <c r="AT8" s="268"/>
      <c r="AU8" s="257">
        <f t="shared" si="4"/>
        <v>0</v>
      </c>
      <c r="AV8" s="256"/>
      <c r="AW8" s="257">
        <f t="shared" si="5"/>
        <v>0</v>
      </c>
      <c r="AX8" s="256"/>
      <c r="AY8" s="257">
        <f t="shared" si="6"/>
        <v>0</v>
      </c>
      <c r="AZ8" s="256"/>
      <c r="BA8" s="257">
        <f t="shared" si="7"/>
        <v>0</v>
      </c>
      <c r="BB8" s="256"/>
      <c r="BC8" s="257">
        <f t="shared" si="8"/>
        <v>0</v>
      </c>
      <c r="BD8" s="256"/>
      <c r="BE8" s="257">
        <f t="shared" si="9"/>
        <v>0</v>
      </c>
      <c r="BF8" s="256"/>
      <c r="BG8" s="257">
        <f t="shared" si="10"/>
        <v>0</v>
      </c>
      <c r="BH8" s="256"/>
      <c r="BI8" s="257">
        <f t="shared" si="11"/>
        <v>0</v>
      </c>
      <c r="BJ8" s="1" t="s">
        <v>461</v>
      </c>
      <c r="BK8" s="1" t="s">
        <v>462</v>
      </c>
      <c r="BL8" s="1" t="s">
        <v>457</v>
      </c>
      <c r="BM8" s="1" t="s">
        <v>463</v>
      </c>
    </row>
    <row r="9" spans="1:65" ht="15" customHeight="1">
      <c r="A9" s="250" t="s">
        <v>951</v>
      </c>
      <c r="B9" s="59" t="s">
        <v>341</v>
      </c>
      <c r="C9" s="354" t="s">
        <v>172</v>
      </c>
      <c r="D9" s="424"/>
      <c r="E9" s="357" t="s">
        <v>332</v>
      </c>
      <c r="F9" s="427"/>
      <c r="G9" s="317">
        <v>2024</v>
      </c>
      <c r="H9" s="298" t="s">
        <v>454</v>
      </c>
      <c r="I9" s="315" t="s">
        <v>175</v>
      </c>
      <c r="J9" s="316">
        <v>16</v>
      </c>
      <c r="K9" s="298" t="s">
        <v>335</v>
      </c>
      <c r="L9" s="298" t="s">
        <v>464</v>
      </c>
      <c r="M9" s="300" t="s">
        <v>465</v>
      </c>
      <c r="N9" s="300">
        <v>3.51</v>
      </c>
      <c r="O9" s="300">
        <v>3.51</v>
      </c>
      <c r="P9" s="300">
        <v>3.51</v>
      </c>
      <c r="Q9" s="300">
        <v>3.51</v>
      </c>
      <c r="R9" s="404">
        <v>4.26</v>
      </c>
      <c r="S9" s="404">
        <v>4.26</v>
      </c>
      <c r="T9" s="404">
        <v>4.26</v>
      </c>
      <c r="U9" s="404">
        <v>4.26</v>
      </c>
      <c r="V9" s="404">
        <v>4.26</v>
      </c>
      <c r="W9" s="404">
        <v>4.26</v>
      </c>
      <c r="X9" s="404">
        <v>4.26</v>
      </c>
      <c r="Y9" s="404">
        <v>4.26</v>
      </c>
      <c r="Z9" s="301">
        <v>0.31</v>
      </c>
      <c r="AA9" s="301">
        <v>0.31</v>
      </c>
      <c r="AB9" s="301">
        <v>0.31</v>
      </c>
      <c r="AC9" s="301">
        <v>0</v>
      </c>
      <c r="AD9" s="406">
        <v>0.45999999999999996</v>
      </c>
      <c r="AE9" s="406">
        <v>0.45999999999999996</v>
      </c>
      <c r="AF9" s="406">
        <v>0.45999999999999996</v>
      </c>
      <c r="AG9" s="406">
        <v>0.45999999999999996</v>
      </c>
      <c r="AH9" s="406">
        <v>0.45999999999999996</v>
      </c>
      <c r="AI9" s="406">
        <v>0.45999999999999996</v>
      </c>
      <c r="AJ9" s="406">
        <v>0.45999999999999996</v>
      </c>
      <c r="AK9" s="406">
        <v>0.45999999999999996</v>
      </c>
      <c r="AL9" s="270">
        <v>280</v>
      </c>
      <c r="AM9" s="254">
        <f t="shared" si="0"/>
        <v>86.8</v>
      </c>
      <c r="AN9" s="255">
        <v>1040</v>
      </c>
      <c r="AO9" s="254">
        <f t="shared" si="1"/>
        <v>322.39999999999998</v>
      </c>
      <c r="AP9" s="255">
        <v>480</v>
      </c>
      <c r="AQ9" s="254">
        <f t="shared" si="2"/>
        <v>148.80000000000001</v>
      </c>
      <c r="AR9" s="255">
        <v>320</v>
      </c>
      <c r="AS9" s="257">
        <f t="shared" si="3"/>
        <v>0</v>
      </c>
      <c r="AT9" s="255">
        <v>160</v>
      </c>
      <c r="AU9" s="257">
        <f t="shared" si="4"/>
        <v>73.599999999999994</v>
      </c>
      <c r="AV9" s="255">
        <v>1000</v>
      </c>
      <c r="AW9" s="257">
        <f t="shared" si="5"/>
        <v>459.99999999999994</v>
      </c>
      <c r="AX9" s="255">
        <v>1000</v>
      </c>
      <c r="AY9" s="257">
        <f t="shared" si="6"/>
        <v>459.99999999999994</v>
      </c>
      <c r="AZ9" s="255">
        <v>1000</v>
      </c>
      <c r="BA9" s="257">
        <f t="shared" si="7"/>
        <v>459.99999999999994</v>
      </c>
      <c r="BB9" s="255">
        <v>1000</v>
      </c>
      <c r="BC9" s="257">
        <f t="shared" si="8"/>
        <v>459.99999999999994</v>
      </c>
      <c r="BD9" s="255">
        <v>1000</v>
      </c>
      <c r="BE9" s="257">
        <f t="shared" si="9"/>
        <v>459.99999999999994</v>
      </c>
      <c r="BF9" s="255">
        <v>1000</v>
      </c>
      <c r="BG9" s="257">
        <f t="shared" si="10"/>
        <v>459.99999999999994</v>
      </c>
      <c r="BH9" s="255">
        <v>1000</v>
      </c>
      <c r="BI9" s="257">
        <f t="shared" si="11"/>
        <v>459.99999999999994</v>
      </c>
      <c r="BJ9" s="1" t="s">
        <v>456</v>
      </c>
      <c r="BL9" s="1" t="s">
        <v>457</v>
      </c>
      <c r="BM9" s="1" t="s">
        <v>458</v>
      </c>
    </row>
    <row r="10" spans="1:65" ht="15" customHeight="1">
      <c r="A10" s="250" t="s">
        <v>951</v>
      </c>
      <c r="B10" s="59" t="s">
        <v>341</v>
      </c>
      <c r="C10" s="354" t="s">
        <v>172</v>
      </c>
      <c r="D10" s="424"/>
      <c r="E10" s="357" t="s">
        <v>332</v>
      </c>
      <c r="F10" s="427"/>
      <c r="G10" s="317">
        <v>2024</v>
      </c>
      <c r="H10" s="298" t="s">
        <v>454</v>
      </c>
      <c r="I10" s="315" t="s">
        <v>249</v>
      </c>
      <c r="J10" s="316">
        <v>16</v>
      </c>
      <c r="K10" s="298" t="s">
        <v>335</v>
      </c>
      <c r="L10" s="298" t="s">
        <v>464</v>
      </c>
      <c r="M10" s="300" t="s">
        <v>465</v>
      </c>
      <c r="N10" s="303">
        <v>7.91</v>
      </c>
      <c r="O10" s="303">
        <v>7.91</v>
      </c>
      <c r="P10" s="303">
        <v>7.91</v>
      </c>
      <c r="Q10" s="303">
        <v>7.91</v>
      </c>
      <c r="R10" s="401">
        <v>8.66</v>
      </c>
      <c r="S10" s="401">
        <v>8.66</v>
      </c>
      <c r="T10" s="401">
        <v>8.66</v>
      </c>
      <c r="U10" s="401">
        <v>8.66</v>
      </c>
      <c r="V10" s="401">
        <v>8.66</v>
      </c>
      <c r="W10" s="401">
        <v>8.66</v>
      </c>
      <c r="X10" s="401">
        <v>8.66</v>
      </c>
      <c r="Y10" s="401">
        <v>8.66</v>
      </c>
      <c r="Z10" s="304">
        <v>0.41</v>
      </c>
      <c r="AA10" s="304">
        <v>0.41</v>
      </c>
      <c r="AB10" s="304">
        <v>0.41</v>
      </c>
      <c r="AC10" s="301">
        <v>0</v>
      </c>
      <c r="AD10" s="403">
        <v>0.5600000000000005</v>
      </c>
      <c r="AE10" s="403">
        <v>0.5600000000000005</v>
      </c>
      <c r="AF10" s="403">
        <v>0.5600000000000005</v>
      </c>
      <c r="AG10" s="403">
        <v>0.5600000000000005</v>
      </c>
      <c r="AH10" s="403">
        <v>0.5600000000000005</v>
      </c>
      <c r="AI10" s="403">
        <v>0.5600000000000005</v>
      </c>
      <c r="AJ10" s="403">
        <v>0.5600000000000005</v>
      </c>
      <c r="AK10" s="403">
        <v>0.5600000000000005</v>
      </c>
      <c r="AL10" s="270">
        <v>720</v>
      </c>
      <c r="AM10" s="254">
        <f t="shared" si="0"/>
        <v>295.2</v>
      </c>
      <c r="AN10" s="255">
        <v>2440</v>
      </c>
      <c r="AO10" s="254">
        <f t="shared" si="1"/>
        <v>1000.4</v>
      </c>
      <c r="AP10" s="255">
        <v>2040</v>
      </c>
      <c r="AQ10" s="254">
        <f t="shared" si="2"/>
        <v>836.4</v>
      </c>
      <c r="AR10" s="255">
        <v>1518</v>
      </c>
      <c r="AS10" s="257">
        <f t="shared" si="3"/>
        <v>0</v>
      </c>
      <c r="AT10" s="268">
        <v>4716</v>
      </c>
      <c r="AU10" s="257">
        <f t="shared" si="4"/>
        <v>2640.9600000000023</v>
      </c>
      <c r="AV10" s="380">
        <v>1000</v>
      </c>
      <c r="AW10" s="257">
        <f t="shared" si="5"/>
        <v>560.00000000000045</v>
      </c>
      <c r="AX10" s="380">
        <v>1000</v>
      </c>
      <c r="AY10" s="257">
        <f t="shared" si="6"/>
        <v>560.00000000000045</v>
      </c>
      <c r="AZ10" s="268">
        <v>2000</v>
      </c>
      <c r="BA10" s="257">
        <f t="shared" si="7"/>
        <v>1120.0000000000009</v>
      </c>
      <c r="BB10" s="268">
        <v>1000</v>
      </c>
      <c r="BC10" s="257">
        <f t="shared" si="8"/>
        <v>560.00000000000045</v>
      </c>
      <c r="BD10" s="268">
        <v>1000</v>
      </c>
      <c r="BE10" s="257">
        <f t="shared" si="9"/>
        <v>560.00000000000045</v>
      </c>
      <c r="BF10" s="268">
        <v>1000</v>
      </c>
      <c r="BG10" s="257">
        <f t="shared" si="10"/>
        <v>560.00000000000045</v>
      </c>
      <c r="BH10" s="268">
        <v>1000</v>
      </c>
      <c r="BI10" s="257">
        <f t="shared" si="11"/>
        <v>560.00000000000045</v>
      </c>
      <c r="BJ10" s="1" t="s">
        <v>459</v>
      </c>
      <c r="BL10" s="1" t="s">
        <v>457</v>
      </c>
      <c r="BM10" s="1" t="s">
        <v>460</v>
      </c>
    </row>
    <row r="11" spans="1:65" ht="15" customHeight="1">
      <c r="A11" s="250" t="s">
        <v>951</v>
      </c>
      <c r="B11" s="59" t="s">
        <v>341</v>
      </c>
      <c r="C11" s="354" t="s">
        <v>172</v>
      </c>
      <c r="D11" s="424"/>
      <c r="E11" s="357" t="s">
        <v>332</v>
      </c>
      <c r="F11" s="427"/>
      <c r="G11" s="317">
        <v>2024</v>
      </c>
      <c r="H11" s="298" t="s">
        <v>454</v>
      </c>
      <c r="I11" s="315" t="s">
        <v>249</v>
      </c>
      <c r="J11" s="316">
        <v>16</v>
      </c>
      <c r="K11" s="298" t="s">
        <v>335</v>
      </c>
      <c r="L11" s="298" t="s">
        <v>464</v>
      </c>
      <c r="M11" s="300" t="s">
        <v>465</v>
      </c>
      <c r="N11" s="303">
        <v>7.91</v>
      </c>
      <c r="O11" s="303">
        <v>7.91</v>
      </c>
      <c r="P11" s="303">
        <v>7.91</v>
      </c>
      <c r="Q11" s="303">
        <v>7.91</v>
      </c>
      <c r="R11" s="401">
        <v>8.66</v>
      </c>
      <c r="S11" s="401">
        <v>8.66</v>
      </c>
      <c r="T11" s="401">
        <v>8.66</v>
      </c>
      <c r="U11" s="401">
        <v>8.66</v>
      </c>
      <c r="V11" s="401">
        <v>8.66</v>
      </c>
      <c r="W11" s="401">
        <v>8.66</v>
      </c>
      <c r="X11" s="401">
        <v>8.66</v>
      </c>
      <c r="Y11" s="401">
        <v>8.66</v>
      </c>
      <c r="Z11" s="304">
        <v>0.41</v>
      </c>
      <c r="AA11" s="304">
        <v>0.41</v>
      </c>
      <c r="AB11" s="304">
        <v>0.41</v>
      </c>
      <c r="AC11" s="301">
        <v>0</v>
      </c>
      <c r="AD11" s="403">
        <v>0.5600000000000005</v>
      </c>
      <c r="AE11" s="403">
        <v>0.5600000000000005</v>
      </c>
      <c r="AF11" s="403">
        <v>0.5600000000000005</v>
      </c>
      <c r="AG11" s="403">
        <v>0.5600000000000005</v>
      </c>
      <c r="AH11" s="403">
        <v>0.5600000000000005</v>
      </c>
      <c r="AI11" s="403">
        <v>0.5600000000000005</v>
      </c>
      <c r="AJ11" s="403">
        <v>0.5600000000000005</v>
      </c>
      <c r="AK11" s="403">
        <v>0.5600000000000005</v>
      </c>
      <c r="AL11" s="270">
        <v>40</v>
      </c>
      <c r="AM11" s="254">
        <f t="shared" si="0"/>
        <v>16.399999999999999</v>
      </c>
      <c r="AN11" s="255">
        <v>160</v>
      </c>
      <c r="AO11" s="254">
        <f t="shared" si="1"/>
        <v>65.599999999999994</v>
      </c>
      <c r="AP11" s="255">
        <v>120</v>
      </c>
      <c r="AQ11" s="254">
        <f t="shared" si="2"/>
        <v>49.199999999999996</v>
      </c>
      <c r="AR11" s="256">
        <v>120</v>
      </c>
      <c r="AS11" s="257">
        <f t="shared" si="3"/>
        <v>0</v>
      </c>
      <c r="AT11" s="268">
        <v>80</v>
      </c>
      <c r="AU11" s="257">
        <f t="shared" si="4"/>
        <v>44.80000000000004</v>
      </c>
      <c r="AV11" s="268"/>
      <c r="AW11" s="257">
        <f t="shared" si="5"/>
        <v>0</v>
      </c>
      <c r="AX11" s="268"/>
      <c r="AY11" s="257">
        <f t="shared" si="6"/>
        <v>0</v>
      </c>
      <c r="AZ11" s="268"/>
      <c r="BA11" s="257">
        <f t="shared" si="7"/>
        <v>0</v>
      </c>
      <c r="BB11" s="268"/>
      <c r="BC11" s="257">
        <f t="shared" si="8"/>
        <v>0</v>
      </c>
      <c r="BD11" s="268"/>
      <c r="BE11" s="257">
        <f t="shared" si="9"/>
        <v>0</v>
      </c>
      <c r="BF11" s="59"/>
      <c r="BG11" s="257">
        <f t="shared" si="10"/>
        <v>0</v>
      </c>
      <c r="BH11" s="59"/>
      <c r="BI11" s="257">
        <f t="shared" si="11"/>
        <v>0</v>
      </c>
      <c r="BJ11" s="1" t="s">
        <v>461</v>
      </c>
      <c r="BK11" s="1" t="s">
        <v>462</v>
      </c>
      <c r="BL11" s="1" t="s">
        <v>457</v>
      </c>
      <c r="BM11" s="1" t="s">
        <v>463</v>
      </c>
    </row>
    <row r="12" spans="1:65" ht="15" customHeight="1">
      <c r="A12" s="250" t="s">
        <v>951</v>
      </c>
      <c r="B12" s="59" t="s">
        <v>341</v>
      </c>
      <c r="C12" s="354" t="s">
        <v>172</v>
      </c>
      <c r="D12" s="424"/>
      <c r="E12" s="357" t="s">
        <v>332</v>
      </c>
      <c r="F12" s="427"/>
      <c r="G12" s="317">
        <v>2025</v>
      </c>
      <c r="H12" s="59" t="s">
        <v>466</v>
      </c>
      <c r="I12" s="315" t="s">
        <v>175</v>
      </c>
      <c r="J12" s="316">
        <v>16</v>
      </c>
      <c r="K12" s="298" t="s">
        <v>335</v>
      </c>
      <c r="L12" s="298" t="s">
        <v>336</v>
      </c>
      <c r="M12" s="300" t="s">
        <v>455</v>
      </c>
      <c r="N12" s="303">
        <v>3.4</v>
      </c>
      <c r="O12" s="303">
        <v>3.4</v>
      </c>
      <c r="P12" s="303">
        <v>3.32</v>
      </c>
      <c r="Q12" s="303">
        <v>3.32</v>
      </c>
      <c r="R12" s="401">
        <v>4.07</v>
      </c>
      <c r="S12" s="401">
        <v>4.07</v>
      </c>
      <c r="T12" s="401">
        <v>4.07</v>
      </c>
      <c r="U12" s="401">
        <v>4.07</v>
      </c>
      <c r="V12" s="401">
        <v>4.07</v>
      </c>
      <c r="W12" s="401">
        <v>4.07</v>
      </c>
      <c r="X12" s="401">
        <v>4.07</v>
      </c>
      <c r="Y12" s="401">
        <v>4.07</v>
      </c>
      <c r="Z12" s="362">
        <v>0.3</v>
      </c>
      <c r="AA12" s="362">
        <v>0.3</v>
      </c>
      <c r="AB12" s="362">
        <v>0.27</v>
      </c>
      <c r="AC12" s="301">
        <v>0</v>
      </c>
      <c r="AD12" s="407">
        <v>0.42000000000000037</v>
      </c>
      <c r="AE12" s="407">
        <v>0.42000000000000037</v>
      </c>
      <c r="AF12" s="407">
        <v>0.42000000000000037</v>
      </c>
      <c r="AG12" s="407">
        <v>0.42000000000000037</v>
      </c>
      <c r="AH12" s="407">
        <v>0.42000000000000037</v>
      </c>
      <c r="AI12" s="407">
        <v>0.42000000000000037</v>
      </c>
      <c r="AJ12" s="407">
        <v>0.42000000000000037</v>
      </c>
      <c r="AK12" s="407">
        <v>0.42000000000000037</v>
      </c>
      <c r="AL12" s="255">
        <v>29375</v>
      </c>
      <c r="AM12" s="254">
        <f t="shared" si="0"/>
        <v>8812.5</v>
      </c>
      <c r="AN12" s="255">
        <v>33237</v>
      </c>
      <c r="AO12" s="254">
        <f t="shared" si="1"/>
        <v>9971.1</v>
      </c>
      <c r="AP12" s="255">
        <v>29789</v>
      </c>
      <c r="AQ12" s="254">
        <f t="shared" si="2"/>
        <v>8043.0300000000007</v>
      </c>
      <c r="AR12" s="256">
        <v>8955</v>
      </c>
      <c r="AS12" s="257">
        <f t="shared" si="3"/>
        <v>0</v>
      </c>
      <c r="AT12" s="268">
        <v>39877</v>
      </c>
      <c r="AU12" s="257">
        <f t="shared" si="4"/>
        <v>16748.340000000015</v>
      </c>
      <c r="AV12" s="268">
        <v>12000</v>
      </c>
      <c r="AW12" s="257">
        <f t="shared" si="5"/>
        <v>5040.0000000000045</v>
      </c>
      <c r="AX12" s="268">
        <v>12000</v>
      </c>
      <c r="AY12" s="257">
        <f t="shared" si="6"/>
        <v>5040.0000000000045</v>
      </c>
      <c r="AZ12" s="268">
        <v>12000</v>
      </c>
      <c r="BA12" s="257">
        <f t="shared" si="7"/>
        <v>5040.0000000000045</v>
      </c>
      <c r="BB12" s="268">
        <v>10000</v>
      </c>
      <c r="BC12" s="257">
        <f t="shared" si="8"/>
        <v>4200.0000000000036</v>
      </c>
      <c r="BD12" s="268">
        <v>10000</v>
      </c>
      <c r="BE12" s="257">
        <f t="shared" si="9"/>
        <v>4200.0000000000036</v>
      </c>
      <c r="BF12" s="268">
        <v>20000</v>
      </c>
      <c r="BG12" s="257">
        <f t="shared" si="10"/>
        <v>8400.0000000000073</v>
      </c>
      <c r="BH12" s="268">
        <v>10000</v>
      </c>
      <c r="BI12" s="257">
        <f t="shared" si="11"/>
        <v>4200.0000000000036</v>
      </c>
      <c r="BJ12" s="1" t="s">
        <v>467</v>
      </c>
      <c r="BL12" s="1" t="s">
        <v>457</v>
      </c>
      <c r="BM12" s="1" t="s">
        <v>468</v>
      </c>
    </row>
    <row r="13" spans="1:65" ht="15" customHeight="1">
      <c r="A13" s="250" t="s">
        <v>951</v>
      </c>
      <c r="B13" s="59" t="s">
        <v>341</v>
      </c>
      <c r="C13" s="354" t="s">
        <v>172</v>
      </c>
      <c r="D13" s="424"/>
      <c r="E13" s="357" t="s">
        <v>332</v>
      </c>
      <c r="F13" s="427"/>
      <c r="G13" s="317">
        <v>2025</v>
      </c>
      <c r="H13" s="59" t="s">
        <v>466</v>
      </c>
      <c r="I13" s="315" t="s">
        <v>249</v>
      </c>
      <c r="J13" s="316">
        <v>16</v>
      </c>
      <c r="K13" s="298" t="s">
        <v>335</v>
      </c>
      <c r="L13" s="298" t="s">
        <v>336</v>
      </c>
      <c r="M13" s="300" t="s">
        <v>455</v>
      </c>
      <c r="N13" s="300">
        <v>7.8</v>
      </c>
      <c r="O13" s="300">
        <v>7.8</v>
      </c>
      <c r="P13" s="300">
        <v>7.59</v>
      </c>
      <c r="Q13" s="300">
        <v>7.59</v>
      </c>
      <c r="R13" s="404">
        <v>8.34</v>
      </c>
      <c r="S13" s="404">
        <v>8.34</v>
      </c>
      <c r="T13" s="404">
        <v>8.34</v>
      </c>
      <c r="U13" s="404">
        <v>8.34</v>
      </c>
      <c r="V13" s="404">
        <v>8.34</v>
      </c>
      <c r="W13" s="404">
        <v>8.34</v>
      </c>
      <c r="X13" s="404">
        <v>8.34</v>
      </c>
      <c r="Y13" s="404">
        <v>8.34</v>
      </c>
      <c r="Z13" s="361">
        <v>0.4</v>
      </c>
      <c r="AA13" s="361">
        <v>0.4</v>
      </c>
      <c r="AB13" s="361">
        <v>0.24</v>
      </c>
      <c r="AC13" s="301">
        <v>0</v>
      </c>
      <c r="AD13" s="408">
        <v>0.38999999999999968</v>
      </c>
      <c r="AE13" s="408">
        <v>0.38999999999999968</v>
      </c>
      <c r="AF13" s="408">
        <v>0.38999999999999968</v>
      </c>
      <c r="AG13" s="408">
        <v>0.38999999999999968</v>
      </c>
      <c r="AH13" s="408">
        <v>0.38999999999999968</v>
      </c>
      <c r="AI13" s="408">
        <v>0.38999999999999968</v>
      </c>
      <c r="AJ13" s="408">
        <v>0.38999999999999968</v>
      </c>
      <c r="AK13" s="408">
        <v>0.38999999999999968</v>
      </c>
      <c r="AL13" s="255">
        <v>19916</v>
      </c>
      <c r="AM13" s="254">
        <f t="shared" si="0"/>
        <v>7966.4000000000005</v>
      </c>
      <c r="AN13" s="255">
        <v>27718</v>
      </c>
      <c r="AO13" s="254">
        <f t="shared" si="1"/>
        <v>11087.2</v>
      </c>
      <c r="AP13" s="255">
        <v>7680</v>
      </c>
      <c r="AQ13" s="254">
        <f t="shared" si="2"/>
        <v>1843.1999999999998</v>
      </c>
      <c r="AR13" s="255">
        <v>8480</v>
      </c>
      <c r="AS13" s="257">
        <f t="shared" si="3"/>
        <v>0</v>
      </c>
      <c r="AT13" s="268">
        <v>12599</v>
      </c>
      <c r="AU13" s="257">
        <f t="shared" si="4"/>
        <v>4913.609999999996</v>
      </c>
      <c r="AV13" s="255">
        <v>10000</v>
      </c>
      <c r="AW13" s="257">
        <f t="shared" si="5"/>
        <v>3899.9999999999968</v>
      </c>
      <c r="AX13" s="255">
        <v>10000</v>
      </c>
      <c r="AY13" s="257">
        <f t="shared" si="6"/>
        <v>3899.9999999999968</v>
      </c>
      <c r="AZ13" s="268">
        <v>12000</v>
      </c>
      <c r="BA13" s="257">
        <f t="shared" si="7"/>
        <v>4679.9999999999964</v>
      </c>
      <c r="BB13" s="255">
        <v>10000</v>
      </c>
      <c r="BC13" s="257">
        <f t="shared" si="8"/>
        <v>3899.9999999999968</v>
      </c>
      <c r="BD13" s="255">
        <v>10000</v>
      </c>
      <c r="BE13" s="257">
        <f t="shared" si="9"/>
        <v>3899.9999999999968</v>
      </c>
      <c r="BF13" s="268">
        <v>20000</v>
      </c>
      <c r="BG13" s="257">
        <f t="shared" si="10"/>
        <v>7799.9999999999936</v>
      </c>
      <c r="BH13" s="255">
        <v>10000</v>
      </c>
      <c r="BI13" s="257">
        <f t="shared" si="11"/>
        <v>3899.9999999999968</v>
      </c>
      <c r="BJ13" s="1" t="s">
        <v>469</v>
      </c>
      <c r="BL13" s="1" t="s">
        <v>457</v>
      </c>
      <c r="BM13" s="1" t="s">
        <v>470</v>
      </c>
    </row>
    <row r="14" spans="1:65" ht="15" customHeight="1">
      <c r="A14" s="250" t="s">
        <v>951</v>
      </c>
      <c r="B14" s="59" t="s">
        <v>341</v>
      </c>
      <c r="C14" s="354" t="s">
        <v>172</v>
      </c>
      <c r="D14" s="424"/>
      <c r="E14" s="357" t="s">
        <v>332</v>
      </c>
      <c r="F14" s="427"/>
      <c r="G14" s="317">
        <v>2025</v>
      </c>
      <c r="H14" s="59" t="s">
        <v>466</v>
      </c>
      <c r="I14" s="315" t="s">
        <v>249</v>
      </c>
      <c r="J14" s="316">
        <v>16</v>
      </c>
      <c r="K14" s="298" t="s">
        <v>335</v>
      </c>
      <c r="L14" s="298" t="s">
        <v>336</v>
      </c>
      <c r="M14" s="300" t="s">
        <v>455</v>
      </c>
      <c r="N14" s="300">
        <v>7.8</v>
      </c>
      <c r="O14" s="300">
        <v>7.8</v>
      </c>
      <c r="P14" s="300">
        <v>7.59</v>
      </c>
      <c r="Q14" s="300">
        <v>7.59</v>
      </c>
      <c r="R14" s="404">
        <v>8.34</v>
      </c>
      <c r="S14" s="404">
        <v>8.34</v>
      </c>
      <c r="T14" s="404">
        <v>8.34</v>
      </c>
      <c r="U14" s="404">
        <v>8.34</v>
      </c>
      <c r="V14" s="404">
        <v>8.34</v>
      </c>
      <c r="W14" s="404">
        <v>8.34</v>
      </c>
      <c r="X14" s="404">
        <v>8.34</v>
      </c>
      <c r="Y14" s="404">
        <v>8.34</v>
      </c>
      <c r="Z14" s="361">
        <v>0.4</v>
      </c>
      <c r="AA14" s="361">
        <v>0.4</v>
      </c>
      <c r="AB14" s="361">
        <v>0.24</v>
      </c>
      <c r="AC14" s="301">
        <v>0</v>
      </c>
      <c r="AD14" s="408">
        <v>0.38999999999999968</v>
      </c>
      <c r="AE14" s="408">
        <v>0.38999999999999968</v>
      </c>
      <c r="AF14" s="408">
        <v>0.38999999999999968</v>
      </c>
      <c r="AG14" s="408">
        <v>0.38999999999999968</v>
      </c>
      <c r="AH14" s="408">
        <v>0.38999999999999968</v>
      </c>
      <c r="AI14" s="408">
        <v>0.38999999999999968</v>
      </c>
      <c r="AJ14" s="408">
        <v>0.38999999999999968</v>
      </c>
      <c r="AK14" s="408">
        <v>0.38999999999999968</v>
      </c>
      <c r="AL14" s="255"/>
      <c r="AM14" s="254">
        <f t="shared" si="0"/>
        <v>0</v>
      </c>
      <c r="AN14" s="255"/>
      <c r="AO14" s="254">
        <f t="shared" si="1"/>
        <v>0</v>
      </c>
      <c r="AP14" s="255"/>
      <c r="AQ14" s="254">
        <f t="shared" si="2"/>
        <v>0</v>
      </c>
      <c r="AR14" s="255"/>
      <c r="AS14" s="257">
        <f t="shared" si="3"/>
        <v>0</v>
      </c>
      <c r="AT14" s="268"/>
      <c r="AU14" s="257">
        <f t="shared" si="4"/>
        <v>0</v>
      </c>
      <c r="AV14" s="255"/>
      <c r="AW14" s="257">
        <f t="shared" si="5"/>
        <v>0</v>
      </c>
      <c r="AX14" s="255"/>
      <c r="AY14" s="257">
        <f t="shared" si="6"/>
        <v>0</v>
      </c>
      <c r="AZ14" s="268"/>
      <c r="BA14" s="257">
        <f t="shared" si="7"/>
        <v>0</v>
      </c>
      <c r="BB14" s="255"/>
      <c r="BC14" s="257">
        <f t="shared" si="8"/>
        <v>0</v>
      </c>
      <c r="BD14" s="255"/>
      <c r="BE14" s="257">
        <f t="shared" si="9"/>
        <v>0</v>
      </c>
      <c r="BF14" s="268"/>
      <c r="BG14" s="257">
        <f t="shared" si="10"/>
        <v>0</v>
      </c>
      <c r="BH14" s="255"/>
      <c r="BI14" s="257">
        <f t="shared" si="11"/>
        <v>0</v>
      </c>
      <c r="BJ14" s="1" t="s">
        <v>471</v>
      </c>
      <c r="BK14" s="1" t="s">
        <v>462</v>
      </c>
      <c r="BL14" s="1" t="s">
        <v>457</v>
      </c>
      <c r="BM14" s="1" t="s">
        <v>472</v>
      </c>
    </row>
    <row r="15" spans="1:65" ht="15" customHeight="1">
      <c r="A15" s="250" t="s">
        <v>951</v>
      </c>
      <c r="B15" s="59" t="s">
        <v>341</v>
      </c>
      <c r="C15" s="354" t="s">
        <v>172</v>
      </c>
      <c r="D15" s="424"/>
      <c r="E15" s="357" t="s">
        <v>332</v>
      </c>
      <c r="F15" s="427"/>
      <c r="G15" s="317">
        <v>2025</v>
      </c>
      <c r="H15" s="59" t="s">
        <v>466</v>
      </c>
      <c r="I15" s="315" t="s">
        <v>175</v>
      </c>
      <c r="J15" s="316">
        <v>16</v>
      </c>
      <c r="K15" s="298" t="s">
        <v>335</v>
      </c>
      <c r="L15" s="298" t="s">
        <v>464</v>
      </c>
      <c r="M15" s="300" t="s">
        <v>465</v>
      </c>
      <c r="N15" s="303">
        <v>3.4</v>
      </c>
      <c r="O15" s="303">
        <v>3.4</v>
      </c>
      <c r="P15" s="303">
        <v>3.32</v>
      </c>
      <c r="Q15" s="303">
        <v>3.32</v>
      </c>
      <c r="R15" s="401">
        <v>4.07</v>
      </c>
      <c r="S15" s="401">
        <v>4.07</v>
      </c>
      <c r="T15" s="401">
        <v>4.07</v>
      </c>
      <c r="U15" s="401">
        <v>4.07</v>
      </c>
      <c r="V15" s="401">
        <v>4.07</v>
      </c>
      <c r="W15" s="401">
        <v>4.07</v>
      </c>
      <c r="X15" s="401">
        <v>4.07</v>
      </c>
      <c r="Y15" s="401">
        <v>4.07</v>
      </c>
      <c r="Z15" s="362">
        <v>0.3</v>
      </c>
      <c r="AA15" s="362">
        <v>0.3</v>
      </c>
      <c r="AB15" s="362">
        <v>0.27</v>
      </c>
      <c r="AC15" s="301">
        <v>0</v>
      </c>
      <c r="AD15" s="407">
        <v>0.42000000000000037</v>
      </c>
      <c r="AE15" s="407">
        <v>0.42000000000000037</v>
      </c>
      <c r="AF15" s="407">
        <v>0.42000000000000037</v>
      </c>
      <c r="AG15" s="407">
        <v>0.42000000000000037</v>
      </c>
      <c r="AH15" s="407">
        <v>0.42000000000000037</v>
      </c>
      <c r="AI15" s="407">
        <v>0.42000000000000037</v>
      </c>
      <c r="AJ15" s="407">
        <v>0.42000000000000037</v>
      </c>
      <c r="AK15" s="407">
        <v>0.42000000000000037</v>
      </c>
      <c r="AL15" s="255">
        <v>5320</v>
      </c>
      <c r="AM15" s="254">
        <f t="shared" si="0"/>
        <v>1596</v>
      </c>
      <c r="AN15" s="255">
        <v>8160</v>
      </c>
      <c r="AO15" s="254">
        <f t="shared" si="1"/>
        <v>2448</v>
      </c>
      <c r="AP15" s="255">
        <v>6360</v>
      </c>
      <c r="AQ15" s="254">
        <f t="shared" si="2"/>
        <v>1717.2</v>
      </c>
      <c r="AR15" s="255">
        <v>6440</v>
      </c>
      <c r="AS15" s="257">
        <f t="shared" si="3"/>
        <v>0</v>
      </c>
      <c r="AT15" s="268">
        <v>18171</v>
      </c>
      <c r="AU15" s="257">
        <f t="shared" si="4"/>
        <v>7631.820000000007</v>
      </c>
      <c r="AV15" s="255"/>
      <c r="AW15" s="257">
        <f t="shared" si="5"/>
        <v>0</v>
      </c>
      <c r="AX15" s="255"/>
      <c r="AY15" s="257">
        <f t="shared" si="6"/>
        <v>0</v>
      </c>
      <c r="AZ15" s="268"/>
      <c r="BA15" s="257">
        <f t="shared" si="7"/>
        <v>0</v>
      </c>
      <c r="BB15" s="255"/>
      <c r="BC15" s="257">
        <f t="shared" si="8"/>
        <v>0</v>
      </c>
      <c r="BD15" s="255"/>
      <c r="BE15" s="257">
        <f t="shared" si="9"/>
        <v>0</v>
      </c>
      <c r="BF15" s="268"/>
      <c r="BG15" s="257">
        <f t="shared" si="10"/>
        <v>0</v>
      </c>
      <c r="BH15" s="255"/>
      <c r="BI15" s="257">
        <f t="shared" si="11"/>
        <v>0</v>
      </c>
      <c r="BJ15" s="1" t="s">
        <v>467</v>
      </c>
      <c r="BL15" s="1" t="s">
        <v>457</v>
      </c>
      <c r="BM15" s="1" t="s">
        <v>468</v>
      </c>
    </row>
    <row r="16" spans="1:65" ht="15" customHeight="1">
      <c r="A16" s="250" t="s">
        <v>951</v>
      </c>
      <c r="B16" s="59" t="s">
        <v>341</v>
      </c>
      <c r="C16" s="354" t="s">
        <v>172</v>
      </c>
      <c r="D16" s="424"/>
      <c r="E16" s="357" t="s">
        <v>332</v>
      </c>
      <c r="F16" s="427"/>
      <c r="G16" s="317">
        <v>2025</v>
      </c>
      <c r="H16" s="59" t="s">
        <v>466</v>
      </c>
      <c r="I16" s="315" t="s">
        <v>249</v>
      </c>
      <c r="J16" s="316">
        <v>16</v>
      </c>
      <c r="K16" s="298" t="s">
        <v>335</v>
      </c>
      <c r="L16" s="298" t="s">
        <v>464</v>
      </c>
      <c r="M16" s="300" t="s">
        <v>465</v>
      </c>
      <c r="N16" s="300">
        <v>7.8</v>
      </c>
      <c r="O16" s="300">
        <v>7.8</v>
      </c>
      <c r="P16" s="300">
        <v>7.59</v>
      </c>
      <c r="Q16" s="300">
        <v>7.59</v>
      </c>
      <c r="R16" s="404">
        <v>8.34</v>
      </c>
      <c r="S16" s="404">
        <v>8.34</v>
      </c>
      <c r="T16" s="404">
        <v>8.34</v>
      </c>
      <c r="U16" s="404">
        <v>8.34</v>
      </c>
      <c r="V16" s="404">
        <v>8.34</v>
      </c>
      <c r="W16" s="404">
        <v>8.34</v>
      </c>
      <c r="X16" s="404">
        <v>8.34</v>
      </c>
      <c r="Y16" s="404">
        <v>8.34</v>
      </c>
      <c r="Z16" s="361">
        <v>0.4</v>
      </c>
      <c r="AA16" s="361">
        <v>0.4</v>
      </c>
      <c r="AB16" s="361">
        <v>0.24</v>
      </c>
      <c r="AC16" s="301">
        <v>0</v>
      </c>
      <c r="AD16" s="408">
        <v>0.38999999999999968</v>
      </c>
      <c r="AE16" s="408">
        <v>0.38999999999999968</v>
      </c>
      <c r="AF16" s="408">
        <v>0.38999999999999968</v>
      </c>
      <c r="AG16" s="408">
        <v>0.38999999999999968</v>
      </c>
      <c r="AH16" s="408">
        <v>0.38999999999999968</v>
      </c>
      <c r="AI16" s="408">
        <v>0.38999999999999968</v>
      </c>
      <c r="AJ16" s="408">
        <v>0.38999999999999968</v>
      </c>
      <c r="AK16" s="408">
        <v>0.38999999999999968</v>
      </c>
      <c r="AL16" s="255">
        <v>2440</v>
      </c>
      <c r="AM16" s="254">
        <f t="shared" si="0"/>
        <v>976</v>
      </c>
      <c r="AN16" s="255">
        <v>4160</v>
      </c>
      <c r="AO16" s="254">
        <f t="shared" si="1"/>
        <v>1664</v>
      </c>
      <c r="AP16" s="255">
        <v>4760</v>
      </c>
      <c r="AQ16" s="254">
        <f t="shared" si="2"/>
        <v>1142.3999999999999</v>
      </c>
      <c r="AR16" s="255">
        <v>5298</v>
      </c>
      <c r="AS16" s="257">
        <f t="shared" si="3"/>
        <v>0</v>
      </c>
      <c r="AT16" s="268">
        <v>16879</v>
      </c>
      <c r="AU16" s="257">
        <f t="shared" si="4"/>
        <v>6582.8099999999949</v>
      </c>
      <c r="AV16" s="255">
        <v>5000</v>
      </c>
      <c r="AW16" s="257">
        <f t="shared" si="5"/>
        <v>1949.9999999999984</v>
      </c>
      <c r="AX16" s="255">
        <v>5000</v>
      </c>
      <c r="AY16" s="257">
        <f t="shared" si="6"/>
        <v>1949.9999999999984</v>
      </c>
      <c r="AZ16" s="268">
        <v>6000</v>
      </c>
      <c r="BA16" s="257">
        <f t="shared" si="7"/>
        <v>2339.9999999999982</v>
      </c>
      <c r="BB16" s="255">
        <v>5000</v>
      </c>
      <c r="BC16" s="257">
        <f t="shared" si="8"/>
        <v>1949.9999999999984</v>
      </c>
      <c r="BD16" s="255">
        <v>5000</v>
      </c>
      <c r="BE16" s="257">
        <f t="shared" si="9"/>
        <v>1949.9999999999984</v>
      </c>
      <c r="BF16" s="268">
        <v>12000</v>
      </c>
      <c r="BG16" s="257">
        <f t="shared" si="10"/>
        <v>4679.9999999999964</v>
      </c>
      <c r="BH16" s="255">
        <v>5000</v>
      </c>
      <c r="BI16" s="257">
        <f t="shared" si="11"/>
        <v>1949.9999999999984</v>
      </c>
      <c r="BJ16" s="1" t="s">
        <v>469</v>
      </c>
      <c r="BL16" s="1" t="s">
        <v>457</v>
      </c>
      <c r="BM16" s="1" t="s">
        <v>470</v>
      </c>
    </row>
    <row r="17" spans="1:65" ht="15" customHeight="1">
      <c r="A17" s="250" t="s">
        <v>951</v>
      </c>
      <c r="B17" s="59" t="s">
        <v>341</v>
      </c>
      <c r="C17" s="354" t="s">
        <v>172</v>
      </c>
      <c r="D17" s="424"/>
      <c r="E17" s="357" t="s">
        <v>332</v>
      </c>
      <c r="F17" s="427"/>
      <c r="G17" s="317">
        <v>2025</v>
      </c>
      <c r="H17" s="59" t="s">
        <v>466</v>
      </c>
      <c r="I17" s="315" t="s">
        <v>249</v>
      </c>
      <c r="J17" s="316">
        <v>16</v>
      </c>
      <c r="K17" s="298" t="s">
        <v>335</v>
      </c>
      <c r="L17" s="298" t="s">
        <v>464</v>
      </c>
      <c r="M17" s="300" t="s">
        <v>465</v>
      </c>
      <c r="N17" s="300">
        <v>7.8</v>
      </c>
      <c r="O17" s="300">
        <v>7.8</v>
      </c>
      <c r="P17" s="300">
        <v>7.59</v>
      </c>
      <c r="Q17" s="300">
        <v>7.59</v>
      </c>
      <c r="R17" s="404">
        <v>8.34</v>
      </c>
      <c r="S17" s="404">
        <v>8.34</v>
      </c>
      <c r="T17" s="404">
        <v>8.34</v>
      </c>
      <c r="U17" s="404">
        <v>8.34</v>
      </c>
      <c r="V17" s="404">
        <v>8.34</v>
      </c>
      <c r="W17" s="404">
        <v>8.34</v>
      </c>
      <c r="X17" s="404">
        <v>8.34</v>
      </c>
      <c r="Y17" s="404">
        <v>8.34</v>
      </c>
      <c r="Z17" s="361">
        <v>0.4</v>
      </c>
      <c r="AA17" s="361">
        <v>0.4</v>
      </c>
      <c r="AB17" s="361">
        <v>0.24</v>
      </c>
      <c r="AC17" s="301">
        <v>0</v>
      </c>
      <c r="AD17" s="408">
        <v>0.38999999999999968</v>
      </c>
      <c r="AE17" s="408">
        <v>0.38999999999999968</v>
      </c>
      <c r="AF17" s="408">
        <v>0.38999999999999968</v>
      </c>
      <c r="AG17" s="408">
        <v>0.38999999999999968</v>
      </c>
      <c r="AH17" s="408">
        <v>0.38999999999999968</v>
      </c>
      <c r="AI17" s="408">
        <v>0.38999999999999968</v>
      </c>
      <c r="AJ17" s="408">
        <v>0.38999999999999968</v>
      </c>
      <c r="AK17" s="408">
        <v>0.38999999999999968</v>
      </c>
      <c r="AL17" s="255">
        <v>80</v>
      </c>
      <c r="AM17" s="254">
        <f t="shared" si="0"/>
        <v>32</v>
      </c>
      <c r="AN17" s="255">
        <v>40</v>
      </c>
      <c r="AO17" s="254">
        <f t="shared" si="1"/>
        <v>16</v>
      </c>
      <c r="AP17" s="255">
        <v>440</v>
      </c>
      <c r="AQ17" s="254">
        <f t="shared" si="2"/>
        <v>105.6</v>
      </c>
      <c r="AR17" s="256">
        <v>200</v>
      </c>
      <c r="AS17" s="257">
        <f t="shared" si="3"/>
        <v>0</v>
      </c>
      <c r="AT17" s="268">
        <v>280</v>
      </c>
      <c r="AU17" s="257">
        <f t="shared" si="4"/>
        <v>109.1999999999999</v>
      </c>
      <c r="AV17" s="268">
        <v>6000</v>
      </c>
      <c r="AW17" s="257">
        <f t="shared" si="5"/>
        <v>2339.9999999999982</v>
      </c>
      <c r="AX17" s="268">
        <v>6000</v>
      </c>
      <c r="AY17" s="257">
        <f t="shared" si="6"/>
        <v>2339.9999999999982</v>
      </c>
      <c r="AZ17" s="268">
        <v>6000</v>
      </c>
      <c r="BA17" s="257">
        <f t="shared" si="7"/>
        <v>2339.9999999999982</v>
      </c>
      <c r="BB17" s="268">
        <v>5000</v>
      </c>
      <c r="BC17" s="257">
        <f t="shared" si="8"/>
        <v>1949.9999999999984</v>
      </c>
      <c r="BD17" s="268">
        <v>5000</v>
      </c>
      <c r="BE17" s="257">
        <f t="shared" si="9"/>
        <v>1949.9999999999984</v>
      </c>
      <c r="BF17" s="268">
        <v>15000</v>
      </c>
      <c r="BG17" s="257">
        <f t="shared" si="10"/>
        <v>5849.9999999999955</v>
      </c>
      <c r="BH17" s="268">
        <v>5000</v>
      </c>
      <c r="BI17" s="257">
        <f t="shared" si="11"/>
        <v>1949.9999999999984</v>
      </c>
      <c r="BJ17" s="1" t="s">
        <v>471</v>
      </c>
      <c r="BK17" s="1" t="s">
        <v>462</v>
      </c>
      <c r="BL17" s="1" t="s">
        <v>457</v>
      </c>
      <c r="BM17" s="1" t="s">
        <v>472</v>
      </c>
    </row>
    <row r="18" spans="1:65" ht="15" customHeight="1">
      <c r="A18" s="250" t="s">
        <v>951</v>
      </c>
      <c r="B18" s="59" t="s">
        <v>341</v>
      </c>
      <c r="C18" s="354" t="s">
        <v>172</v>
      </c>
      <c r="D18" s="424"/>
      <c r="E18" s="357" t="s">
        <v>332</v>
      </c>
      <c r="F18" s="427"/>
      <c r="G18" s="317">
        <v>2026</v>
      </c>
      <c r="H18" s="59" t="s">
        <v>466</v>
      </c>
      <c r="I18" s="315" t="s">
        <v>175</v>
      </c>
      <c r="J18" s="316">
        <v>16</v>
      </c>
      <c r="K18" s="298" t="s">
        <v>335</v>
      </c>
      <c r="L18" s="298" t="s">
        <v>336</v>
      </c>
      <c r="M18" s="300" t="s">
        <v>455</v>
      </c>
      <c r="N18" s="303">
        <v>3.4</v>
      </c>
      <c r="O18" s="303">
        <v>3.4</v>
      </c>
      <c r="P18" s="303">
        <v>3.32</v>
      </c>
      <c r="Q18" s="303">
        <v>3.32</v>
      </c>
      <c r="R18" s="401">
        <v>4.07</v>
      </c>
      <c r="S18" s="401">
        <v>4.07</v>
      </c>
      <c r="T18" s="401">
        <v>4.07</v>
      </c>
      <c r="U18" s="401">
        <v>4.07</v>
      </c>
      <c r="V18" s="401">
        <v>4.07</v>
      </c>
      <c r="W18" s="401">
        <v>4.07</v>
      </c>
      <c r="X18" s="401">
        <v>4.07</v>
      </c>
      <c r="Y18" s="401">
        <v>4.07</v>
      </c>
      <c r="Z18" s="362">
        <v>0.3</v>
      </c>
      <c r="AA18" s="362">
        <v>0.3</v>
      </c>
      <c r="AB18" s="362">
        <v>0.27</v>
      </c>
      <c r="AC18" s="301">
        <v>0</v>
      </c>
      <c r="AD18" s="407">
        <v>0.42000000000000037</v>
      </c>
      <c r="AE18" s="407">
        <v>0.42000000000000037</v>
      </c>
      <c r="AF18" s="407">
        <v>0.42000000000000037</v>
      </c>
      <c r="AG18" s="407">
        <v>0.42000000000000037</v>
      </c>
      <c r="AH18" s="407">
        <v>0.42000000000000037</v>
      </c>
      <c r="AI18" s="407">
        <v>0.42000000000000037</v>
      </c>
      <c r="AJ18" s="407">
        <v>0.42000000000000037</v>
      </c>
      <c r="AK18" s="407">
        <v>0.42000000000000037</v>
      </c>
      <c r="AL18" s="255"/>
      <c r="AM18" s="254">
        <f t="shared" si="0"/>
        <v>0</v>
      </c>
      <c r="AN18" s="255"/>
      <c r="AO18" s="254">
        <f t="shared" si="1"/>
        <v>0</v>
      </c>
      <c r="AP18" s="255"/>
      <c r="AQ18" s="254">
        <f t="shared" si="2"/>
        <v>0</v>
      </c>
      <c r="AR18" s="256"/>
      <c r="AS18" s="257">
        <f t="shared" si="3"/>
        <v>0</v>
      </c>
      <c r="AT18" s="268"/>
      <c r="AU18" s="257">
        <f t="shared" si="4"/>
        <v>0</v>
      </c>
      <c r="AV18" s="268"/>
      <c r="AW18" s="257">
        <f t="shared" si="5"/>
        <v>0</v>
      </c>
      <c r="AX18" s="268"/>
      <c r="AY18" s="257">
        <f t="shared" si="6"/>
        <v>0</v>
      </c>
      <c r="AZ18" s="268"/>
      <c r="BA18" s="257">
        <f t="shared" si="7"/>
        <v>0</v>
      </c>
      <c r="BB18" s="268"/>
      <c r="BC18" s="257">
        <f t="shared" si="8"/>
        <v>0</v>
      </c>
      <c r="BD18" s="268"/>
      <c r="BE18" s="257">
        <f t="shared" si="9"/>
        <v>0</v>
      </c>
      <c r="BF18" s="268"/>
      <c r="BG18" s="257">
        <f t="shared" si="10"/>
        <v>0</v>
      </c>
      <c r="BH18" s="268"/>
      <c r="BI18" s="257">
        <f t="shared" si="11"/>
        <v>0</v>
      </c>
      <c r="BJ18" s="1" t="s">
        <v>952</v>
      </c>
      <c r="BL18" s="1" t="s">
        <v>457</v>
      </c>
      <c r="BM18" s="1" t="s">
        <v>953</v>
      </c>
    </row>
    <row r="19" spans="1:65" ht="15" customHeight="1">
      <c r="A19" s="250" t="s">
        <v>951</v>
      </c>
      <c r="B19" s="59" t="s">
        <v>341</v>
      </c>
      <c r="C19" s="354" t="s">
        <v>172</v>
      </c>
      <c r="D19" s="424"/>
      <c r="E19" s="357" t="s">
        <v>332</v>
      </c>
      <c r="F19" s="427"/>
      <c r="G19" s="317">
        <v>2026</v>
      </c>
      <c r="H19" s="59" t="s">
        <v>466</v>
      </c>
      <c r="I19" s="315" t="s">
        <v>249</v>
      </c>
      <c r="J19" s="316">
        <v>16</v>
      </c>
      <c r="K19" s="298" t="s">
        <v>335</v>
      </c>
      <c r="L19" s="298" t="s">
        <v>336</v>
      </c>
      <c r="M19" s="300" t="s">
        <v>455</v>
      </c>
      <c r="N19" s="300">
        <v>7.1</v>
      </c>
      <c r="O19" s="300">
        <v>7.1</v>
      </c>
      <c r="P19" s="300">
        <v>7.1</v>
      </c>
      <c r="Q19" s="300">
        <v>7.1</v>
      </c>
      <c r="R19" s="404">
        <v>7.85</v>
      </c>
      <c r="S19" s="404">
        <v>7.85</v>
      </c>
      <c r="T19" s="404">
        <v>7.85</v>
      </c>
      <c r="U19" s="404">
        <v>7.85</v>
      </c>
      <c r="V19" s="404">
        <v>7.85</v>
      </c>
      <c r="W19" s="404">
        <v>7.85</v>
      </c>
      <c r="X19" s="404">
        <v>7.85</v>
      </c>
      <c r="Y19" s="404">
        <v>7.85</v>
      </c>
      <c r="Z19" s="361">
        <v>0</v>
      </c>
      <c r="AA19" s="361">
        <v>0</v>
      </c>
      <c r="AB19" s="361">
        <v>0</v>
      </c>
      <c r="AC19" s="361">
        <v>0</v>
      </c>
      <c r="AD19" s="408">
        <v>0.15</v>
      </c>
      <c r="AE19" s="408">
        <v>0.15</v>
      </c>
      <c r="AF19" s="408">
        <v>0.15</v>
      </c>
      <c r="AG19" s="408">
        <v>0.15</v>
      </c>
      <c r="AH19" s="408">
        <v>0.15</v>
      </c>
      <c r="AI19" s="408">
        <v>0.15</v>
      </c>
      <c r="AJ19" s="408">
        <v>0.15</v>
      </c>
      <c r="AK19" s="408">
        <v>0.15</v>
      </c>
      <c r="AL19" s="255"/>
      <c r="AM19" s="254">
        <f t="shared" si="0"/>
        <v>0</v>
      </c>
      <c r="AN19" s="255"/>
      <c r="AO19" s="254">
        <f t="shared" si="1"/>
        <v>0</v>
      </c>
      <c r="AP19" s="255"/>
      <c r="AQ19" s="254">
        <f t="shared" si="2"/>
        <v>0</v>
      </c>
      <c r="AR19" s="256">
        <v>120</v>
      </c>
      <c r="AS19" s="257">
        <f t="shared" si="3"/>
        <v>0</v>
      </c>
      <c r="AT19" s="268">
        <v>315</v>
      </c>
      <c r="AU19" s="257">
        <f t="shared" si="4"/>
        <v>47.25</v>
      </c>
      <c r="AV19" s="268"/>
      <c r="AW19" s="257">
        <f t="shared" si="5"/>
        <v>0</v>
      </c>
      <c r="AX19" s="268"/>
      <c r="AY19" s="257">
        <f t="shared" si="6"/>
        <v>0</v>
      </c>
      <c r="AZ19" s="268"/>
      <c r="BA19" s="257">
        <f t="shared" si="7"/>
        <v>0</v>
      </c>
      <c r="BB19" s="268"/>
      <c r="BC19" s="257">
        <f t="shared" si="8"/>
        <v>0</v>
      </c>
      <c r="BD19" s="268"/>
      <c r="BE19" s="257">
        <f t="shared" si="9"/>
        <v>0</v>
      </c>
      <c r="BF19" s="268"/>
      <c r="BG19" s="257">
        <f t="shared" si="10"/>
        <v>0</v>
      </c>
      <c r="BH19" s="268"/>
      <c r="BI19" s="257">
        <f t="shared" si="11"/>
        <v>0</v>
      </c>
      <c r="BJ19" s="1" t="s">
        <v>954</v>
      </c>
      <c r="BL19" s="1" t="s">
        <v>457</v>
      </c>
      <c r="BM19" s="1" t="s">
        <v>955</v>
      </c>
    </row>
    <row r="20" spans="1:65" ht="15" customHeight="1">
      <c r="A20" s="250" t="s">
        <v>951</v>
      </c>
      <c r="B20" s="59" t="s">
        <v>341</v>
      </c>
      <c r="C20" s="354" t="s">
        <v>172</v>
      </c>
      <c r="D20" s="424"/>
      <c r="E20" s="357" t="s">
        <v>332</v>
      </c>
      <c r="F20" s="427"/>
      <c r="G20" s="317">
        <v>2026</v>
      </c>
      <c r="H20" s="59" t="s">
        <v>466</v>
      </c>
      <c r="I20" s="315" t="s">
        <v>249</v>
      </c>
      <c r="J20" s="316">
        <v>16</v>
      </c>
      <c r="K20" s="298" t="s">
        <v>335</v>
      </c>
      <c r="L20" s="298" t="s">
        <v>336</v>
      </c>
      <c r="M20" s="300" t="s">
        <v>455</v>
      </c>
      <c r="N20" s="300">
        <v>7.1</v>
      </c>
      <c r="O20" s="300">
        <v>7.1</v>
      </c>
      <c r="P20" s="300">
        <v>7.1</v>
      </c>
      <c r="Q20" s="300">
        <v>7.1</v>
      </c>
      <c r="R20" s="404">
        <v>7.85</v>
      </c>
      <c r="S20" s="404">
        <v>7.85</v>
      </c>
      <c r="T20" s="404">
        <v>7.85</v>
      </c>
      <c r="U20" s="404">
        <v>7.85</v>
      </c>
      <c r="V20" s="404">
        <v>7.85</v>
      </c>
      <c r="W20" s="404">
        <v>7.85</v>
      </c>
      <c r="X20" s="404">
        <v>7.85</v>
      </c>
      <c r="Y20" s="404">
        <v>7.85</v>
      </c>
      <c r="Z20" s="361">
        <v>0</v>
      </c>
      <c r="AA20" s="361">
        <v>0</v>
      </c>
      <c r="AB20" s="361">
        <v>0</v>
      </c>
      <c r="AC20" s="361">
        <v>0</v>
      </c>
      <c r="AD20" s="408">
        <v>0.15</v>
      </c>
      <c r="AE20" s="408">
        <v>0.15</v>
      </c>
      <c r="AF20" s="408">
        <v>0.15</v>
      </c>
      <c r="AG20" s="408">
        <v>0.15</v>
      </c>
      <c r="AH20" s="408">
        <v>0.15</v>
      </c>
      <c r="AI20" s="408">
        <v>0.15</v>
      </c>
      <c r="AJ20" s="408">
        <v>0.15</v>
      </c>
      <c r="AK20" s="408">
        <v>0.15</v>
      </c>
      <c r="AL20" s="255"/>
      <c r="AM20" s="254">
        <f t="shared" si="0"/>
        <v>0</v>
      </c>
      <c r="AN20" s="255"/>
      <c r="AO20" s="254">
        <f t="shared" si="1"/>
        <v>0</v>
      </c>
      <c r="AP20" s="255"/>
      <c r="AQ20" s="254">
        <f t="shared" si="2"/>
        <v>0</v>
      </c>
      <c r="AR20" s="256"/>
      <c r="AS20" s="257">
        <f t="shared" si="3"/>
        <v>0</v>
      </c>
      <c r="AT20" s="268"/>
      <c r="AU20" s="257">
        <f t="shared" si="4"/>
        <v>0</v>
      </c>
      <c r="AV20" s="268"/>
      <c r="AW20" s="257">
        <f t="shared" si="5"/>
        <v>0</v>
      </c>
      <c r="AX20" s="268"/>
      <c r="AY20" s="257">
        <f t="shared" si="6"/>
        <v>0</v>
      </c>
      <c r="AZ20" s="268"/>
      <c r="BA20" s="257">
        <f t="shared" si="7"/>
        <v>0</v>
      </c>
      <c r="BB20" s="268"/>
      <c r="BC20" s="257">
        <f t="shared" si="8"/>
        <v>0</v>
      </c>
      <c r="BD20" s="268"/>
      <c r="BE20" s="257">
        <f t="shared" si="9"/>
        <v>0</v>
      </c>
      <c r="BF20" s="268"/>
      <c r="BG20" s="257">
        <f t="shared" si="10"/>
        <v>0</v>
      </c>
      <c r="BH20" s="268"/>
      <c r="BI20" s="257">
        <f t="shared" si="11"/>
        <v>0</v>
      </c>
      <c r="BJ20" s="1" t="s">
        <v>956</v>
      </c>
      <c r="BL20" s="1" t="s">
        <v>457</v>
      </c>
      <c r="BM20" s="1" t="s">
        <v>957</v>
      </c>
    </row>
    <row r="21" spans="1:65" ht="15" customHeight="1">
      <c r="A21" s="250" t="s">
        <v>951</v>
      </c>
      <c r="B21" s="59" t="s">
        <v>341</v>
      </c>
      <c r="C21" s="354" t="s">
        <v>172</v>
      </c>
      <c r="D21" s="424"/>
      <c r="E21" s="357" t="s">
        <v>332</v>
      </c>
      <c r="F21" s="427"/>
      <c r="G21" s="317">
        <v>2026</v>
      </c>
      <c r="H21" s="59" t="s">
        <v>466</v>
      </c>
      <c r="I21" s="315" t="s">
        <v>175</v>
      </c>
      <c r="J21" s="316">
        <v>16</v>
      </c>
      <c r="K21" s="298" t="s">
        <v>335</v>
      </c>
      <c r="L21" s="298" t="s">
        <v>464</v>
      </c>
      <c r="M21" s="300" t="s">
        <v>465</v>
      </c>
      <c r="N21" s="303">
        <v>3.4</v>
      </c>
      <c r="O21" s="303">
        <v>3.4</v>
      </c>
      <c r="P21" s="303">
        <v>3.32</v>
      </c>
      <c r="Q21" s="303">
        <v>3.32</v>
      </c>
      <c r="R21" s="401">
        <v>4.07</v>
      </c>
      <c r="S21" s="401">
        <v>4.07</v>
      </c>
      <c r="T21" s="401">
        <v>4.07</v>
      </c>
      <c r="U21" s="401">
        <v>4.07</v>
      </c>
      <c r="V21" s="401">
        <v>4.07</v>
      </c>
      <c r="W21" s="401">
        <v>4.07</v>
      </c>
      <c r="X21" s="401">
        <v>4.07</v>
      </c>
      <c r="Y21" s="401">
        <v>4.07</v>
      </c>
      <c r="Z21" s="362">
        <v>0.3</v>
      </c>
      <c r="AA21" s="362">
        <v>0.3</v>
      </c>
      <c r="AB21" s="362">
        <v>0.27</v>
      </c>
      <c r="AC21" s="301">
        <v>0</v>
      </c>
      <c r="AD21" s="407">
        <v>0.42000000000000037</v>
      </c>
      <c r="AE21" s="407">
        <v>0.42000000000000037</v>
      </c>
      <c r="AF21" s="407">
        <v>0.42000000000000037</v>
      </c>
      <c r="AG21" s="407">
        <v>0.42000000000000037</v>
      </c>
      <c r="AH21" s="407">
        <v>0.42000000000000037</v>
      </c>
      <c r="AI21" s="407">
        <v>0.42000000000000037</v>
      </c>
      <c r="AJ21" s="407">
        <v>0.42000000000000037</v>
      </c>
      <c r="AK21" s="407">
        <v>0.42000000000000037</v>
      </c>
      <c r="AL21" s="255"/>
      <c r="AM21" s="254">
        <f t="shared" si="0"/>
        <v>0</v>
      </c>
      <c r="AN21" s="255"/>
      <c r="AO21" s="254">
        <f t="shared" si="1"/>
        <v>0</v>
      </c>
      <c r="AP21" s="255"/>
      <c r="AQ21" s="254">
        <f t="shared" si="2"/>
        <v>0</v>
      </c>
      <c r="AR21" s="256"/>
      <c r="AS21" s="257">
        <f t="shared" si="3"/>
        <v>0</v>
      </c>
      <c r="AT21" s="268"/>
      <c r="AU21" s="257">
        <f t="shared" si="4"/>
        <v>0</v>
      </c>
      <c r="AV21" s="268"/>
      <c r="AW21" s="257">
        <f t="shared" si="5"/>
        <v>0</v>
      </c>
      <c r="AX21" s="268"/>
      <c r="AY21" s="257">
        <f t="shared" si="6"/>
        <v>0</v>
      </c>
      <c r="AZ21" s="268"/>
      <c r="BA21" s="257">
        <f t="shared" si="7"/>
        <v>0</v>
      </c>
      <c r="BB21" s="268"/>
      <c r="BC21" s="257">
        <f t="shared" si="8"/>
        <v>0</v>
      </c>
      <c r="BD21" s="268"/>
      <c r="BE21" s="257">
        <f t="shared" si="9"/>
        <v>0</v>
      </c>
      <c r="BF21" s="268"/>
      <c r="BG21" s="257">
        <f t="shared" si="10"/>
        <v>0</v>
      </c>
      <c r="BH21" s="268"/>
      <c r="BI21" s="257">
        <f t="shared" si="11"/>
        <v>0</v>
      </c>
      <c r="BJ21" s="1" t="s">
        <v>958</v>
      </c>
      <c r="BL21" s="1" t="s">
        <v>457</v>
      </c>
      <c r="BM21" s="1" t="s">
        <v>959</v>
      </c>
    </row>
    <row r="22" spans="1:65" ht="15" customHeight="1">
      <c r="A22" s="250" t="s">
        <v>951</v>
      </c>
      <c r="B22" s="59" t="s">
        <v>341</v>
      </c>
      <c r="C22" s="354" t="s">
        <v>172</v>
      </c>
      <c r="D22" s="424"/>
      <c r="E22" s="357" t="s">
        <v>332</v>
      </c>
      <c r="F22" s="427"/>
      <c r="G22" s="317">
        <v>2026</v>
      </c>
      <c r="H22" s="59" t="s">
        <v>466</v>
      </c>
      <c r="I22" s="315" t="s">
        <v>249</v>
      </c>
      <c r="J22" s="316">
        <v>16</v>
      </c>
      <c r="K22" s="298" t="s">
        <v>335</v>
      </c>
      <c r="L22" s="298" t="s">
        <v>464</v>
      </c>
      <c r="M22" s="300" t="s">
        <v>465</v>
      </c>
      <c r="N22" s="300">
        <v>7.1</v>
      </c>
      <c r="O22" s="300">
        <v>7.1</v>
      </c>
      <c r="P22" s="300">
        <v>7.1</v>
      </c>
      <c r="Q22" s="300">
        <v>7.1</v>
      </c>
      <c r="R22" s="404">
        <v>7.85</v>
      </c>
      <c r="S22" s="404">
        <v>7.85</v>
      </c>
      <c r="T22" s="404">
        <v>7.85</v>
      </c>
      <c r="U22" s="404">
        <v>7.85</v>
      </c>
      <c r="V22" s="404">
        <v>7.85</v>
      </c>
      <c r="W22" s="404">
        <v>7.85</v>
      </c>
      <c r="X22" s="404">
        <v>7.85</v>
      </c>
      <c r="Y22" s="404">
        <v>7.85</v>
      </c>
      <c r="Z22" s="361">
        <v>0</v>
      </c>
      <c r="AA22" s="361">
        <v>0</v>
      </c>
      <c r="AB22" s="361">
        <v>0</v>
      </c>
      <c r="AC22" s="361">
        <v>0</v>
      </c>
      <c r="AD22" s="408">
        <v>0.15</v>
      </c>
      <c r="AE22" s="408">
        <v>0.15</v>
      </c>
      <c r="AF22" s="408">
        <v>0.15</v>
      </c>
      <c r="AG22" s="408">
        <v>0.15</v>
      </c>
      <c r="AH22" s="408">
        <v>0.15</v>
      </c>
      <c r="AI22" s="408">
        <v>0.15</v>
      </c>
      <c r="AJ22" s="408">
        <v>0.15</v>
      </c>
      <c r="AK22" s="408">
        <v>0.15</v>
      </c>
      <c r="AL22" s="255"/>
      <c r="AM22" s="254">
        <f t="shared" si="0"/>
        <v>0</v>
      </c>
      <c r="AN22" s="255"/>
      <c r="AO22" s="254">
        <f t="shared" si="1"/>
        <v>0</v>
      </c>
      <c r="AP22" s="255"/>
      <c r="AQ22" s="254">
        <f t="shared" si="2"/>
        <v>0</v>
      </c>
      <c r="AR22" s="256"/>
      <c r="AS22" s="257">
        <f t="shared" si="3"/>
        <v>0</v>
      </c>
      <c r="AT22" s="268">
        <v>40</v>
      </c>
      <c r="AU22" s="257">
        <f t="shared" si="4"/>
        <v>6</v>
      </c>
      <c r="AV22" s="268"/>
      <c r="AW22" s="257">
        <f t="shared" si="5"/>
        <v>0</v>
      </c>
      <c r="AX22" s="268"/>
      <c r="AY22" s="257">
        <f t="shared" si="6"/>
        <v>0</v>
      </c>
      <c r="AZ22" s="268"/>
      <c r="BA22" s="257">
        <f t="shared" si="7"/>
        <v>0</v>
      </c>
      <c r="BB22" s="268"/>
      <c r="BC22" s="257">
        <f t="shared" si="8"/>
        <v>0</v>
      </c>
      <c r="BD22" s="268"/>
      <c r="BE22" s="257">
        <f t="shared" si="9"/>
        <v>0</v>
      </c>
      <c r="BF22" s="268"/>
      <c r="BG22" s="257">
        <f t="shared" si="10"/>
        <v>0</v>
      </c>
      <c r="BH22" s="268"/>
      <c r="BI22" s="257">
        <f t="shared" si="11"/>
        <v>0</v>
      </c>
      <c r="BJ22" s="1" t="s">
        <v>960</v>
      </c>
      <c r="BL22" s="1" t="s">
        <v>457</v>
      </c>
      <c r="BM22" s="1" t="s">
        <v>961</v>
      </c>
    </row>
    <row r="23" spans="1:65" ht="15" customHeight="1">
      <c r="A23" s="250" t="s">
        <v>951</v>
      </c>
      <c r="B23" s="59" t="s">
        <v>341</v>
      </c>
      <c r="C23" s="354" t="s">
        <v>172</v>
      </c>
      <c r="D23" s="424"/>
      <c r="E23" s="357" t="s">
        <v>332</v>
      </c>
      <c r="F23" s="427"/>
      <c r="G23" s="317">
        <v>2026</v>
      </c>
      <c r="H23" s="59" t="s">
        <v>466</v>
      </c>
      <c r="I23" s="315" t="s">
        <v>249</v>
      </c>
      <c r="J23" s="316">
        <v>16</v>
      </c>
      <c r="K23" s="298" t="s">
        <v>335</v>
      </c>
      <c r="L23" s="298" t="s">
        <v>464</v>
      </c>
      <c r="M23" s="300" t="s">
        <v>465</v>
      </c>
      <c r="N23" s="300">
        <v>7.1</v>
      </c>
      <c r="O23" s="300">
        <v>7.1</v>
      </c>
      <c r="P23" s="300">
        <v>7.1</v>
      </c>
      <c r="Q23" s="300">
        <v>7.1</v>
      </c>
      <c r="R23" s="404">
        <v>7.85</v>
      </c>
      <c r="S23" s="404">
        <v>7.85</v>
      </c>
      <c r="T23" s="404">
        <v>7.85</v>
      </c>
      <c r="U23" s="404">
        <v>7.85</v>
      </c>
      <c r="V23" s="404">
        <v>7.85</v>
      </c>
      <c r="W23" s="404">
        <v>7.85</v>
      </c>
      <c r="X23" s="404">
        <v>7.85</v>
      </c>
      <c r="Y23" s="404">
        <v>7.85</v>
      </c>
      <c r="Z23" s="361">
        <v>0</v>
      </c>
      <c r="AA23" s="361">
        <v>0</v>
      </c>
      <c r="AB23" s="361">
        <v>0</v>
      </c>
      <c r="AC23" s="361">
        <v>0</v>
      </c>
      <c r="AD23" s="408">
        <v>0.15</v>
      </c>
      <c r="AE23" s="408">
        <v>0.15</v>
      </c>
      <c r="AF23" s="408">
        <v>0.15</v>
      </c>
      <c r="AG23" s="408">
        <v>0.15</v>
      </c>
      <c r="AH23" s="408">
        <v>0.15</v>
      </c>
      <c r="AI23" s="408">
        <v>0.15</v>
      </c>
      <c r="AJ23" s="408">
        <v>0.15</v>
      </c>
      <c r="AK23" s="408">
        <v>0.15</v>
      </c>
      <c r="AL23" s="255"/>
      <c r="AM23" s="254">
        <f t="shared" si="0"/>
        <v>0</v>
      </c>
      <c r="AN23" s="255"/>
      <c r="AO23" s="254">
        <f t="shared" si="1"/>
        <v>0</v>
      </c>
      <c r="AP23" s="255"/>
      <c r="AQ23" s="254">
        <f t="shared" si="2"/>
        <v>0</v>
      </c>
      <c r="AR23" s="256"/>
      <c r="AS23" s="257">
        <f t="shared" si="3"/>
        <v>0</v>
      </c>
      <c r="AT23" s="268"/>
      <c r="AU23" s="257">
        <f t="shared" si="4"/>
        <v>0</v>
      </c>
      <c r="AV23" s="268"/>
      <c r="AW23" s="257">
        <f t="shared" si="5"/>
        <v>0</v>
      </c>
      <c r="AX23" s="268"/>
      <c r="AY23" s="257">
        <f t="shared" si="6"/>
        <v>0</v>
      </c>
      <c r="AZ23" s="268"/>
      <c r="BA23" s="257">
        <f t="shared" si="7"/>
        <v>0</v>
      </c>
      <c r="BB23" s="268"/>
      <c r="BC23" s="257">
        <f t="shared" si="8"/>
        <v>0</v>
      </c>
      <c r="BD23" s="268"/>
      <c r="BE23" s="257">
        <f t="shared" si="9"/>
        <v>0</v>
      </c>
      <c r="BF23" s="268"/>
      <c r="BG23" s="257">
        <f t="shared" si="10"/>
        <v>0</v>
      </c>
      <c r="BH23" s="268"/>
      <c r="BI23" s="257">
        <f t="shared" si="11"/>
        <v>0</v>
      </c>
      <c r="BJ23" s="1" t="s">
        <v>962</v>
      </c>
      <c r="BL23" s="1" t="s">
        <v>457</v>
      </c>
      <c r="BM23" s="1" t="s">
        <v>963</v>
      </c>
    </row>
    <row r="24" spans="1:65" ht="15" customHeight="1">
      <c r="A24" s="250" t="s">
        <v>951</v>
      </c>
      <c r="C24" s="354"/>
      <c r="D24" s="424"/>
      <c r="E24" s="357"/>
      <c r="F24" s="427"/>
      <c r="G24" s="317"/>
      <c r="H24" s="59"/>
      <c r="I24" s="315"/>
      <c r="J24" s="316"/>
      <c r="K24" s="298"/>
      <c r="L24" s="298"/>
      <c r="M24" s="300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62"/>
      <c r="AA24" s="362"/>
      <c r="AB24" s="362"/>
      <c r="AC24" s="362"/>
      <c r="AD24" s="362"/>
      <c r="AE24" s="362"/>
      <c r="AF24" s="362"/>
      <c r="AG24" s="362"/>
      <c r="AH24" s="362"/>
      <c r="AI24" s="362"/>
      <c r="AJ24" s="362"/>
      <c r="AK24" s="362"/>
      <c r="AL24" s="255"/>
      <c r="AM24" s="254">
        <f t="shared" si="0"/>
        <v>0</v>
      </c>
      <c r="AN24" s="255"/>
      <c r="AO24" s="254">
        <f t="shared" si="1"/>
        <v>0</v>
      </c>
      <c r="AP24" s="255"/>
      <c r="AQ24" s="254">
        <f t="shared" si="2"/>
        <v>0</v>
      </c>
      <c r="AR24" s="256"/>
      <c r="AS24" s="257">
        <f t="shared" si="3"/>
        <v>0</v>
      </c>
      <c r="AT24" s="268"/>
      <c r="AU24" s="257">
        <f t="shared" si="4"/>
        <v>0</v>
      </c>
      <c r="AV24" s="268"/>
      <c r="AW24" s="257">
        <f t="shared" si="5"/>
        <v>0</v>
      </c>
      <c r="AX24" s="256"/>
      <c r="AY24" s="257">
        <f t="shared" si="6"/>
        <v>0</v>
      </c>
      <c r="AZ24" s="268"/>
      <c r="BA24" s="257">
        <f t="shared" si="7"/>
        <v>0</v>
      </c>
      <c r="BB24" s="268"/>
      <c r="BC24" s="257">
        <f t="shared" si="8"/>
        <v>0</v>
      </c>
      <c r="BD24" s="59"/>
      <c r="BE24" s="257">
        <f t="shared" si="9"/>
        <v>0</v>
      </c>
      <c r="BF24" s="59"/>
      <c r="BG24" s="257">
        <f t="shared" si="10"/>
        <v>0</v>
      </c>
      <c r="BH24" s="59"/>
      <c r="BI24" s="257">
        <f t="shared" si="11"/>
        <v>0</v>
      </c>
    </row>
    <row r="25" spans="1:65" ht="15" customHeight="1">
      <c r="A25" s="250" t="s">
        <v>951</v>
      </c>
      <c r="C25" s="354"/>
      <c r="D25" s="424"/>
      <c r="E25" s="357"/>
      <c r="F25" s="427"/>
      <c r="G25" s="317"/>
      <c r="H25" s="59"/>
      <c r="I25" s="315"/>
      <c r="J25" s="316"/>
      <c r="K25" s="298"/>
      <c r="L25" s="298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1"/>
      <c r="AK25" s="361"/>
      <c r="AL25" s="255"/>
      <c r="AM25" s="254">
        <f t="shared" si="0"/>
        <v>0</v>
      </c>
      <c r="AN25" s="255"/>
      <c r="AO25" s="254">
        <f t="shared" si="1"/>
        <v>0</v>
      </c>
      <c r="AP25" s="255"/>
      <c r="AQ25" s="254">
        <f t="shared" si="2"/>
        <v>0</v>
      </c>
      <c r="AR25" s="256"/>
      <c r="AS25" s="257">
        <f t="shared" si="3"/>
        <v>0</v>
      </c>
      <c r="AT25" s="268"/>
      <c r="AU25" s="257">
        <f t="shared" si="4"/>
        <v>0</v>
      </c>
      <c r="AV25" s="268"/>
      <c r="AW25" s="257">
        <f t="shared" si="5"/>
        <v>0</v>
      </c>
      <c r="AX25" s="256"/>
      <c r="AY25" s="257">
        <f t="shared" si="6"/>
        <v>0</v>
      </c>
      <c r="AZ25" s="268"/>
      <c r="BA25" s="257">
        <f t="shared" si="7"/>
        <v>0</v>
      </c>
      <c r="BB25" s="268"/>
      <c r="BC25" s="257">
        <f t="shared" si="8"/>
        <v>0</v>
      </c>
      <c r="BD25" s="59"/>
      <c r="BE25" s="257">
        <f t="shared" si="9"/>
        <v>0</v>
      </c>
      <c r="BF25" s="59"/>
      <c r="BG25" s="257">
        <f t="shared" si="10"/>
        <v>0</v>
      </c>
      <c r="BH25" s="59"/>
      <c r="BI25" s="257">
        <f t="shared" si="11"/>
        <v>0</v>
      </c>
    </row>
    <row r="26" spans="1:65" ht="17.25" customHeight="1">
      <c r="A26" s="250" t="s">
        <v>951</v>
      </c>
      <c r="B26" s="59" t="s">
        <v>341</v>
      </c>
      <c r="C26" s="354" t="s">
        <v>172</v>
      </c>
      <c r="D26" s="424"/>
      <c r="E26" s="357" t="s">
        <v>332</v>
      </c>
      <c r="F26" s="427">
        <v>800</v>
      </c>
      <c r="G26" s="317">
        <v>2025</v>
      </c>
      <c r="H26" s="298" t="s">
        <v>473</v>
      </c>
      <c r="I26" s="315" t="s">
        <v>249</v>
      </c>
      <c r="J26" s="316">
        <v>14</v>
      </c>
      <c r="K26" s="298" t="s">
        <v>335</v>
      </c>
      <c r="L26" s="298" t="s">
        <v>336</v>
      </c>
      <c r="M26" s="300" t="s">
        <v>474</v>
      </c>
      <c r="N26" s="300">
        <v>7.9</v>
      </c>
      <c r="O26" s="300">
        <v>7.9</v>
      </c>
      <c r="P26" s="300">
        <v>7.74</v>
      </c>
      <c r="Q26" s="300">
        <v>7.74</v>
      </c>
      <c r="R26" s="404">
        <v>8.25</v>
      </c>
      <c r="S26" s="404">
        <v>8.25</v>
      </c>
      <c r="T26" s="404">
        <v>8.25</v>
      </c>
      <c r="U26" s="404">
        <v>8.25</v>
      </c>
      <c r="V26" s="404">
        <v>8.25</v>
      </c>
      <c r="W26" s="404">
        <v>8.25</v>
      </c>
      <c r="X26" s="404">
        <v>8.25</v>
      </c>
      <c r="Y26" s="404">
        <v>8.25</v>
      </c>
      <c r="Z26" s="300">
        <v>0.8</v>
      </c>
      <c r="AA26" s="300">
        <v>0.8</v>
      </c>
      <c r="AB26" s="300">
        <v>0.64</v>
      </c>
      <c r="AC26" s="300">
        <v>0</v>
      </c>
      <c r="AD26" s="404">
        <v>0.65000000000000036</v>
      </c>
      <c r="AE26" s="404">
        <v>0.65000000000000036</v>
      </c>
      <c r="AF26" s="404">
        <v>0.65000000000000036</v>
      </c>
      <c r="AG26" s="404">
        <v>0.65000000000000036</v>
      </c>
      <c r="AH26" s="404">
        <v>0.65000000000000036</v>
      </c>
      <c r="AI26" s="404">
        <v>0.65000000000000036</v>
      </c>
      <c r="AJ26" s="404">
        <v>0.65000000000000036</v>
      </c>
      <c r="AK26" s="404">
        <v>0.65000000000000036</v>
      </c>
      <c r="AL26" s="255">
        <v>9413</v>
      </c>
      <c r="AM26" s="254">
        <f t="shared" si="0"/>
        <v>7530.4000000000005</v>
      </c>
      <c r="AN26" s="255">
        <v>600</v>
      </c>
      <c r="AO26" s="254">
        <f t="shared" si="1"/>
        <v>480</v>
      </c>
      <c r="AP26" s="255">
        <v>20180</v>
      </c>
      <c r="AQ26" s="254">
        <f t="shared" si="2"/>
        <v>12915.2</v>
      </c>
      <c r="AR26" s="256">
        <v>54239</v>
      </c>
      <c r="AS26" s="257">
        <f t="shared" si="3"/>
        <v>0</v>
      </c>
      <c r="AT26" s="268">
        <v>98521</v>
      </c>
      <c r="AU26" s="257">
        <f t="shared" si="4"/>
        <v>64038.650000000038</v>
      </c>
      <c r="AV26" s="268">
        <v>80000</v>
      </c>
      <c r="AW26" s="257">
        <f t="shared" si="5"/>
        <v>52000.000000000029</v>
      </c>
      <c r="AX26" s="268">
        <v>80000</v>
      </c>
      <c r="AY26" s="257">
        <f t="shared" si="6"/>
        <v>52000.000000000029</v>
      </c>
      <c r="AZ26" s="268">
        <v>85000</v>
      </c>
      <c r="BA26" s="257">
        <f t="shared" si="7"/>
        <v>55250.000000000029</v>
      </c>
      <c r="BB26" s="268">
        <v>80000</v>
      </c>
      <c r="BC26" s="257">
        <f t="shared" si="8"/>
        <v>52000.000000000029</v>
      </c>
      <c r="BD26" s="268">
        <v>80000</v>
      </c>
      <c r="BE26" s="257">
        <f t="shared" si="9"/>
        <v>52000.000000000029</v>
      </c>
      <c r="BF26" s="256">
        <v>100000</v>
      </c>
      <c r="BG26" s="257">
        <f t="shared" si="10"/>
        <v>65000.000000000036</v>
      </c>
      <c r="BH26" s="268">
        <v>80000</v>
      </c>
      <c r="BI26" s="257">
        <f t="shared" si="11"/>
        <v>52000.000000000029</v>
      </c>
      <c r="BJ26" s="1" t="s">
        <v>475</v>
      </c>
      <c r="BL26" s="1" t="s">
        <v>457</v>
      </c>
      <c r="BM26" s="1" t="s">
        <v>476</v>
      </c>
    </row>
    <row r="27" spans="1:65" ht="15" customHeight="1">
      <c r="A27" s="250" t="s">
        <v>951</v>
      </c>
      <c r="B27" s="59" t="s">
        <v>341</v>
      </c>
      <c r="C27" s="354" t="s">
        <v>172</v>
      </c>
      <c r="D27" s="424"/>
      <c r="E27" s="357" t="s">
        <v>332</v>
      </c>
      <c r="F27" s="427"/>
      <c r="G27" s="317">
        <v>2025</v>
      </c>
      <c r="H27" s="298" t="s">
        <v>473</v>
      </c>
      <c r="I27" s="315" t="s">
        <v>249</v>
      </c>
      <c r="J27" s="316">
        <v>14</v>
      </c>
      <c r="K27" s="298" t="s">
        <v>335</v>
      </c>
      <c r="L27" s="298" t="s">
        <v>336</v>
      </c>
      <c r="M27" s="300" t="s">
        <v>474</v>
      </c>
      <c r="N27" s="300">
        <v>7.9</v>
      </c>
      <c r="O27" s="300">
        <v>7.9</v>
      </c>
      <c r="P27" s="300">
        <v>7.74</v>
      </c>
      <c r="Q27" s="300">
        <v>7.74</v>
      </c>
      <c r="R27" s="404">
        <v>8.25</v>
      </c>
      <c r="S27" s="404">
        <v>8.25</v>
      </c>
      <c r="T27" s="404">
        <v>8.25</v>
      </c>
      <c r="U27" s="404">
        <v>8.25</v>
      </c>
      <c r="V27" s="404">
        <v>8.25</v>
      </c>
      <c r="W27" s="404">
        <v>8.25</v>
      </c>
      <c r="X27" s="404">
        <v>8.25</v>
      </c>
      <c r="Y27" s="404">
        <v>8.25</v>
      </c>
      <c r="Z27" s="300">
        <v>0.8</v>
      </c>
      <c r="AA27" s="300">
        <v>0.8</v>
      </c>
      <c r="AB27" s="300">
        <v>0.64</v>
      </c>
      <c r="AC27" s="300">
        <v>0</v>
      </c>
      <c r="AD27" s="404">
        <v>0.65000000000000036</v>
      </c>
      <c r="AE27" s="404">
        <v>0.65000000000000036</v>
      </c>
      <c r="AF27" s="404">
        <v>0.65000000000000036</v>
      </c>
      <c r="AG27" s="404">
        <v>0.65000000000000036</v>
      </c>
      <c r="AH27" s="404">
        <v>0.65000000000000036</v>
      </c>
      <c r="AI27" s="404">
        <v>0.65000000000000036</v>
      </c>
      <c r="AJ27" s="404">
        <v>0.65000000000000036</v>
      </c>
      <c r="AK27" s="404">
        <v>0.65000000000000036</v>
      </c>
      <c r="AL27" s="255">
        <v>1400</v>
      </c>
      <c r="AM27" s="254">
        <f t="shared" si="0"/>
        <v>1120</v>
      </c>
      <c r="AN27" s="255"/>
      <c r="AO27" s="254">
        <f t="shared" si="1"/>
        <v>0</v>
      </c>
      <c r="AP27" s="255">
        <v>4440</v>
      </c>
      <c r="AQ27" s="254">
        <f t="shared" si="2"/>
        <v>2841.6</v>
      </c>
      <c r="AR27" s="255">
        <v>12360</v>
      </c>
      <c r="AS27" s="257">
        <f t="shared" si="3"/>
        <v>0</v>
      </c>
      <c r="AT27" s="255">
        <v>18408</v>
      </c>
      <c r="AU27" s="257">
        <f t="shared" si="4"/>
        <v>11965.200000000006</v>
      </c>
      <c r="AV27" s="255">
        <v>2000</v>
      </c>
      <c r="AW27" s="257">
        <f t="shared" si="5"/>
        <v>1300.0000000000007</v>
      </c>
      <c r="AX27" s="255">
        <v>2000</v>
      </c>
      <c r="AY27" s="257">
        <f t="shared" si="6"/>
        <v>1300.0000000000007</v>
      </c>
      <c r="AZ27" s="255">
        <v>2000</v>
      </c>
      <c r="BA27" s="257">
        <f t="shared" si="7"/>
        <v>1300.0000000000007</v>
      </c>
      <c r="BB27" s="255">
        <v>2000</v>
      </c>
      <c r="BC27" s="257">
        <f t="shared" si="8"/>
        <v>1300.0000000000007</v>
      </c>
      <c r="BD27" s="255">
        <v>2000</v>
      </c>
      <c r="BE27" s="257">
        <f t="shared" si="9"/>
        <v>1300.0000000000007</v>
      </c>
      <c r="BF27" s="255">
        <v>2000</v>
      </c>
      <c r="BG27" s="257">
        <f t="shared" si="10"/>
        <v>1300.0000000000007</v>
      </c>
      <c r="BH27" s="255">
        <v>2000</v>
      </c>
      <c r="BI27" s="257">
        <f t="shared" si="11"/>
        <v>1300.0000000000007</v>
      </c>
      <c r="BJ27" s="1" t="s">
        <v>477</v>
      </c>
      <c r="BK27" s="1" t="s">
        <v>462</v>
      </c>
      <c r="BL27" s="1" t="s">
        <v>457</v>
      </c>
      <c r="BM27" s="1" t="s">
        <v>478</v>
      </c>
    </row>
    <row r="28" spans="1:65" ht="15" customHeight="1">
      <c r="A28" s="250" t="s">
        <v>951</v>
      </c>
      <c r="B28" s="59" t="s">
        <v>341</v>
      </c>
      <c r="C28" s="354" t="s">
        <v>172</v>
      </c>
      <c r="D28" s="424"/>
      <c r="E28" s="357" t="s">
        <v>332</v>
      </c>
      <c r="F28" s="427"/>
      <c r="G28" s="317">
        <v>2025</v>
      </c>
      <c r="H28" s="298" t="s">
        <v>473</v>
      </c>
      <c r="I28" s="315" t="s">
        <v>175</v>
      </c>
      <c r="J28" s="316">
        <v>14</v>
      </c>
      <c r="K28" s="298" t="s">
        <v>335</v>
      </c>
      <c r="L28" s="298" t="s">
        <v>336</v>
      </c>
      <c r="M28" s="300" t="s">
        <v>474</v>
      </c>
      <c r="N28" s="303">
        <v>4.82</v>
      </c>
      <c r="O28" s="303">
        <v>4.82</v>
      </c>
      <c r="P28" s="303">
        <v>4.75</v>
      </c>
      <c r="Q28" s="303">
        <v>4.75</v>
      </c>
      <c r="R28" s="401">
        <v>5.25</v>
      </c>
      <c r="S28" s="401">
        <v>5.25</v>
      </c>
      <c r="T28" s="401">
        <v>5.25</v>
      </c>
      <c r="U28" s="401">
        <v>5.25</v>
      </c>
      <c r="V28" s="401">
        <v>5.25</v>
      </c>
      <c r="W28" s="401">
        <v>5.25</v>
      </c>
      <c r="X28" s="401">
        <v>5.25</v>
      </c>
      <c r="Y28" s="401">
        <v>5.25</v>
      </c>
      <c r="Z28" s="303">
        <v>0.37</v>
      </c>
      <c r="AA28" s="303">
        <v>0.37</v>
      </c>
      <c r="AB28" s="303">
        <v>0.35</v>
      </c>
      <c r="AC28" s="300">
        <v>0</v>
      </c>
      <c r="AD28" s="401">
        <v>0.34999999999999964</v>
      </c>
      <c r="AE28" s="401">
        <v>0.34999999999999964</v>
      </c>
      <c r="AF28" s="401">
        <v>0.34999999999999964</v>
      </c>
      <c r="AG28" s="401">
        <v>0.34999999999999964</v>
      </c>
      <c r="AH28" s="401">
        <v>0.34999999999999964</v>
      </c>
      <c r="AI28" s="401">
        <v>0.34999999999999964</v>
      </c>
      <c r="AJ28" s="401">
        <v>0.34999999999999964</v>
      </c>
      <c r="AK28" s="401">
        <v>0.34999999999999964</v>
      </c>
      <c r="AL28" s="255">
        <v>652</v>
      </c>
      <c r="AM28" s="254">
        <f t="shared" si="0"/>
        <v>241.24</v>
      </c>
      <c r="AN28" s="255"/>
      <c r="AO28" s="254">
        <f t="shared" si="1"/>
        <v>0</v>
      </c>
      <c r="AP28" s="255">
        <v>1000</v>
      </c>
      <c r="AQ28" s="254">
        <f t="shared" si="2"/>
        <v>350</v>
      </c>
      <c r="AR28" s="256">
        <v>2080</v>
      </c>
      <c r="AS28" s="257">
        <f t="shared" si="3"/>
        <v>0</v>
      </c>
      <c r="AT28" s="268">
        <v>7859</v>
      </c>
      <c r="AU28" s="257">
        <f t="shared" si="4"/>
        <v>2750.6499999999974</v>
      </c>
      <c r="AV28" s="268"/>
      <c r="AW28" s="257">
        <f t="shared" si="5"/>
        <v>0</v>
      </c>
      <c r="AX28" s="268"/>
      <c r="AY28" s="257">
        <f t="shared" si="6"/>
        <v>0</v>
      </c>
      <c r="AZ28" s="268"/>
      <c r="BA28" s="257">
        <f t="shared" si="7"/>
        <v>0</v>
      </c>
      <c r="BB28" s="268"/>
      <c r="BC28" s="257">
        <f t="shared" si="8"/>
        <v>0</v>
      </c>
      <c r="BD28" s="268"/>
      <c r="BE28" s="257">
        <f t="shared" si="9"/>
        <v>0</v>
      </c>
      <c r="BF28" s="256"/>
      <c r="BG28" s="257">
        <f t="shared" si="10"/>
        <v>0</v>
      </c>
      <c r="BH28" s="268"/>
      <c r="BI28" s="257">
        <f t="shared" si="11"/>
        <v>0</v>
      </c>
      <c r="BJ28" s="1" t="s">
        <v>479</v>
      </c>
      <c r="BL28" s="1" t="s">
        <v>457</v>
      </c>
      <c r="BM28" s="1" t="s">
        <v>480</v>
      </c>
    </row>
    <row r="29" spans="1:65" ht="15" customHeight="1">
      <c r="A29" s="250" t="s">
        <v>951</v>
      </c>
      <c r="B29" s="59" t="s">
        <v>341</v>
      </c>
      <c r="C29" s="354" t="s">
        <v>172</v>
      </c>
      <c r="D29" s="424"/>
      <c r="E29" s="357" t="s">
        <v>332</v>
      </c>
      <c r="F29" s="427"/>
      <c r="G29" s="317">
        <v>2025</v>
      </c>
      <c r="H29" s="365" t="s">
        <v>481</v>
      </c>
      <c r="I29" s="315" t="s">
        <v>249</v>
      </c>
      <c r="J29" s="316">
        <v>16</v>
      </c>
      <c r="K29" s="298" t="s">
        <v>335</v>
      </c>
      <c r="L29" s="298" t="s">
        <v>336</v>
      </c>
      <c r="M29" s="300" t="s">
        <v>474</v>
      </c>
      <c r="N29" s="303">
        <v>8.23</v>
      </c>
      <c r="O29" s="303">
        <v>8.23</v>
      </c>
      <c r="P29" s="303">
        <v>8.14</v>
      </c>
      <c r="Q29" s="303">
        <v>8.14</v>
      </c>
      <c r="R29" s="401">
        <v>8.89</v>
      </c>
      <c r="S29" s="401">
        <v>8.89</v>
      </c>
      <c r="T29" s="401">
        <v>8.89</v>
      </c>
      <c r="U29" s="401">
        <v>8.89</v>
      </c>
      <c r="V29" s="401">
        <v>8.89</v>
      </c>
      <c r="W29" s="401">
        <v>8.89</v>
      </c>
      <c r="X29" s="401">
        <v>8.89</v>
      </c>
      <c r="Y29" s="401">
        <v>8.89</v>
      </c>
      <c r="Z29" s="303">
        <v>0.81</v>
      </c>
      <c r="AA29" s="303">
        <v>0.81</v>
      </c>
      <c r="AB29" s="303">
        <v>0.74</v>
      </c>
      <c r="AC29" s="300">
        <v>0</v>
      </c>
      <c r="AD29" s="401">
        <v>0.89000000000000057</v>
      </c>
      <c r="AE29" s="401">
        <v>0.89000000000000057</v>
      </c>
      <c r="AF29" s="401">
        <v>0.89000000000000057</v>
      </c>
      <c r="AG29" s="401">
        <v>0.89000000000000057</v>
      </c>
      <c r="AH29" s="401">
        <v>0.89000000000000057</v>
      </c>
      <c r="AI29" s="401">
        <v>0.89000000000000057</v>
      </c>
      <c r="AJ29" s="401">
        <v>0.89000000000000057</v>
      </c>
      <c r="AK29" s="401">
        <v>0.89000000000000057</v>
      </c>
      <c r="AL29" s="255"/>
      <c r="AM29" s="254">
        <f t="shared" si="0"/>
        <v>0</v>
      </c>
      <c r="AN29" s="255">
        <v>8200</v>
      </c>
      <c r="AO29" s="254">
        <f t="shared" si="1"/>
        <v>6642</v>
      </c>
      <c r="AP29" s="255">
        <v>18380</v>
      </c>
      <c r="AQ29" s="254">
        <f t="shared" si="2"/>
        <v>13601.2</v>
      </c>
      <c r="AR29" s="255">
        <v>26674</v>
      </c>
      <c r="AS29" s="257">
        <f t="shared" si="3"/>
        <v>0</v>
      </c>
      <c r="AT29" s="268">
        <v>39627</v>
      </c>
      <c r="AU29" s="257">
        <f t="shared" si="4"/>
        <v>35268.030000000021</v>
      </c>
      <c r="AV29" s="268">
        <v>15000</v>
      </c>
      <c r="AW29" s="257">
        <f t="shared" si="5"/>
        <v>13350.000000000009</v>
      </c>
      <c r="AX29" s="268">
        <v>15000</v>
      </c>
      <c r="AY29" s="257">
        <f t="shared" si="6"/>
        <v>13350.000000000009</v>
      </c>
      <c r="AZ29" s="268">
        <v>20000</v>
      </c>
      <c r="BA29" s="257">
        <f t="shared" si="7"/>
        <v>17800.000000000011</v>
      </c>
      <c r="BB29" s="268">
        <v>15000</v>
      </c>
      <c r="BC29" s="257">
        <f t="shared" si="8"/>
        <v>13350.000000000009</v>
      </c>
      <c r="BD29" s="268">
        <v>15000</v>
      </c>
      <c r="BE29" s="257">
        <f t="shared" si="9"/>
        <v>13350.000000000009</v>
      </c>
      <c r="BF29" s="256">
        <v>30000</v>
      </c>
      <c r="BG29" s="257">
        <f t="shared" si="10"/>
        <v>26700.000000000018</v>
      </c>
      <c r="BH29" s="268">
        <v>15000</v>
      </c>
      <c r="BI29" s="257">
        <f t="shared" si="11"/>
        <v>13350.000000000009</v>
      </c>
      <c r="BJ29" s="1" t="s">
        <v>482</v>
      </c>
      <c r="BL29" s="1" t="s">
        <v>457</v>
      </c>
      <c r="BM29" s="1" t="s">
        <v>483</v>
      </c>
    </row>
    <row r="30" spans="1:65" ht="15" customHeight="1">
      <c r="A30" s="250" t="s">
        <v>951</v>
      </c>
      <c r="B30" s="59" t="s">
        <v>341</v>
      </c>
      <c r="C30" s="354" t="s">
        <v>172</v>
      </c>
      <c r="D30" s="424"/>
      <c r="E30" s="357" t="s">
        <v>332</v>
      </c>
      <c r="F30" s="427"/>
      <c r="G30" s="317">
        <v>2025</v>
      </c>
      <c r="H30" s="365" t="s">
        <v>481</v>
      </c>
      <c r="I30" s="315" t="s">
        <v>249</v>
      </c>
      <c r="J30" s="316">
        <v>16</v>
      </c>
      <c r="K30" s="298" t="s">
        <v>335</v>
      </c>
      <c r="L30" s="298" t="s">
        <v>336</v>
      </c>
      <c r="M30" s="300" t="s">
        <v>474</v>
      </c>
      <c r="N30" s="303">
        <v>8.23</v>
      </c>
      <c r="O30" s="303">
        <v>8.23</v>
      </c>
      <c r="P30" s="303">
        <v>8.14</v>
      </c>
      <c r="Q30" s="303">
        <v>8.14</v>
      </c>
      <c r="R30" s="401">
        <v>8.89</v>
      </c>
      <c r="S30" s="401">
        <v>8.89</v>
      </c>
      <c r="T30" s="401">
        <v>8.89</v>
      </c>
      <c r="U30" s="401">
        <v>8.89</v>
      </c>
      <c r="V30" s="401">
        <v>8.89</v>
      </c>
      <c r="W30" s="401">
        <v>8.89</v>
      </c>
      <c r="X30" s="401">
        <v>8.89</v>
      </c>
      <c r="Y30" s="401">
        <v>8.89</v>
      </c>
      <c r="Z30" s="303">
        <v>0.81</v>
      </c>
      <c r="AA30" s="303">
        <v>0.81</v>
      </c>
      <c r="AB30" s="303">
        <v>0.74</v>
      </c>
      <c r="AC30" s="300">
        <v>0</v>
      </c>
      <c r="AD30" s="401">
        <v>0.89000000000000057</v>
      </c>
      <c r="AE30" s="401">
        <v>0.89000000000000057</v>
      </c>
      <c r="AF30" s="401">
        <v>0.89000000000000057</v>
      </c>
      <c r="AG30" s="401">
        <v>0.89000000000000057</v>
      </c>
      <c r="AH30" s="401">
        <v>0.89000000000000057</v>
      </c>
      <c r="AI30" s="401">
        <v>0.89000000000000057</v>
      </c>
      <c r="AJ30" s="401">
        <v>0.89000000000000057</v>
      </c>
      <c r="AK30" s="401">
        <v>0.89000000000000057</v>
      </c>
      <c r="AL30" s="255"/>
      <c r="AM30" s="254">
        <f t="shared" si="0"/>
        <v>0</v>
      </c>
      <c r="AN30" s="255">
        <v>320</v>
      </c>
      <c r="AO30" s="254">
        <f t="shared" si="1"/>
        <v>259.20000000000005</v>
      </c>
      <c r="AP30" s="255">
        <v>1840</v>
      </c>
      <c r="AQ30" s="254">
        <f t="shared" si="2"/>
        <v>1361.6</v>
      </c>
      <c r="AR30" s="256">
        <v>2960</v>
      </c>
      <c r="AS30" s="257">
        <f t="shared" si="3"/>
        <v>0</v>
      </c>
      <c r="AT30" s="268">
        <v>8818</v>
      </c>
      <c r="AU30" s="257">
        <f t="shared" si="4"/>
        <v>7848.020000000005</v>
      </c>
      <c r="AV30" s="268"/>
      <c r="AW30" s="257">
        <f t="shared" si="5"/>
        <v>0</v>
      </c>
      <c r="AX30" s="268"/>
      <c r="AY30" s="257">
        <f t="shared" si="6"/>
        <v>0</v>
      </c>
      <c r="AZ30" s="268"/>
      <c r="BA30" s="257">
        <f t="shared" si="7"/>
        <v>0</v>
      </c>
      <c r="BB30" s="268"/>
      <c r="BC30" s="257">
        <f t="shared" si="8"/>
        <v>0</v>
      </c>
      <c r="BD30" s="268"/>
      <c r="BE30" s="257">
        <f t="shared" si="9"/>
        <v>0</v>
      </c>
      <c r="BF30" s="256"/>
      <c r="BG30" s="257">
        <f t="shared" si="10"/>
        <v>0</v>
      </c>
      <c r="BH30" s="268"/>
      <c r="BI30" s="257">
        <f t="shared" si="11"/>
        <v>0</v>
      </c>
      <c r="BJ30" s="1" t="s">
        <v>484</v>
      </c>
      <c r="BK30" s="1" t="s">
        <v>462</v>
      </c>
      <c r="BL30" s="1" t="s">
        <v>457</v>
      </c>
      <c r="BM30" s="1" t="s">
        <v>485</v>
      </c>
    </row>
    <row r="31" spans="1:65" ht="15" customHeight="1">
      <c r="A31" s="250" t="s">
        <v>951</v>
      </c>
      <c r="B31" s="59" t="s">
        <v>341</v>
      </c>
      <c r="C31" s="354" t="s">
        <v>172</v>
      </c>
      <c r="D31" s="424"/>
      <c r="E31" s="357" t="s">
        <v>332</v>
      </c>
      <c r="F31" s="427"/>
      <c r="G31" s="317">
        <v>2025</v>
      </c>
      <c r="H31" s="366" t="s">
        <v>481</v>
      </c>
      <c r="I31" s="315" t="s">
        <v>175</v>
      </c>
      <c r="J31" s="316">
        <v>16</v>
      </c>
      <c r="K31" s="298" t="s">
        <v>335</v>
      </c>
      <c r="L31" s="298" t="s">
        <v>336</v>
      </c>
      <c r="M31" s="300" t="s">
        <v>474</v>
      </c>
      <c r="N31" s="303">
        <v>5.2</v>
      </c>
      <c r="O31" s="303">
        <v>5.2</v>
      </c>
      <c r="P31" s="303">
        <v>5.08</v>
      </c>
      <c r="Q31" s="303">
        <v>5.08</v>
      </c>
      <c r="R31" s="401">
        <v>5.83</v>
      </c>
      <c r="S31" s="401">
        <v>5.83</v>
      </c>
      <c r="T31" s="401">
        <v>5.83</v>
      </c>
      <c r="U31" s="401">
        <v>5.83</v>
      </c>
      <c r="V31" s="401">
        <v>5.83</v>
      </c>
      <c r="W31" s="401">
        <v>5.83</v>
      </c>
      <c r="X31" s="401">
        <v>5.83</v>
      </c>
      <c r="Y31" s="401">
        <v>5.83</v>
      </c>
      <c r="Z31" s="303">
        <v>0.43</v>
      </c>
      <c r="AA31" s="303">
        <v>0.43</v>
      </c>
      <c r="AB31" s="303">
        <v>0.33</v>
      </c>
      <c r="AC31" s="300">
        <v>0</v>
      </c>
      <c r="AD31" s="401">
        <v>0.48000000000000043</v>
      </c>
      <c r="AE31" s="401">
        <v>0.48000000000000043</v>
      </c>
      <c r="AF31" s="401">
        <v>0.48000000000000043</v>
      </c>
      <c r="AG31" s="401">
        <v>0.48000000000000043</v>
      </c>
      <c r="AH31" s="401">
        <v>0.48000000000000043</v>
      </c>
      <c r="AI31" s="401">
        <v>0.48000000000000043</v>
      </c>
      <c r="AJ31" s="401">
        <v>0.48000000000000043</v>
      </c>
      <c r="AK31" s="401">
        <v>0.48000000000000043</v>
      </c>
      <c r="AL31" s="255">
        <v>85</v>
      </c>
      <c r="AM31" s="254">
        <f t="shared" si="0"/>
        <v>36.549999999999997</v>
      </c>
      <c r="AN31" s="255">
        <v>40</v>
      </c>
      <c r="AO31" s="254">
        <f t="shared" si="1"/>
        <v>17.2</v>
      </c>
      <c r="AP31" s="255">
        <v>480</v>
      </c>
      <c r="AQ31" s="254">
        <f t="shared" si="2"/>
        <v>158.4</v>
      </c>
      <c r="AR31" s="256">
        <v>1280</v>
      </c>
      <c r="AS31" s="257">
        <f t="shared" si="3"/>
        <v>0</v>
      </c>
      <c r="AT31" s="268">
        <v>2600</v>
      </c>
      <c r="AU31" s="257">
        <f t="shared" si="4"/>
        <v>1248.0000000000011</v>
      </c>
      <c r="AV31" s="268"/>
      <c r="AW31" s="257">
        <f t="shared" si="5"/>
        <v>0</v>
      </c>
      <c r="AX31" s="268"/>
      <c r="AY31" s="257">
        <f t="shared" si="6"/>
        <v>0</v>
      </c>
      <c r="AZ31" s="268"/>
      <c r="BA31" s="257">
        <f t="shared" si="7"/>
        <v>0</v>
      </c>
      <c r="BB31" s="268"/>
      <c r="BC31" s="257">
        <f t="shared" si="8"/>
        <v>0</v>
      </c>
      <c r="BD31" s="268"/>
      <c r="BE31" s="257">
        <f t="shared" si="9"/>
        <v>0</v>
      </c>
      <c r="BF31" s="256"/>
      <c r="BG31" s="257">
        <f t="shared" si="10"/>
        <v>0</v>
      </c>
      <c r="BH31" s="268"/>
      <c r="BI31" s="257">
        <f t="shared" si="11"/>
        <v>0</v>
      </c>
      <c r="BJ31" s="1" t="s">
        <v>486</v>
      </c>
      <c r="BL31" s="1" t="s">
        <v>457</v>
      </c>
      <c r="BM31" s="1" t="s">
        <v>487</v>
      </c>
    </row>
    <row r="32" spans="1:65" ht="15" customHeight="1">
      <c r="A32" s="250" t="s">
        <v>951</v>
      </c>
      <c r="B32" s="59" t="s">
        <v>341</v>
      </c>
      <c r="C32" s="354" t="s">
        <v>172</v>
      </c>
      <c r="D32" s="424"/>
      <c r="E32" s="357" t="s">
        <v>332</v>
      </c>
      <c r="F32" s="427"/>
      <c r="G32" s="317">
        <v>2025</v>
      </c>
      <c r="H32" s="298" t="s">
        <v>473</v>
      </c>
      <c r="I32" s="315" t="s">
        <v>249</v>
      </c>
      <c r="J32" s="316">
        <v>14</v>
      </c>
      <c r="K32" s="298" t="s">
        <v>335</v>
      </c>
      <c r="L32" s="298" t="s">
        <v>464</v>
      </c>
      <c r="M32" s="300" t="s">
        <v>488</v>
      </c>
      <c r="N32" s="300">
        <v>7.9</v>
      </c>
      <c r="O32" s="300">
        <v>7.9</v>
      </c>
      <c r="P32" s="300">
        <v>7.74</v>
      </c>
      <c r="Q32" s="300">
        <v>7.74</v>
      </c>
      <c r="R32" s="404">
        <v>8.25</v>
      </c>
      <c r="S32" s="404">
        <v>8.25</v>
      </c>
      <c r="T32" s="404">
        <v>8.25</v>
      </c>
      <c r="U32" s="404">
        <v>8.25</v>
      </c>
      <c r="V32" s="404">
        <v>8.25</v>
      </c>
      <c r="W32" s="404">
        <v>8.25</v>
      </c>
      <c r="X32" s="404">
        <v>8.25</v>
      </c>
      <c r="Y32" s="404">
        <v>8.25</v>
      </c>
      <c r="Z32" s="300">
        <v>0.8</v>
      </c>
      <c r="AA32" s="300">
        <v>0.8</v>
      </c>
      <c r="AB32" s="300">
        <v>0.64</v>
      </c>
      <c r="AC32" s="300">
        <v>0</v>
      </c>
      <c r="AD32" s="404">
        <v>0.65000000000000036</v>
      </c>
      <c r="AE32" s="404">
        <v>0.65000000000000036</v>
      </c>
      <c r="AF32" s="404">
        <v>0.65000000000000036</v>
      </c>
      <c r="AG32" s="404">
        <v>0.65000000000000036</v>
      </c>
      <c r="AH32" s="404">
        <v>0.65000000000000036</v>
      </c>
      <c r="AI32" s="404">
        <v>0.65000000000000036</v>
      </c>
      <c r="AJ32" s="404">
        <v>0.65000000000000036</v>
      </c>
      <c r="AK32" s="404">
        <v>0.65000000000000036</v>
      </c>
      <c r="AL32" s="255"/>
      <c r="AM32" s="254">
        <f t="shared" si="0"/>
        <v>0</v>
      </c>
      <c r="AN32" s="255"/>
      <c r="AO32" s="254">
        <f t="shared" si="1"/>
        <v>0</v>
      </c>
      <c r="AP32" s="255"/>
      <c r="AQ32" s="254">
        <f t="shared" si="2"/>
        <v>0</v>
      </c>
      <c r="AR32" s="256">
        <v>800</v>
      </c>
      <c r="AS32" s="257">
        <f t="shared" si="3"/>
        <v>0</v>
      </c>
      <c r="AT32" s="268"/>
      <c r="AU32" s="257">
        <f t="shared" si="4"/>
        <v>0</v>
      </c>
      <c r="AV32" s="268"/>
      <c r="AW32" s="257">
        <f t="shared" si="5"/>
        <v>0</v>
      </c>
      <c r="AX32" s="268"/>
      <c r="AY32" s="257">
        <f t="shared" si="6"/>
        <v>0</v>
      </c>
      <c r="AZ32" s="268"/>
      <c r="BA32" s="257">
        <f t="shared" si="7"/>
        <v>0</v>
      </c>
      <c r="BB32" s="268"/>
      <c r="BC32" s="257">
        <f t="shared" si="8"/>
        <v>0</v>
      </c>
      <c r="BD32" s="268"/>
      <c r="BE32" s="257">
        <f t="shared" si="9"/>
        <v>0</v>
      </c>
      <c r="BF32" s="256"/>
      <c r="BG32" s="257">
        <f t="shared" si="10"/>
        <v>0</v>
      </c>
      <c r="BH32" s="268"/>
      <c r="BI32" s="257">
        <f t="shared" si="11"/>
        <v>0</v>
      </c>
      <c r="BJ32" s="1" t="s">
        <v>489</v>
      </c>
      <c r="BL32" s="1" t="s">
        <v>457</v>
      </c>
      <c r="BM32" s="1" t="s">
        <v>476</v>
      </c>
    </row>
    <row r="33" spans="1:65" ht="15" customHeight="1">
      <c r="A33" s="250" t="s">
        <v>951</v>
      </c>
      <c r="B33" s="59" t="s">
        <v>341</v>
      </c>
      <c r="C33" s="354" t="s">
        <v>172</v>
      </c>
      <c r="D33" s="424"/>
      <c r="E33" s="357" t="s">
        <v>332</v>
      </c>
      <c r="F33" s="427"/>
      <c r="G33" s="317">
        <v>2025</v>
      </c>
      <c r="H33" s="298" t="s">
        <v>473</v>
      </c>
      <c r="I33" s="315" t="s">
        <v>249</v>
      </c>
      <c r="J33" s="316">
        <v>14</v>
      </c>
      <c r="K33" s="298" t="s">
        <v>335</v>
      </c>
      <c r="L33" s="298" t="s">
        <v>464</v>
      </c>
      <c r="M33" s="300" t="s">
        <v>488</v>
      </c>
      <c r="N33" s="300">
        <v>7.9</v>
      </c>
      <c r="O33" s="300">
        <v>7.9</v>
      </c>
      <c r="P33" s="300">
        <v>7.74</v>
      </c>
      <c r="Q33" s="300">
        <v>7.74</v>
      </c>
      <c r="R33" s="404">
        <v>8.25</v>
      </c>
      <c r="S33" s="404">
        <v>8.25</v>
      </c>
      <c r="T33" s="404">
        <v>8.25</v>
      </c>
      <c r="U33" s="404">
        <v>8.25</v>
      </c>
      <c r="V33" s="404">
        <v>8.25</v>
      </c>
      <c r="W33" s="404">
        <v>8.25</v>
      </c>
      <c r="X33" s="404">
        <v>8.25</v>
      </c>
      <c r="Y33" s="404">
        <v>8.25</v>
      </c>
      <c r="Z33" s="300">
        <v>0.8</v>
      </c>
      <c r="AA33" s="300">
        <v>0.8</v>
      </c>
      <c r="AB33" s="300">
        <v>0.64</v>
      </c>
      <c r="AC33" s="300">
        <v>0</v>
      </c>
      <c r="AD33" s="404">
        <v>0.65000000000000036</v>
      </c>
      <c r="AE33" s="404">
        <v>0.65000000000000036</v>
      </c>
      <c r="AF33" s="404">
        <v>0.65000000000000036</v>
      </c>
      <c r="AG33" s="404">
        <v>0.65000000000000036</v>
      </c>
      <c r="AH33" s="404">
        <v>0.65000000000000036</v>
      </c>
      <c r="AI33" s="404">
        <v>0.65000000000000036</v>
      </c>
      <c r="AJ33" s="404">
        <v>0.65000000000000036</v>
      </c>
      <c r="AK33" s="404">
        <v>0.65000000000000036</v>
      </c>
      <c r="AL33" s="255"/>
      <c r="AM33" s="254">
        <f t="shared" si="0"/>
        <v>0</v>
      </c>
      <c r="AN33" s="255"/>
      <c r="AO33" s="254">
        <f t="shared" si="1"/>
        <v>0</v>
      </c>
      <c r="AP33" s="255"/>
      <c r="AQ33" s="254">
        <f t="shared" si="2"/>
        <v>0</v>
      </c>
      <c r="AR33" s="256"/>
      <c r="AS33" s="257">
        <f t="shared" si="3"/>
        <v>0</v>
      </c>
      <c r="AT33" s="268">
        <v>920</v>
      </c>
      <c r="AU33" s="257">
        <f t="shared" si="4"/>
        <v>598.00000000000034</v>
      </c>
      <c r="AV33" s="268"/>
      <c r="AW33" s="257">
        <f t="shared" si="5"/>
        <v>0</v>
      </c>
      <c r="AX33" s="268"/>
      <c r="AY33" s="257">
        <f t="shared" si="6"/>
        <v>0</v>
      </c>
      <c r="AZ33" s="268"/>
      <c r="BA33" s="257">
        <f t="shared" si="7"/>
        <v>0</v>
      </c>
      <c r="BB33" s="268"/>
      <c r="BC33" s="257">
        <f t="shared" si="8"/>
        <v>0</v>
      </c>
      <c r="BD33" s="268"/>
      <c r="BE33" s="257">
        <f t="shared" si="9"/>
        <v>0</v>
      </c>
      <c r="BF33" s="256"/>
      <c r="BG33" s="257">
        <f t="shared" si="10"/>
        <v>0</v>
      </c>
      <c r="BH33" s="268"/>
      <c r="BI33" s="257">
        <f t="shared" si="11"/>
        <v>0</v>
      </c>
      <c r="BJ33" s="1" t="s">
        <v>490</v>
      </c>
      <c r="BK33" s="1" t="s">
        <v>462</v>
      </c>
      <c r="BL33" s="1" t="s">
        <v>457</v>
      </c>
      <c r="BM33" s="1" t="s">
        <v>478</v>
      </c>
    </row>
    <row r="34" spans="1:65" ht="15" customHeight="1">
      <c r="A34" s="250" t="s">
        <v>951</v>
      </c>
      <c r="B34" s="59" t="s">
        <v>341</v>
      </c>
      <c r="C34" s="354" t="s">
        <v>172</v>
      </c>
      <c r="D34" s="424"/>
      <c r="E34" s="357" t="s">
        <v>332</v>
      </c>
      <c r="F34" s="427"/>
      <c r="G34" s="317">
        <v>2025</v>
      </c>
      <c r="H34" s="298" t="s">
        <v>473</v>
      </c>
      <c r="I34" s="315" t="s">
        <v>175</v>
      </c>
      <c r="J34" s="316">
        <v>14</v>
      </c>
      <c r="K34" s="298" t="s">
        <v>335</v>
      </c>
      <c r="L34" s="298" t="s">
        <v>464</v>
      </c>
      <c r="M34" s="300" t="s">
        <v>488</v>
      </c>
      <c r="N34" s="303">
        <v>4.82</v>
      </c>
      <c r="O34" s="303">
        <v>4.82</v>
      </c>
      <c r="P34" s="303">
        <v>4.75</v>
      </c>
      <c r="Q34" s="303">
        <v>4.75</v>
      </c>
      <c r="R34" s="401">
        <v>5.25</v>
      </c>
      <c r="S34" s="401">
        <v>5.25</v>
      </c>
      <c r="T34" s="401">
        <v>5.25</v>
      </c>
      <c r="U34" s="401">
        <v>5.25</v>
      </c>
      <c r="V34" s="401">
        <v>5.25</v>
      </c>
      <c r="W34" s="401">
        <v>5.25</v>
      </c>
      <c r="X34" s="401">
        <v>5.25</v>
      </c>
      <c r="Y34" s="401">
        <v>5.25</v>
      </c>
      <c r="Z34" s="303">
        <v>0.37</v>
      </c>
      <c r="AA34" s="303">
        <v>0.37</v>
      </c>
      <c r="AB34" s="303">
        <v>0.35</v>
      </c>
      <c r="AC34" s="300">
        <v>0</v>
      </c>
      <c r="AD34" s="401">
        <v>0.34999999999999964</v>
      </c>
      <c r="AE34" s="401">
        <v>0.34999999999999964</v>
      </c>
      <c r="AF34" s="401">
        <v>0.34999999999999964</v>
      </c>
      <c r="AG34" s="401">
        <v>0.34999999999999964</v>
      </c>
      <c r="AH34" s="401">
        <v>0.34999999999999964</v>
      </c>
      <c r="AI34" s="401">
        <v>0.34999999999999964</v>
      </c>
      <c r="AJ34" s="401">
        <v>0.34999999999999964</v>
      </c>
      <c r="AK34" s="401">
        <v>0.34999999999999964</v>
      </c>
      <c r="AL34" s="255"/>
      <c r="AM34" s="254">
        <f t="shared" si="0"/>
        <v>0</v>
      </c>
      <c r="AN34" s="255"/>
      <c r="AO34" s="254">
        <f t="shared" si="1"/>
        <v>0</v>
      </c>
      <c r="AP34" s="255"/>
      <c r="AQ34" s="254">
        <f t="shared" si="2"/>
        <v>0</v>
      </c>
      <c r="AR34" s="256"/>
      <c r="AS34" s="257">
        <f t="shared" si="3"/>
        <v>0</v>
      </c>
      <c r="AT34" s="268"/>
      <c r="AU34" s="257">
        <f t="shared" si="4"/>
        <v>0</v>
      </c>
      <c r="AV34" s="268"/>
      <c r="AW34" s="257">
        <f t="shared" si="5"/>
        <v>0</v>
      </c>
      <c r="AX34" s="268"/>
      <c r="AY34" s="257">
        <f t="shared" si="6"/>
        <v>0</v>
      </c>
      <c r="AZ34" s="268"/>
      <c r="BA34" s="257">
        <f t="shared" si="7"/>
        <v>0</v>
      </c>
      <c r="BB34" s="268"/>
      <c r="BC34" s="257">
        <f t="shared" si="8"/>
        <v>0</v>
      </c>
      <c r="BD34" s="268"/>
      <c r="BE34" s="257">
        <f t="shared" si="9"/>
        <v>0</v>
      </c>
      <c r="BF34" s="256"/>
      <c r="BG34" s="257">
        <f t="shared" si="10"/>
        <v>0</v>
      </c>
      <c r="BH34" s="268"/>
      <c r="BI34" s="257">
        <f t="shared" si="11"/>
        <v>0</v>
      </c>
      <c r="BJ34" s="1" t="s">
        <v>491</v>
      </c>
      <c r="BL34" s="1" t="s">
        <v>457</v>
      </c>
      <c r="BM34" s="1" t="s">
        <v>480</v>
      </c>
    </row>
    <row r="35" spans="1:65" ht="15" customHeight="1">
      <c r="A35" s="250" t="s">
        <v>951</v>
      </c>
      <c r="B35" s="59" t="s">
        <v>341</v>
      </c>
      <c r="C35" s="354" t="s">
        <v>172</v>
      </c>
      <c r="D35" s="424"/>
      <c r="E35" s="357" t="s">
        <v>332</v>
      </c>
      <c r="F35" s="427"/>
      <c r="G35" s="317">
        <v>2025</v>
      </c>
      <c r="H35" s="365" t="s">
        <v>481</v>
      </c>
      <c r="I35" s="315" t="s">
        <v>249</v>
      </c>
      <c r="J35" s="316">
        <v>16</v>
      </c>
      <c r="K35" s="298" t="s">
        <v>335</v>
      </c>
      <c r="L35" s="298" t="s">
        <v>464</v>
      </c>
      <c r="M35" s="300" t="s">
        <v>488</v>
      </c>
      <c r="N35" s="303">
        <v>8.23</v>
      </c>
      <c r="O35" s="303">
        <v>8.23</v>
      </c>
      <c r="P35" s="303">
        <v>8.14</v>
      </c>
      <c r="Q35" s="303">
        <v>8.14</v>
      </c>
      <c r="R35" s="401">
        <v>8.89</v>
      </c>
      <c r="S35" s="401">
        <v>8.89</v>
      </c>
      <c r="T35" s="401">
        <v>8.89</v>
      </c>
      <c r="U35" s="401">
        <v>8.89</v>
      </c>
      <c r="V35" s="401">
        <v>8.89</v>
      </c>
      <c r="W35" s="401">
        <v>8.89</v>
      </c>
      <c r="X35" s="401">
        <v>8.89</v>
      </c>
      <c r="Y35" s="401">
        <v>8.89</v>
      </c>
      <c r="Z35" s="303">
        <v>0.81</v>
      </c>
      <c r="AA35" s="303">
        <v>0.81</v>
      </c>
      <c r="AB35" s="303">
        <v>0.74</v>
      </c>
      <c r="AC35" s="300">
        <v>0</v>
      </c>
      <c r="AD35" s="401">
        <v>0.89000000000000057</v>
      </c>
      <c r="AE35" s="401">
        <v>0.89000000000000057</v>
      </c>
      <c r="AF35" s="401">
        <v>0.89000000000000057</v>
      </c>
      <c r="AG35" s="401">
        <v>0.89000000000000057</v>
      </c>
      <c r="AH35" s="401">
        <v>0.89000000000000057</v>
      </c>
      <c r="AI35" s="401">
        <v>0.89000000000000057</v>
      </c>
      <c r="AJ35" s="401">
        <v>0.89000000000000057</v>
      </c>
      <c r="AK35" s="401">
        <v>0.89000000000000057</v>
      </c>
      <c r="AL35" s="255"/>
      <c r="AM35" s="254">
        <f t="shared" si="0"/>
        <v>0</v>
      </c>
      <c r="AN35" s="255"/>
      <c r="AO35" s="254">
        <f t="shared" si="1"/>
        <v>0</v>
      </c>
      <c r="AP35" s="255"/>
      <c r="AQ35" s="254">
        <f t="shared" si="2"/>
        <v>0</v>
      </c>
      <c r="AR35" s="256">
        <v>1560</v>
      </c>
      <c r="AS35" s="257">
        <f t="shared" si="3"/>
        <v>0</v>
      </c>
      <c r="AT35" s="268"/>
      <c r="AU35" s="257">
        <f t="shared" si="4"/>
        <v>0</v>
      </c>
      <c r="AV35" s="268"/>
      <c r="AW35" s="257">
        <f t="shared" si="5"/>
        <v>0</v>
      </c>
      <c r="AX35" s="268"/>
      <c r="AY35" s="257">
        <f t="shared" si="6"/>
        <v>0</v>
      </c>
      <c r="AZ35" s="268"/>
      <c r="BA35" s="257">
        <f t="shared" si="7"/>
        <v>0</v>
      </c>
      <c r="BB35" s="268"/>
      <c r="BC35" s="257">
        <f t="shared" si="8"/>
        <v>0</v>
      </c>
      <c r="BD35" s="268"/>
      <c r="BE35" s="257">
        <f t="shared" si="9"/>
        <v>0</v>
      </c>
      <c r="BF35" s="256"/>
      <c r="BG35" s="257">
        <f t="shared" si="10"/>
        <v>0</v>
      </c>
      <c r="BH35" s="268"/>
      <c r="BI35" s="257">
        <f t="shared" si="11"/>
        <v>0</v>
      </c>
      <c r="BJ35" s="1" t="s">
        <v>492</v>
      </c>
      <c r="BL35" s="1" t="s">
        <v>457</v>
      </c>
      <c r="BM35" s="1" t="s">
        <v>483</v>
      </c>
    </row>
    <row r="36" spans="1:65" ht="15" customHeight="1">
      <c r="A36" s="250" t="s">
        <v>951</v>
      </c>
      <c r="B36" s="59" t="s">
        <v>341</v>
      </c>
      <c r="C36" s="354" t="s">
        <v>172</v>
      </c>
      <c r="D36" s="424"/>
      <c r="E36" s="357" t="s">
        <v>332</v>
      </c>
      <c r="F36" s="427"/>
      <c r="G36" s="317">
        <v>2025</v>
      </c>
      <c r="H36" s="365" t="s">
        <v>481</v>
      </c>
      <c r="I36" s="315" t="s">
        <v>249</v>
      </c>
      <c r="J36" s="316">
        <v>16</v>
      </c>
      <c r="K36" s="298" t="s">
        <v>335</v>
      </c>
      <c r="L36" s="298" t="s">
        <v>464</v>
      </c>
      <c r="M36" s="300" t="s">
        <v>488</v>
      </c>
      <c r="N36" s="303">
        <v>8.23</v>
      </c>
      <c r="O36" s="303">
        <v>8.23</v>
      </c>
      <c r="P36" s="303">
        <v>8.14</v>
      </c>
      <c r="Q36" s="303">
        <v>8.14</v>
      </c>
      <c r="R36" s="401">
        <v>8.89</v>
      </c>
      <c r="S36" s="401">
        <v>8.89</v>
      </c>
      <c r="T36" s="401">
        <v>8.89</v>
      </c>
      <c r="U36" s="401">
        <v>8.89</v>
      </c>
      <c r="V36" s="401">
        <v>8.89</v>
      </c>
      <c r="W36" s="401">
        <v>8.89</v>
      </c>
      <c r="X36" s="401">
        <v>8.89</v>
      </c>
      <c r="Y36" s="401">
        <v>8.89</v>
      </c>
      <c r="Z36" s="303">
        <v>0.81</v>
      </c>
      <c r="AA36" s="303">
        <v>0.81</v>
      </c>
      <c r="AB36" s="303">
        <v>0.74</v>
      </c>
      <c r="AC36" s="300">
        <v>0</v>
      </c>
      <c r="AD36" s="401">
        <v>0.89000000000000057</v>
      </c>
      <c r="AE36" s="401">
        <v>0.89000000000000057</v>
      </c>
      <c r="AF36" s="401">
        <v>0.89000000000000057</v>
      </c>
      <c r="AG36" s="401">
        <v>0.89000000000000057</v>
      </c>
      <c r="AH36" s="401">
        <v>0.89000000000000057</v>
      </c>
      <c r="AI36" s="401">
        <v>0.89000000000000057</v>
      </c>
      <c r="AJ36" s="401">
        <v>0.89000000000000057</v>
      </c>
      <c r="AK36" s="401">
        <v>0.89000000000000057</v>
      </c>
      <c r="AL36" s="255"/>
      <c r="AM36" s="254">
        <f t="shared" si="0"/>
        <v>0</v>
      </c>
      <c r="AN36" s="255"/>
      <c r="AO36" s="254">
        <f t="shared" si="1"/>
        <v>0</v>
      </c>
      <c r="AP36" s="255"/>
      <c r="AQ36" s="254">
        <f t="shared" si="2"/>
        <v>0</v>
      </c>
      <c r="AR36" s="256"/>
      <c r="AS36" s="257">
        <f t="shared" si="3"/>
        <v>0</v>
      </c>
      <c r="AT36" s="268"/>
      <c r="AU36" s="257">
        <f t="shared" si="4"/>
        <v>0</v>
      </c>
      <c r="AV36" s="268"/>
      <c r="AW36" s="257">
        <f t="shared" si="5"/>
        <v>0</v>
      </c>
      <c r="AX36" s="268"/>
      <c r="AY36" s="257">
        <f t="shared" si="6"/>
        <v>0</v>
      </c>
      <c r="AZ36" s="268"/>
      <c r="BA36" s="257">
        <f t="shared" si="7"/>
        <v>0</v>
      </c>
      <c r="BB36" s="268"/>
      <c r="BC36" s="257">
        <f t="shared" si="8"/>
        <v>0</v>
      </c>
      <c r="BD36" s="268"/>
      <c r="BE36" s="257">
        <f t="shared" si="9"/>
        <v>0</v>
      </c>
      <c r="BF36" s="256"/>
      <c r="BG36" s="257">
        <f t="shared" si="10"/>
        <v>0</v>
      </c>
      <c r="BH36" s="268"/>
      <c r="BI36" s="257">
        <f t="shared" si="11"/>
        <v>0</v>
      </c>
      <c r="BJ36" s="1" t="s">
        <v>493</v>
      </c>
      <c r="BK36" s="1" t="s">
        <v>462</v>
      </c>
      <c r="BL36" s="1" t="s">
        <v>457</v>
      </c>
      <c r="BM36" s="1" t="s">
        <v>485</v>
      </c>
    </row>
    <row r="37" spans="1:65" ht="15" customHeight="1">
      <c r="A37" s="250" t="s">
        <v>951</v>
      </c>
      <c r="B37" s="59" t="s">
        <v>341</v>
      </c>
      <c r="C37" s="354" t="s">
        <v>172</v>
      </c>
      <c r="D37" s="424"/>
      <c r="E37" s="357" t="s">
        <v>332</v>
      </c>
      <c r="F37" s="427"/>
      <c r="G37" s="317">
        <v>2025</v>
      </c>
      <c r="H37" s="366" t="s">
        <v>481</v>
      </c>
      <c r="I37" s="315" t="s">
        <v>175</v>
      </c>
      <c r="J37" s="316">
        <v>16</v>
      </c>
      <c r="K37" s="298" t="s">
        <v>335</v>
      </c>
      <c r="L37" s="298" t="s">
        <v>464</v>
      </c>
      <c r="M37" s="300" t="s">
        <v>488</v>
      </c>
      <c r="N37" s="303">
        <v>5.2</v>
      </c>
      <c r="O37" s="303">
        <v>5.2</v>
      </c>
      <c r="P37" s="303">
        <v>5.08</v>
      </c>
      <c r="Q37" s="303">
        <v>5.08</v>
      </c>
      <c r="R37" s="401">
        <v>5.83</v>
      </c>
      <c r="S37" s="401">
        <v>5.83</v>
      </c>
      <c r="T37" s="401">
        <v>5.83</v>
      </c>
      <c r="U37" s="401">
        <v>5.83</v>
      </c>
      <c r="V37" s="401">
        <v>5.83</v>
      </c>
      <c r="W37" s="401">
        <v>5.83</v>
      </c>
      <c r="X37" s="401">
        <v>5.83</v>
      </c>
      <c r="Y37" s="401">
        <v>5.83</v>
      </c>
      <c r="Z37" s="303">
        <v>0.43</v>
      </c>
      <c r="AA37" s="303">
        <v>0.43</v>
      </c>
      <c r="AB37" s="303">
        <v>0.33</v>
      </c>
      <c r="AC37" s="300">
        <v>0</v>
      </c>
      <c r="AD37" s="401">
        <v>0.48000000000000043</v>
      </c>
      <c r="AE37" s="401">
        <v>0.48000000000000043</v>
      </c>
      <c r="AF37" s="401">
        <v>0.48000000000000043</v>
      </c>
      <c r="AG37" s="401">
        <v>0.48000000000000043</v>
      </c>
      <c r="AH37" s="401">
        <v>0.48000000000000043</v>
      </c>
      <c r="AI37" s="401">
        <v>0.48000000000000043</v>
      </c>
      <c r="AJ37" s="401">
        <v>0.48000000000000043</v>
      </c>
      <c r="AK37" s="401">
        <v>0.48000000000000043</v>
      </c>
      <c r="AL37" s="255"/>
      <c r="AM37" s="254">
        <f t="shared" si="0"/>
        <v>0</v>
      </c>
      <c r="AN37" s="255"/>
      <c r="AO37" s="254">
        <f t="shared" si="1"/>
        <v>0</v>
      </c>
      <c r="AP37" s="255"/>
      <c r="AQ37" s="254">
        <f t="shared" si="2"/>
        <v>0</v>
      </c>
      <c r="AR37" s="256"/>
      <c r="AS37" s="257">
        <f t="shared" si="3"/>
        <v>0</v>
      </c>
      <c r="AT37" s="268"/>
      <c r="AU37" s="257">
        <f t="shared" si="4"/>
        <v>0</v>
      </c>
      <c r="AV37" s="268"/>
      <c r="AW37" s="257">
        <f t="shared" si="5"/>
        <v>0</v>
      </c>
      <c r="AX37" s="268"/>
      <c r="AY37" s="257">
        <f t="shared" si="6"/>
        <v>0</v>
      </c>
      <c r="AZ37" s="268"/>
      <c r="BA37" s="257">
        <f t="shared" si="7"/>
        <v>0</v>
      </c>
      <c r="BB37" s="268"/>
      <c r="BC37" s="257">
        <f t="shared" si="8"/>
        <v>0</v>
      </c>
      <c r="BD37" s="268"/>
      <c r="BE37" s="257">
        <f t="shared" si="9"/>
        <v>0</v>
      </c>
      <c r="BF37" s="268"/>
      <c r="BG37" s="257">
        <f t="shared" si="10"/>
        <v>0</v>
      </c>
      <c r="BH37" s="268"/>
      <c r="BI37" s="257">
        <f t="shared" si="11"/>
        <v>0</v>
      </c>
      <c r="BJ37" s="1" t="s">
        <v>494</v>
      </c>
      <c r="BL37" s="1" t="s">
        <v>457</v>
      </c>
      <c r="BM37" s="1" t="s">
        <v>487</v>
      </c>
    </row>
    <row r="38" spans="1:65" ht="15" customHeight="1">
      <c r="A38" s="250" t="s">
        <v>951</v>
      </c>
      <c r="B38" s="59" t="s">
        <v>341</v>
      </c>
      <c r="C38" s="354" t="s">
        <v>172</v>
      </c>
      <c r="D38" s="424"/>
      <c r="E38" s="357" t="s">
        <v>332</v>
      </c>
      <c r="F38" s="427"/>
      <c r="G38" s="317">
        <v>2025</v>
      </c>
      <c r="H38" s="298" t="s">
        <v>473</v>
      </c>
      <c r="I38" s="315" t="s">
        <v>249</v>
      </c>
      <c r="J38" s="316">
        <v>14</v>
      </c>
      <c r="K38" s="298" t="s">
        <v>335</v>
      </c>
      <c r="L38" s="298" t="s">
        <v>336</v>
      </c>
      <c r="M38" s="300" t="s">
        <v>474</v>
      </c>
      <c r="N38" s="303">
        <v>7.92</v>
      </c>
      <c r="O38" s="303">
        <v>7.92</v>
      </c>
      <c r="P38" s="303">
        <v>7.76</v>
      </c>
      <c r="Q38" s="303">
        <v>7.76</v>
      </c>
      <c r="R38" s="401">
        <v>8.27</v>
      </c>
      <c r="S38" s="401">
        <v>8.27</v>
      </c>
      <c r="T38" s="401">
        <v>8.27</v>
      </c>
      <c r="U38" s="401">
        <v>8.27</v>
      </c>
      <c r="V38" s="401">
        <v>8.27</v>
      </c>
      <c r="W38" s="401">
        <v>8.27</v>
      </c>
      <c r="X38" s="401">
        <v>8.27</v>
      </c>
      <c r="Y38" s="401">
        <v>8.27</v>
      </c>
      <c r="Z38" s="300">
        <v>0.8</v>
      </c>
      <c r="AA38" s="300">
        <v>0.8</v>
      </c>
      <c r="AB38" s="300">
        <v>0.64</v>
      </c>
      <c r="AC38" s="300">
        <v>0</v>
      </c>
      <c r="AD38" s="404">
        <v>0.64999999999999947</v>
      </c>
      <c r="AE38" s="404">
        <v>0.64999999999999947</v>
      </c>
      <c r="AF38" s="404">
        <v>0.64999999999999947</v>
      </c>
      <c r="AG38" s="404">
        <v>0.64999999999999947</v>
      </c>
      <c r="AH38" s="404">
        <v>0.64999999999999947</v>
      </c>
      <c r="AI38" s="404">
        <v>0.64999999999999947</v>
      </c>
      <c r="AJ38" s="404">
        <v>0.64999999999999947</v>
      </c>
      <c r="AK38" s="404">
        <v>0.64999999999999947</v>
      </c>
      <c r="AL38" s="255">
        <v>14840</v>
      </c>
      <c r="AM38" s="254">
        <f t="shared" si="0"/>
        <v>11872</v>
      </c>
      <c r="AN38" s="255"/>
      <c r="AO38" s="254">
        <f t="shared" si="1"/>
        <v>0</v>
      </c>
      <c r="AP38" s="255">
        <v>7400</v>
      </c>
      <c r="AQ38" s="254">
        <f t="shared" si="2"/>
        <v>4736</v>
      </c>
      <c r="AR38" s="256">
        <v>12000</v>
      </c>
      <c r="AS38" s="257">
        <f t="shared" si="3"/>
        <v>0</v>
      </c>
      <c r="AT38" s="268">
        <v>600</v>
      </c>
      <c r="AU38" s="257">
        <f t="shared" si="4"/>
        <v>389.99999999999966</v>
      </c>
      <c r="AV38" s="268">
        <v>60000</v>
      </c>
      <c r="AW38" s="257">
        <f t="shared" si="5"/>
        <v>38999.999999999971</v>
      </c>
      <c r="AX38" s="268">
        <v>60000</v>
      </c>
      <c r="AY38" s="257">
        <f t="shared" si="6"/>
        <v>38999.999999999971</v>
      </c>
      <c r="AZ38" s="268">
        <v>80000</v>
      </c>
      <c r="BA38" s="257">
        <f t="shared" si="7"/>
        <v>51999.999999999956</v>
      </c>
      <c r="BB38" s="268">
        <v>60000</v>
      </c>
      <c r="BC38" s="257">
        <f t="shared" si="8"/>
        <v>38999.999999999971</v>
      </c>
      <c r="BD38" s="268">
        <v>60000</v>
      </c>
      <c r="BE38" s="257">
        <f t="shared" si="9"/>
        <v>38999.999999999971</v>
      </c>
      <c r="BF38" s="268">
        <v>100000</v>
      </c>
      <c r="BG38" s="257">
        <f t="shared" si="10"/>
        <v>64999.999999999949</v>
      </c>
      <c r="BH38" s="268">
        <v>60000</v>
      </c>
      <c r="BI38" s="257">
        <f t="shared" si="11"/>
        <v>38999.999999999971</v>
      </c>
      <c r="BJ38" s="1" t="s">
        <v>495</v>
      </c>
      <c r="BK38" s="1" t="s">
        <v>496</v>
      </c>
      <c r="BL38" s="1" t="s">
        <v>457</v>
      </c>
      <c r="BM38" s="1" t="s">
        <v>476</v>
      </c>
    </row>
    <row r="39" spans="1:65" ht="15" customHeight="1">
      <c r="A39" s="250" t="s">
        <v>951</v>
      </c>
      <c r="B39" s="59" t="s">
        <v>341</v>
      </c>
      <c r="C39" s="354" t="s">
        <v>172</v>
      </c>
      <c r="D39" s="424"/>
      <c r="E39" s="357" t="s">
        <v>332</v>
      </c>
      <c r="F39" s="427"/>
      <c r="G39" s="317">
        <v>2025</v>
      </c>
      <c r="H39" s="298" t="s">
        <v>473</v>
      </c>
      <c r="I39" s="315" t="s">
        <v>249</v>
      </c>
      <c r="J39" s="316">
        <v>14</v>
      </c>
      <c r="K39" s="298" t="s">
        <v>335</v>
      </c>
      <c r="L39" s="298" t="s">
        <v>336</v>
      </c>
      <c r="M39" s="300" t="s">
        <v>474</v>
      </c>
      <c r="N39" s="303">
        <v>7.92</v>
      </c>
      <c r="O39" s="303">
        <v>7.92</v>
      </c>
      <c r="P39" s="303">
        <v>7.76</v>
      </c>
      <c r="Q39" s="303">
        <v>7.76</v>
      </c>
      <c r="R39" s="401">
        <v>8.27</v>
      </c>
      <c r="S39" s="401">
        <v>8.27</v>
      </c>
      <c r="T39" s="401">
        <v>8.27</v>
      </c>
      <c r="U39" s="401">
        <v>8.27</v>
      </c>
      <c r="V39" s="401">
        <v>8.27</v>
      </c>
      <c r="W39" s="401">
        <v>8.27</v>
      </c>
      <c r="X39" s="401">
        <v>8.27</v>
      </c>
      <c r="Y39" s="401">
        <v>8.27</v>
      </c>
      <c r="Z39" s="300">
        <v>0.8</v>
      </c>
      <c r="AA39" s="300">
        <v>0.8</v>
      </c>
      <c r="AB39" s="300">
        <v>0.64</v>
      </c>
      <c r="AC39" s="300">
        <v>0</v>
      </c>
      <c r="AD39" s="404">
        <v>0.64999999999999947</v>
      </c>
      <c r="AE39" s="404">
        <v>0.64999999999999947</v>
      </c>
      <c r="AF39" s="404">
        <v>0.64999999999999947</v>
      </c>
      <c r="AG39" s="404">
        <v>0.64999999999999947</v>
      </c>
      <c r="AH39" s="404">
        <v>0.64999999999999947</v>
      </c>
      <c r="AI39" s="404">
        <v>0.64999999999999947</v>
      </c>
      <c r="AJ39" s="404">
        <v>0.64999999999999947</v>
      </c>
      <c r="AK39" s="404">
        <v>0.64999999999999947</v>
      </c>
      <c r="AL39" s="255">
        <v>2480</v>
      </c>
      <c r="AM39" s="254">
        <f t="shared" si="0"/>
        <v>1984</v>
      </c>
      <c r="AN39" s="255"/>
      <c r="AO39" s="254">
        <f t="shared" si="1"/>
        <v>0</v>
      </c>
      <c r="AP39" s="255">
        <v>1400</v>
      </c>
      <c r="AQ39" s="254">
        <f t="shared" si="2"/>
        <v>896</v>
      </c>
      <c r="AR39" s="255">
        <v>400</v>
      </c>
      <c r="AS39" s="257">
        <f t="shared" si="3"/>
        <v>0</v>
      </c>
      <c r="AT39" s="255">
        <v>3280</v>
      </c>
      <c r="AU39" s="257">
        <f t="shared" si="4"/>
        <v>2131.9999999999982</v>
      </c>
      <c r="AV39" s="255">
        <v>1000</v>
      </c>
      <c r="AW39" s="257">
        <f t="shared" si="5"/>
        <v>649.99999999999943</v>
      </c>
      <c r="AX39" s="255">
        <v>1000</v>
      </c>
      <c r="AY39" s="257">
        <f t="shared" si="6"/>
        <v>649.99999999999943</v>
      </c>
      <c r="AZ39" s="255">
        <v>1000</v>
      </c>
      <c r="BA39" s="257">
        <f t="shared" si="7"/>
        <v>649.99999999999943</v>
      </c>
      <c r="BB39" s="255">
        <v>1000</v>
      </c>
      <c r="BC39" s="257">
        <f t="shared" si="8"/>
        <v>649.99999999999943</v>
      </c>
      <c r="BD39" s="255">
        <v>1000</v>
      </c>
      <c r="BE39" s="257">
        <f t="shared" si="9"/>
        <v>649.99999999999943</v>
      </c>
      <c r="BF39" s="255">
        <v>1000</v>
      </c>
      <c r="BG39" s="257">
        <f t="shared" si="10"/>
        <v>649.99999999999943</v>
      </c>
      <c r="BH39" s="255">
        <v>1000</v>
      </c>
      <c r="BI39" s="257">
        <f t="shared" si="11"/>
        <v>649.99999999999943</v>
      </c>
      <c r="BJ39" s="1" t="s">
        <v>497</v>
      </c>
      <c r="BK39" s="1" t="s">
        <v>496</v>
      </c>
      <c r="BL39" s="1" t="s">
        <v>457</v>
      </c>
      <c r="BM39" s="1" t="s">
        <v>478</v>
      </c>
    </row>
    <row r="40" spans="1:65" ht="15" customHeight="1">
      <c r="A40" s="250" t="s">
        <v>951</v>
      </c>
      <c r="B40" s="59" t="s">
        <v>341</v>
      </c>
      <c r="C40" s="354" t="s">
        <v>172</v>
      </c>
      <c r="D40" s="424"/>
      <c r="E40" s="357" t="s">
        <v>332</v>
      </c>
      <c r="F40" s="427"/>
      <c r="G40" s="317">
        <v>2025</v>
      </c>
      <c r="H40" s="298" t="s">
        <v>473</v>
      </c>
      <c r="I40" s="315" t="s">
        <v>175</v>
      </c>
      <c r="J40" s="316">
        <v>14</v>
      </c>
      <c r="K40" s="298" t="s">
        <v>335</v>
      </c>
      <c r="L40" s="298" t="s">
        <v>336</v>
      </c>
      <c r="M40" s="300" t="s">
        <v>474</v>
      </c>
      <c r="N40" s="303">
        <v>4.84</v>
      </c>
      <c r="O40" s="303">
        <v>4.84</v>
      </c>
      <c r="P40" s="303">
        <v>4.7699999999999996</v>
      </c>
      <c r="Q40" s="303">
        <v>4.7699999999999996</v>
      </c>
      <c r="R40" s="401">
        <v>5.27</v>
      </c>
      <c r="S40" s="401">
        <v>5.27</v>
      </c>
      <c r="T40" s="401">
        <v>5.27</v>
      </c>
      <c r="U40" s="401">
        <v>5.27</v>
      </c>
      <c r="V40" s="401">
        <v>5.27</v>
      </c>
      <c r="W40" s="401">
        <v>5.27</v>
      </c>
      <c r="X40" s="401">
        <v>5.27</v>
      </c>
      <c r="Y40" s="401">
        <v>5.27</v>
      </c>
      <c r="Z40" s="303">
        <v>0.37</v>
      </c>
      <c r="AA40" s="303">
        <v>0.37</v>
      </c>
      <c r="AB40" s="303">
        <v>0.35</v>
      </c>
      <c r="AC40" s="300">
        <v>0</v>
      </c>
      <c r="AD40" s="401">
        <v>0.34999999999999964</v>
      </c>
      <c r="AE40" s="401">
        <v>0.34999999999999964</v>
      </c>
      <c r="AF40" s="401">
        <v>0.34999999999999964</v>
      </c>
      <c r="AG40" s="401">
        <v>0.34999999999999964</v>
      </c>
      <c r="AH40" s="401">
        <v>0.34999999999999964</v>
      </c>
      <c r="AI40" s="401">
        <v>0.34999999999999964</v>
      </c>
      <c r="AJ40" s="401">
        <v>0.34999999999999964</v>
      </c>
      <c r="AK40" s="401">
        <v>0.34999999999999964</v>
      </c>
      <c r="AL40" s="255">
        <v>160</v>
      </c>
      <c r="AM40" s="254">
        <f t="shared" si="0"/>
        <v>59.2</v>
      </c>
      <c r="AN40" s="255"/>
      <c r="AO40" s="254">
        <f t="shared" si="1"/>
        <v>0</v>
      </c>
      <c r="AP40" s="255"/>
      <c r="AQ40" s="254">
        <f t="shared" si="2"/>
        <v>0</v>
      </c>
      <c r="AR40" s="256"/>
      <c r="AS40" s="257">
        <f t="shared" si="3"/>
        <v>0</v>
      </c>
      <c r="AT40" s="268">
        <v>400</v>
      </c>
      <c r="AU40" s="257">
        <f t="shared" si="4"/>
        <v>139.99999999999986</v>
      </c>
      <c r="AV40" s="268"/>
      <c r="AW40" s="257">
        <f t="shared" si="5"/>
        <v>0</v>
      </c>
      <c r="AX40" s="268"/>
      <c r="AY40" s="257">
        <f t="shared" si="6"/>
        <v>0</v>
      </c>
      <c r="AZ40" s="268"/>
      <c r="BA40" s="257">
        <f t="shared" si="7"/>
        <v>0</v>
      </c>
      <c r="BB40" s="268"/>
      <c r="BC40" s="257">
        <f t="shared" si="8"/>
        <v>0</v>
      </c>
      <c r="BD40" s="268"/>
      <c r="BE40" s="257">
        <f t="shared" si="9"/>
        <v>0</v>
      </c>
      <c r="BF40" s="268"/>
      <c r="BG40" s="257">
        <f t="shared" si="10"/>
        <v>0</v>
      </c>
      <c r="BH40" s="268"/>
      <c r="BI40" s="257">
        <f t="shared" si="11"/>
        <v>0</v>
      </c>
      <c r="BJ40" s="1" t="s">
        <v>498</v>
      </c>
      <c r="BK40" s="1" t="s">
        <v>496</v>
      </c>
      <c r="BL40" s="1" t="s">
        <v>457</v>
      </c>
      <c r="BM40" s="1" t="s">
        <v>480</v>
      </c>
    </row>
    <row r="41" spans="1:65" ht="15" customHeight="1">
      <c r="A41" s="250" t="s">
        <v>951</v>
      </c>
      <c r="B41" s="59" t="s">
        <v>341</v>
      </c>
      <c r="C41" s="354" t="s">
        <v>172</v>
      </c>
      <c r="D41" s="424"/>
      <c r="E41" s="357" t="s">
        <v>332</v>
      </c>
      <c r="F41" s="427"/>
      <c r="G41" s="317">
        <v>2025</v>
      </c>
      <c r="H41" s="365" t="s">
        <v>481</v>
      </c>
      <c r="I41" s="315" t="s">
        <v>249</v>
      </c>
      <c r="J41" s="316">
        <v>16</v>
      </c>
      <c r="K41" s="298" t="s">
        <v>335</v>
      </c>
      <c r="L41" s="298" t="s">
        <v>336</v>
      </c>
      <c r="M41" s="300" t="s">
        <v>474</v>
      </c>
      <c r="N41" s="303">
        <v>8.25</v>
      </c>
      <c r="O41" s="303">
        <v>8.25</v>
      </c>
      <c r="P41" s="303">
        <v>8.16</v>
      </c>
      <c r="Q41" s="303">
        <v>8.16</v>
      </c>
      <c r="R41" s="401">
        <v>8.91</v>
      </c>
      <c r="S41" s="401">
        <v>8.91</v>
      </c>
      <c r="T41" s="401">
        <v>8.91</v>
      </c>
      <c r="U41" s="401">
        <v>8.91</v>
      </c>
      <c r="V41" s="401">
        <v>8.91</v>
      </c>
      <c r="W41" s="401">
        <v>8.91</v>
      </c>
      <c r="X41" s="401">
        <v>8.91</v>
      </c>
      <c r="Y41" s="401">
        <v>8.91</v>
      </c>
      <c r="Z41" s="303">
        <v>0.81</v>
      </c>
      <c r="AA41" s="303">
        <v>0.81</v>
      </c>
      <c r="AB41" s="303">
        <v>0.74</v>
      </c>
      <c r="AC41" s="300">
        <v>0</v>
      </c>
      <c r="AD41" s="401">
        <v>0.89000000000000057</v>
      </c>
      <c r="AE41" s="401">
        <v>0.89000000000000057</v>
      </c>
      <c r="AF41" s="401">
        <v>0.89000000000000057</v>
      </c>
      <c r="AG41" s="401">
        <v>0.89000000000000057</v>
      </c>
      <c r="AH41" s="401">
        <v>0.89000000000000057</v>
      </c>
      <c r="AI41" s="401">
        <v>0.89000000000000057</v>
      </c>
      <c r="AJ41" s="401">
        <v>0.89000000000000057</v>
      </c>
      <c r="AK41" s="401">
        <v>0.89000000000000057</v>
      </c>
      <c r="AL41" s="255"/>
      <c r="AM41" s="254">
        <f t="shared" si="0"/>
        <v>0</v>
      </c>
      <c r="AN41" s="255"/>
      <c r="AO41" s="254">
        <f t="shared" si="1"/>
        <v>0</v>
      </c>
      <c r="AP41" s="255">
        <v>17240</v>
      </c>
      <c r="AQ41" s="254">
        <f t="shared" si="2"/>
        <v>12757.6</v>
      </c>
      <c r="AR41" s="255">
        <v>6320</v>
      </c>
      <c r="AS41" s="257">
        <f t="shared" si="3"/>
        <v>0</v>
      </c>
      <c r="AT41" s="268">
        <v>24069</v>
      </c>
      <c r="AU41" s="257">
        <f t="shared" si="4"/>
        <v>21421.410000000014</v>
      </c>
      <c r="AV41" s="268">
        <v>10000</v>
      </c>
      <c r="AW41" s="257">
        <f t="shared" si="5"/>
        <v>8900.0000000000055</v>
      </c>
      <c r="AX41" s="268">
        <v>10000</v>
      </c>
      <c r="AY41" s="257">
        <f t="shared" si="6"/>
        <v>8900.0000000000055</v>
      </c>
      <c r="AZ41" s="268">
        <v>15000</v>
      </c>
      <c r="BA41" s="257">
        <f t="shared" si="7"/>
        <v>13350.000000000009</v>
      </c>
      <c r="BB41" s="268">
        <v>10000</v>
      </c>
      <c r="BC41" s="257">
        <f t="shared" si="8"/>
        <v>8900.0000000000055</v>
      </c>
      <c r="BD41" s="268">
        <v>10000</v>
      </c>
      <c r="BE41" s="257">
        <f t="shared" si="9"/>
        <v>8900.0000000000055</v>
      </c>
      <c r="BF41" s="268">
        <v>20000</v>
      </c>
      <c r="BG41" s="257">
        <f t="shared" si="10"/>
        <v>17800.000000000011</v>
      </c>
      <c r="BH41" s="268">
        <v>10000</v>
      </c>
      <c r="BI41" s="257">
        <f t="shared" si="11"/>
        <v>8900.0000000000055</v>
      </c>
      <c r="BJ41" s="1" t="s">
        <v>499</v>
      </c>
      <c r="BK41" s="1" t="s">
        <v>496</v>
      </c>
      <c r="BL41" s="1" t="s">
        <v>457</v>
      </c>
      <c r="BM41" s="1" t="s">
        <v>483</v>
      </c>
    </row>
    <row r="42" spans="1:65" ht="15" customHeight="1">
      <c r="A42" s="250" t="s">
        <v>951</v>
      </c>
      <c r="B42" s="59" t="s">
        <v>341</v>
      </c>
      <c r="C42" s="354" t="s">
        <v>172</v>
      </c>
      <c r="D42" s="424"/>
      <c r="E42" s="357" t="s">
        <v>332</v>
      </c>
      <c r="F42" s="427"/>
      <c r="G42" s="317">
        <v>2025</v>
      </c>
      <c r="H42" s="365" t="s">
        <v>481</v>
      </c>
      <c r="I42" s="315" t="s">
        <v>249</v>
      </c>
      <c r="J42" s="316">
        <v>16</v>
      </c>
      <c r="K42" s="298" t="s">
        <v>335</v>
      </c>
      <c r="L42" s="298" t="s">
        <v>336</v>
      </c>
      <c r="M42" s="300" t="s">
        <v>474</v>
      </c>
      <c r="N42" s="303">
        <v>8.25</v>
      </c>
      <c r="O42" s="303">
        <v>8.25</v>
      </c>
      <c r="P42" s="303">
        <v>8.16</v>
      </c>
      <c r="Q42" s="303">
        <v>8.16</v>
      </c>
      <c r="R42" s="401">
        <v>8.91</v>
      </c>
      <c r="S42" s="401">
        <v>8.91</v>
      </c>
      <c r="T42" s="401">
        <v>8.91</v>
      </c>
      <c r="U42" s="401">
        <v>8.91</v>
      </c>
      <c r="V42" s="401">
        <v>8.91</v>
      </c>
      <c r="W42" s="401">
        <v>8.91</v>
      </c>
      <c r="X42" s="401">
        <v>8.91</v>
      </c>
      <c r="Y42" s="401">
        <v>8.91</v>
      </c>
      <c r="Z42" s="303">
        <v>0.81</v>
      </c>
      <c r="AA42" s="303">
        <v>0.81</v>
      </c>
      <c r="AB42" s="303">
        <v>0.74</v>
      </c>
      <c r="AC42" s="300">
        <v>0</v>
      </c>
      <c r="AD42" s="401">
        <v>0.89000000000000057</v>
      </c>
      <c r="AE42" s="401">
        <v>0.89000000000000057</v>
      </c>
      <c r="AF42" s="401">
        <v>0.89000000000000057</v>
      </c>
      <c r="AG42" s="401">
        <v>0.89000000000000057</v>
      </c>
      <c r="AH42" s="401">
        <v>0.89000000000000057</v>
      </c>
      <c r="AI42" s="401">
        <v>0.89000000000000057</v>
      </c>
      <c r="AJ42" s="401">
        <v>0.89000000000000057</v>
      </c>
      <c r="AK42" s="401">
        <v>0.89000000000000057</v>
      </c>
      <c r="AL42" s="255"/>
      <c r="AM42" s="254">
        <f t="shared" si="0"/>
        <v>0</v>
      </c>
      <c r="AN42" s="255"/>
      <c r="AO42" s="254">
        <f t="shared" si="1"/>
        <v>0</v>
      </c>
      <c r="AP42" s="255"/>
      <c r="AQ42" s="254">
        <f t="shared" si="2"/>
        <v>0</v>
      </c>
      <c r="AR42" s="256">
        <v>1200</v>
      </c>
      <c r="AS42" s="257">
        <f t="shared" si="3"/>
        <v>0</v>
      </c>
      <c r="AT42" s="268"/>
      <c r="AU42" s="257">
        <f t="shared" si="4"/>
        <v>0</v>
      </c>
      <c r="AV42" s="268"/>
      <c r="AW42" s="257">
        <f t="shared" si="5"/>
        <v>0</v>
      </c>
      <c r="AX42" s="268"/>
      <c r="AY42" s="257">
        <f t="shared" si="6"/>
        <v>0</v>
      </c>
      <c r="AZ42" s="268"/>
      <c r="BA42" s="257">
        <f t="shared" si="7"/>
        <v>0</v>
      </c>
      <c r="BB42" s="268"/>
      <c r="BC42" s="257">
        <f t="shared" si="8"/>
        <v>0</v>
      </c>
      <c r="BD42" s="268"/>
      <c r="BE42" s="257">
        <f t="shared" si="9"/>
        <v>0</v>
      </c>
      <c r="BF42" s="59"/>
      <c r="BG42" s="257">
        <f t="shared" si="10"/>
        <v>0</v>
      </c>
      <c r="BH42" s="268"/>
      <c r="BI42" s="257">
        <f t="shared" si="11"/>
        <v>0</v>
      </c>
      <c r="BJ42" s="1" t="s">
        <v>500</v>
      </c>
      <c r="BK42" s="1" t="s">
        <v>496</v>
      </c>
      <c r="BL42" s="1" t="s">
        <v>457</v>
      </c>
      <c r="BM42" s="1" t="s">
        <v>485</v>
      </c>
    </row>
    <row r="43" spans="1:65" ht="15" customHeight="1">
      <c r="A43" s="250" t="s">
        <v>951</v>
      </c>
      <c r="B43" s="59" t="s">
        <v>341</v>
      </c>
      <c r="C43" s="354" t="s">
        <v>172</v>
      </c>
      <c r="D43" s="424"/>
      <c r="E43" s="357" t="s">
        <v>332</v>
      </c>
      <c r="F43" s="427"/>
      <c r="G43" s="317">
        <v>2025</v>
      </c>
      <c r="H43" s="366" t="s">
        <v>481</v>
      </c>
      <c r="I43" s="315" t="s">
        <v>175</v>
      </c>
      <c r="J43" s="316">
        <v>16</v>
      </c>
      <c r="K43" s="298" t="s">
        <v>335</v>
      </c>
      <c r="L43" s="298" t="s">
        <v>336</v>
      </c>
      <c r="M43" s="300" t="s">
        <v>474</v>
      </c>
      <c r="N43" s="303">
        <v>5.22</v>
      </c>
      <c r="O43" s="303">
        <v>5.22</v>
      </c>
      <c r="P43" s="303">
        <v>5.0999999999999996</v>
      </c>
      <c r="Q43" s="303">
        <v>5.0999999999999996</v>
      </c>
      <c r="R43" s="401">
        <v>5.85</v>
      </c>
      <c r="S43" s="401">
        <v>5.85</v>
      </c>
      <c r="T43" s="401">
        <v>5.85</v>
      </c>
      <c r="U43" s="401">
        <v>5.85</v>
      </c>
      <c r="V43" s="401">
        <v>5.85</v>
      </c>
      <c r="W43" s="401">
        <v>5.85</v>
      </c>
      <c r="X43" s="401">
        <v>5.85</v>
      </c>
      <c r="Y43" s="401">
        <v>5.85</v>
      </c>
      <c r="Z43" s="303">
        <v>0.43</v>
      </c>
      <c r="AA43" s="303">
        <v>0.43</v>
      </c>
      <c r="AB43" s="303">
        <v>0.33</v>
      </c>
      <c r="AC43" s="300">
        <v>0</v>
      </c>
      <c r="AD43" s="401">
        <v>0.47999999999999954</v>
      </c>
      <c r="AE43" s="401">
        <v>0.47999999999999954</v>
      </c>
      <c r="AF43" s="401">
        <v>0.47999999999999954</v>
      </c>
      <c r="AG43" s="401">
        <v>0.47999999999999954</v>
      </c>
      <c r="AH43" s="401">
        <v>0.47999999999999954</v>
      </c>
      <c r="AI43" s="401">
        <v>0.47999999999999954</v>
      </c>
      <c r="AJ43" s="401">
        <v>0.47999999999999954</v>
      </c>
      <c r="AK43" s="401">
        <v>0.47999999999999954</v>
      </c>
      <c r="AL43" s="255"/>
      <c r="AM43" s="254">
        <f t="shared" si="0"/>
        <v>0</v>
      </c>
      <c r="AN43" s="255"/>
      <c r="AO43" s="254">
        <f t="shared" si="1"/>
        <v>0</v>
      </c>
      <c r="AP43" s="255">
        <v>80</v>
      </c>
      <c r="AQ43" s="254">
        <f t="shared" si="2"/>
        <v>26.400000000000002</v>
      </c>
      <c r="AR43" s="256"/>
      <c r="AS43" s="257">
        <f t="shared" si="3"/>
        <v>0</v>
      </c>
      <c r="AT43" s="268"/>
      <c r="AU43" s="257">
        <f t="shared" si="4"/>
        <v>0</v>
      </c>
      <c r="AV43" s="268"/>
      <c r="AW43" s="257">
        <f t="shared" si="5"/>
        <v>0</v>
      </c>
      <c r="AX43" s="268"/>
      <c r="AY43" s="257">
        <f t="shared" si="6"/>
        <v>0</v>
      </c>
      <c r="AZ43" s="268"/>
      <c r="BA43" s="257">
        <f t="shared" si="7"/>
        <v>0</v>
      </c>
      <c r="BB43" s="268"/>
      <c r="BC43" s="257">
        <f t="shared" si="8"/>
        <v>0</v>
      </c>
      <c r="BD43" s="268"/>
      <c r="BE43" s="257">
        <f t="shared" si="9"/>
        <v>0</v>
      </c>
      <c r="BF43" s="59"/>
      <c r="BG43" s="257">
        <f t="shared" si="10"/>
        <v>0</v>
      </c>
      <c r="BH43" s="59"/>
      <c r="BI43" s="257">
        <f t="shared" si="11"/>
        <v>0</v>
      </c>
      <c r="BJ43" s="1" t="s">
        <v>501</v>
      </c>
      <c r="BK43" s="1" t="s">
        <v>496</v>
      </c>
      <c r="BL43" s="1" t="s">
        <v>457</v>
      </c>
      <c r="BM43" s="1" t="s">
        <v>487</v>
      </c>
    </row>
    <row r="44" spans="1:65" ht="15" customHeight="1">
      <c r="A44" s="250" t="s">
        <v>951</v>
      </c>
      <c r="B44" s="59" t="s">
        <v>341</v>
      </c>
      <c r="C44" s="354" t="s">
        <v>172</v>
      </c>
      <c r="D44" s="424"/>
      <c r="E44" s="357" t="s">
        <v>332</v>
      </c>
      <c r="F44" s="427"/>
      <c r="G44" s="317">
        <v>2026</v>
      </c>
      <c r="H44" s="298" t="s">
        <v>473</v>
      </c>
      <c r="I44" s="315" t="s">
        <v>249</v>
      </c>
      <c r="J44" s="316">
        <v>14</v>
      </c>
      <c r="K44" s="298" t="s">
        <v>335</v>
      </c>
      <c r="L44" s="298" t="s">
        <v>336</v>
      </c>
      <c r="M44" s="300" t="s">
        <v>474</v>
      </c>
      <c r="N44" s="303">
        <v>7.2</v>
      </c>
      <c r="O44" s="303">
        <v>7.2</v>
      </c>
      <c r="P44" s="303">
        <v>7.2</v>
      </c>
      <c r="Q44" s="303">
        <v>7.2</v>
      </c>
      <c r="R44" s="401">
        <v>7.75</v>
      </c>
      <c r="S44" s="401">
        <v>7.75</v>
      </c>
      <c r="T44" s="401">
        <v>7.75</v>
      </c>
      <c r="U44" s="401">
        <v>7.75</v>
      </c>
      <c r="V44" s="401">
        <v>7.75</v>
      </c>
      <c r="W44" s="401">
        <v>7.75</v>
      </c>
      <c r="X44" s="401">
        <v>7.75</v>
      </c>
      <c r="Y44" s="401">
        <v>7.75</v>
      </c>
      <c r="Z44" s="303">
        <v>0.24</v>
      </c>
      <c r="AA44" s="303">
        <v>0.24</v>
      </c>
      <c r="AB44" s="303">
        <v>0.24</v>
      </c>
      <c r="AC44" s="300">
        <v>0</v>
      </c>
      <c r="AD44" s="401">
        <v>0.29000000000000004</v>
      </c>
      <c r="AE44" s="401">
        <v>0.29000000000000004</v>
      </c>
      <c r="AF44" s="401">
        <v>0.29000000000000004</v>
      </c>
      <c r="AG44" s="401">
        <v>0.29000000000000004</v>
      </c>
      <c r="AH44" s="401">
        <v>0.29000000000000004</v>
      </c>
      <c r="AI44" s="401">
        <v>0.29000000000000004</v>
      </c>
      <c r="AJ44" s="401">
        <v>0.29000000000000004</v>
      </c>
      <c r="AK44" s="401">
        <v>0.29000000000000004</v>
      </c>
      <c r="AL44" s="255"/>
      <c r="AM44" s="254">
        <f t="shared" si="0"/>
        <v>0</v>
      </c>
      <c r="AN44" s="255"/>
      <c r="AO44" s="254">
        <f t="shared" si="1"/>
        <v>0</v>
      </c>
      <c r="AP44" s="255"/>
      <c r="AQ44" s="254">
        <f t="shared" si="2"/>
        <v>0</v>
      </c>
      <c r="AR44" s="256">
        <v>631</v>
      </c>
      <c r="AS44" s="257">
        <f t="shared" si="3"/>
        <v>0</v>
      </c>
      <c r="AT44" s="268">
        <v>1034</v>
      </c>
      <c r="AU44" s="257">
        <f t="shared" si="4"/>
        <v>299.86</v>
      </c>
      <c r="AV44" s="268"/>
      <c r="AW44" s="257">
        <f t="shared" si="5"/>
        <v>0</v>
      </c>
      <c r="AX44" s="268"/>
      <c r="AY44" s="257">
        <f t="shared" si="6"/>
        <v>0</v>
      </c>
      <c r="AZ44" s="268"/>
      <c r="BA44" s="257">
        <f t="shared" si="7"/>
        <v>0</v>
      </c>
      <c r="BB44" s="268"/>
      <c r="BC44" s="257">
        <f t="shared" si="8"/>
        <v>0</v>
      </c>
      <c r="BD44" s="268"/>
      <c r="BE44" s="257">
        <f t="shared" si="9"/>
        <v>0</v>
      </c>
      <c r="BF44" s="59"/>
      <c r="BG44" s="257">
        <f t="shared" si="10"/>
        <v>0</v>
      </c>
      <c r="BH44" s="59"/>
      <c r="BI44" s="257">
        <f t="shared" si="11"/>
        <v>0</v>
      </c>
      <c r="BJ44" s="1" t="s">
        <v>964</v>
      </c>
      <c r="BL44" s="1" t="s">
        <v>457</v>
      </c>
      <c r="BM44" s="1" t="s">
        <v>965</v>
      </c>
    </row>
    <row r="45" spans="1:65" ht="15" customHeight="1">
      <c r="A45" s="250" t="s">
        <v>951</v>
      </c>
      <c r="B45" s="59" t="s">
        <v>341</v>
      </c>
      <c r="C45" s="354" t="s">
        <v>172</v>
      </c>
      <c r="D45" s="424"/>
      <c r="E45" s="357" t="s">
        <v>332</v>
      </c>
      <c r="F45" s="427"/>
      <c r="G45" s="317">
        <v>2026</v>
      </c>
      <c r="H45" s="298" t="s">
        <v>473</v>
      </c>
      <c r="I45" s="315" t="s">
        <v>249</v>
      </c>
      <c r="J45" s="316">
        <v>14</v>
      </c>
      <c r="K45" s="298" t="s">
        <v>335</v>
      </c>
      <c r="L45" s="298" t="s">
        <v>336</v>
      </c>
      <c r="M45" s="300" t="s">
        <v>474</v>
      </c>
      <c r="N45" s="303">
        <v>7.2</v>
      </c>
      <c r="O45" s="303">
        <v>7.2</v>
      </c>
      <c r="P45" s="303">
        <v>7.2</v>
      </c>
      <c r="Q45" s="303">
        <v>7.2</v>
      </c>
      <c r="R45" s="401">
        <v>7.75</v>
      </c>
      <c r="S45" s="401">
        <v>7.75</v>
      </c>
      <c r="T45" s="401">
        <v>7.75</v>
      </c>
      <c r="U45" s="401">
        <v>7.75</v>
      </c>
      <c r="V45" s="401">
        <v>7.75</v>
      </c>
      <c r="W45" s="401">
        <v>7.75</v>
      </c>
      <c r="X45" s="401">
        <v>7.75</v>
      </c>
      <c r="Y45" s="401">
        <v>7.75</v>
      </c>
      <c r="Z45" s="303">
        <v>0.24</v>
      </c>
      <c r="AA45" s="303">
        <v>0.24</v>
      </c>
      <c r="AB45" s="303">
        <v>0.24</v>
      </c>
      <c r="AC45" s="300">
        <v>0</v>
      </c>
      <c r="AD45" s="401">
        <v>0.29000000000000004</v>
      </c>
      <c r="AE45" s="401">
        <v>0.29000000000000004</v>
      </c>
      <c r="AF45" s="401">
        <v>0.29000000000000004</v>
      </c>
      <c r="AG45" s="401">
        <v>0.29000000000000004</v>
      </c>
      <c r="AH45" s="401">
        <v>0.29000000000000004</v>
      </c>
      <c r="AI45" s="401">
        <v>0.29000000000000004</v>
      </c>
      <c r="AJ45" s="401">
        <v>0.29000000000000004</v>
      </c>
      <c r="AK45" s="401">
        <v>0.29000000000000004</v>
      </c>
      <c r="AL45" s="255"/>
      <c r="AM45" s="254">
        <f t="shared" si="0"/>
        <v>0</v>
      </c>
      <c r="AN45" s="255"/>
      <c r="AO45" s="254">
        <f t="shared" si="1"/>
        <v>0</v>
      </c>
      <c r="AP45" s="255"/>
      <c r="AQ45" s="254">
        <f t="shared" si="2"/>
        <v>0</v>
      </c>
      <c r="AR45" s="256">
        <v>159</v>
      </c>
      <c r="AS45" s="257">
        <f t="shared" si="3"/>
        <v>0</v>
      </c>
      <c r="AT45" s="268">
        <v>118</v>
      </c>
      <c r="AU45" s="257">
        <f t="shared" si="4"/>
        <v>34.220000000000006</v>
      </c>
      <c r="AV45" s="268"/>
      <c r="AW45" s="257">
        <f t="shared" si="5"/>
        <v>0</v>
      </c>
      <c r="AX45" s="268"/>
      <c r="AY45" s="257">
        <f t="shared" si="6"/>
        <v>0</v>
      </c>
      <c r="AZ45" s="268"/>
      <c r="BA45" s="257">
        <f t="shared" si="7"/>
        <v>0</v>
      </c>
      <c r="BB45" s="268"/>
      <c r="BC45" s="257">
        <f t="shared" si="8"/>
        <v>0</v>
      </c>
      <c r="BD45" s="268"/>
      <c r="BE45" s="257">
        <f t="shared" si="9"/>
        <v>0</v>
      </c>
      <c r="BF45" s="59"/>
      <c r="BG45" s="257">
        <f t="shared" si="10"/>
        <v>0</v>
      </c>
      <c r="BH45" s="59"/>
      <c r="BI45" s="257">
        <f t="shared" si="11"/>
        <v>0</v>
      </c>
      <c r="BJ45" s="1" t="s">
        <v>966</v>
      </c>
      <c r="BK45" s="1" t="s">
        <v>462</v>
      </c>
      <c r="BL45" s="1" t="s">
        <v>457</v>
      </c>
      <c r="BM45" s="1" t="s">
        <v>967</v>
      </c>
    </row>
    <row r="46" spans="1:65" ht="15" customHeight="1">
      <c r="A46" s="250" t="s">
        <v>951</v>
      </c>
      <c r="B46" s="59" t="s">
        <v>341</v>
      </c>
      <c r="C46" s="354" t="s">
        <v>172</v>
      </c>
      <c r="D46" s="424"/>
      <c r="E46" s="357" t="s">
        <v>332</v>
      </c>
      <c r="F46" s="427"/>
      <c r="G46" s="317">
        <v>2026</v>
      </c>
      <c r="H46" s="298" t="s">
        <v>473</v>
      </c>
      <c r="I46" s="315" t="s">
        <v>175</v>
      </c>
      <c r="J46" s="316">
        <v>14</v>
      </c>
      <c r="K46" s="298" t="s">
        <v>335</v>
      </c>
      <c r="L46" s="298" t="s">
        <v>336</v>
      </c>
      <c r="M46" s="300" t="s">
        <v>474</v>
      </c>
      <c r="N46" s="303">
        <v>4.82</v>
      </c>
      <c r="O46" s="303">
        <v>4.82</v>
      </c>
      <c r="P46" s="303">
        <v>4.75</v>
      </c>
      <c r="Q46" s="303">
        <v>4.75</v>
      </c>
      <c r="R46" s="401">
        <v>5.25</v>
      </c>
      <c r="S46" s="401">
        <v>5.25</v>
      </c>
      <c r="T46" s="401">
        <v>5.25</v>
      </c>
      <c r="U46" s="401">
        <v>5.25</v>
      </c>
      <c r="V46" s="401">
        <v>5.25</v>
      </c>
      <c r="W46" s="401">
        <v>5.25</v>
      </c>
      <c r="X46" s="401">
        <v>5.25</v>
      </c>
      <c r="Y46" s="401">
        <v>5.25</v>
      </c>
      <c r="Z46" s="303">
        <v>0.37</v>
      </c>
      <c r="AA46" s="303">
        <v>0.37</v>
      </c>
      <c r="AB46" s="303">
        <v>0.35</v>
      </c>
      <c r="AC46" s="300">
        <v>0</v>
      </c>
      <c r="AD46" s="401">
        <v>0.34999999999999964</v>
      </c>
      <c r="AE46" s="401">
        <v>0.34999999999999964</v>
      </c>
      <c r="AF46" s="401">
        <v>0.34999999999999964</v>
      </c>
      <c r="AG46" s="401">
        <v>0.34999999999999964</v>
      </c>
      <c r="AH46" s="401">
        <v>0.34999999999999964</v>
      </c>
      <c r="AI46" s="401">
        <v>0.34999999999999964</v>
      </c>
      <c r="AJ46" s="401">
        <v>0.34999999999999964</v>
      </c>
      <c r="AK46" s="401">
        <v>0.34999999999999964</v>
      </c>
      <c r="AL46" s="255"/>
      <c r="AM46" s="254">
        <f t="shared" si="0"/>
        <v>0</v>
      </c>
      <c r="AN46" s="255"/>
      <c r="AO46" s="254">
        <f t="shared" si="1"/>
        <v>0</v>
      </c>
      <c r="AP46" s="255"/>
      <c r="AQ46" s="254">
        <f t="shared" si="2"/>
        <v>0</v>
      </c>
      <c r="AR46" s="256">
        <v>106</v>
      </c>
      <c r="AS46" s="257">
        <f t="shared" si="3"/>
        <v>0</v>
      </c>
      <c r="AT46" s="268">
        <v>22</v>
      </c>
      <c r="AU46" s="257">
        <f t="shared" si="4"/>
        <v>7.6999999999999922</v>
      </c>
      <c r="AV46" s="268"/>
      <c r="AW46" s="257">
        <f t="shared" si="5"/>
        <v>0</v>
      </c>
      <c r="AX46" s="268"/>
      <c r="AY46" s="257">
        <f t="shared" si="6"/>
        <v>0</v>
      </c>
      <c r="AZ46" s="268"/>
      <c r="BA46" s="257">
        <f t="shared" si="7"/>
        <v>0</v>
      </c>
      <c r="BB46" s="268"/>
      <c r="BC46" s="257">
        <f t="shared" si="8"/>
        <v>0</v>
      </c>
      <c r="BD46" s="268"/>
      <c r="BE46" s="257">
        <f t="shared" si="9"/>
        <v>0</v>
      </c>
      <c r="BF46" s="59"/>
      <c r="BG46" s="257">
        <f t="shared" si="10"/>
        <v>0</v>
      </c>
      <c r="BH46" s="59"/>
      <c r="BI46" s="257">
        <f t="shared" si="11"/>
        <v>0</v>
      </c>
      <c r="BJ46" s="1" t="s">
        <v>968</v>
      </c>
      <c r="BL46" s="1" t="s">
        <v>457</v>
      </c>
      <c r="BM46" s="1" t="s">
        <v>969</v>
      </c>
    </row>
    <row r="47" spans="1:65" ht="15" customHeight="1">
      <c r="A47" s="250" t="s">
        <v>951</v>
      </c>
      <c r="B47" s="59" t="s">
        <v>341</v>
      </c>
      <c r="C47" s="354" t="s">
        <v>172</v>
      </c>
      <c r="D47" s="424"/>
      <c r="E47" s="357" t="s">
        <v>332</v>
      </c>
      <c r="F47" s="427"/>
      <c r="G47" s="317">
        <v>2026</v>
      </c>
      <c r="H47" s="365" t="s">
        <v>481</v>
      </c>
      <c r="I47" s="315" t="s">
        <v>249</v>
      </c>
      <c r="J47" s="316">
        <v>16</v>
      </c>
      <c r="K47" s="298" t="s">
        <v>335</v>
      </c>
      <c r="L47" s="298" t="s">
        <v>336</v>
      </c>
      <c r="M47" s="300" t="s">
        <v>474</v>
      </c>
      <c r="N47" s="303">
        <v>7.53</v>
      </c>
      <c r="O47" s="303">
        <v>7.53</v>
      </c>
      <c r="P47" s="303">
        <v>7.53</v>
      </c>
      <c r="Q47" s="303">
        <v>7.53</v>
      </c>
      <c r="R47" s="401">
        <v>8.2799999999999994</v>
      </c>
      <c r="S47" s="401">
        <v>8.2799999999999994</v>
      </c>
      <c r="T47" s="401">
        <v>8.2799999999999994</v>
      </c>
      <c r="U47" s="401">
        <v>8.2799999999999994</v>
      </c>
      <c r="V47" s="401">
        <v>8.2799999999999994</v>
      </c>
      <c r="W47" s="401">
        <v>8.2799999999999994</v>
      </c>
      <c r="X47" s="401">
        <v>8.2799999999999994</v>
      </c>
      <c r="Y47" s="401">
        <v>8.2799999999999994</v>
      </c>
      <c r="Z47" s="303">
        <v>0.23</v>
      </c>
      <c r="AA47" s="303">
        <v>0.23</v>
      </c>
      <c r="AB47" s="303">
        <v>0.23</v>
      </c>
      <c r="AC47" s="300">
        <v>0</v>
      </c>
      <c r="AD47" s="401">
        <v>0.37999999999999901</v>
      </c>
      <c r="AE47" s="401">
        <v>0.37999999999999901</v>
      </c>
      <c r="AF47" s="401">
        <v>0.37999999999999901</v>
      </c>
      <c r="AG47" s="401">
        <v>0.37999999999999901</v>
      </c>
      <c r="AH47" s="401">
        <v>0.37999999999999901</v>
      </c>
      <c r="AI47" s="401">
        <v>0.37999999999999901</v>
      </c>
      <c r="AJ47" s="401">
        <v>0.37999999999999901</v>
      </c>
      <c r="AK47" s="401">
        <v>0.37999999999999901</v>
      </c>
      <c r="AL47" s="255"/>
      <c r="AM47" s="254">
        <f t="shared" si="0"/>
        <v>0</v>
      </c>
      <c r="AN47" s="255"/>
      <c r="AO47" s="254">
        <f t="shared" si="1"/>
        <v>0</v>
      </c>
      <c r="AP47" s="255"/>
      <c r="AQ47" s="254">
        <f t="shared" si="2"/>
        <v>0</v>
      </c>
      <c r="AR47" s="256">
        <v>250</v>
      </c>
      <c r="AS47" s="257">
        <f t="shared" si="3"/>
        <v>0</v>
      </c>
      <c r="AT47" s="268">
        <v>163</v>
      </c>
      <c r="AU47" s="257">
        <f t="shared" si="4"/>
        <v>61.939999999999841</v>
      </c>
      <c r="AV47" s="268"/>
      <c r="AW47" s="257">
        <f t="shared" si="5"/>
        <v>0</v>
      </c>
      <c r="AX47" s="268"/>
      <c r="AY47" s="257">
        <f t="shared" si="6"/>
        <v>0</v>
      </c>
      <c r="AZ47" s="268"/>
      <c r="BA47" s="257">
        <f t="shared" si="7"/>
        <v>0</v>
      </c>
      <c r="BB47" s="268"/>
      <c r="BC47" s="257">
        <f t="shared" si="8"/>
        <v>0</v>
      </c>
      <c r="BD47" s="268"/>
      <c r="BE47" s="257">
        <f t="shared" si="9"/>
        <v>0</v>
      </c>
      <c r="BF47" s="59"/>
      <c r="BG47" s="257">
        <f t="shared" si="10"/>
        <v>0</v>
      </c>
      <c r="BH47" s="59"/>
      <c r="BI47" s="257">
        <f t="shared" si="11"/>
        <v>0</v>
      </c>
      <c r="BJ47" s="1" t="s">
        <v>970</v>
      </c>
      <c r="BL47" s="1" t="s">
        <v>457</v>
      </c>
      <c r="BM47" s="1" t="s">
        <v>971</v>
      </c>
    </row>
    <row r="48" spans="1:65" ht="15" customHeight="1">
      <c r="A48" s="250" t="s">
        <v>951</v>
      </c>
      <c r="B48" s="59" t="s">
        <v>341</v>
      </c>
      <c r="C48" s="354" t="s">
        <v>172</v>
      </c>
      <c r="D48" s="424"/>
      <c r="E48" s="357" t="s">
        <v>332</v>
      </c>
      <c r="F48" s="427"/>
      <c r="G48" s="317">
        <v>2026</v>
      </c>
      <c r="H48" s="365" t="s">
        <v>481</v>
      </c>
      <c r="I48" s="315" t="s">
        <v>249</v>
      </c>
      <c r="J48" s="316">
        <v>16</v>
      </c>
      <c r="K48" s="298" t="s">
        <v>335</v>
      </c>
      <c r="L48" s="298" t="s">
        <v>336</v>
      </c>
      <c r="M48" s="300" t="s">
        <v>474</v>
      </c>
      <c r="N48" s="303">
        <v>7.53</v>
      </c>
      <c r="O48" s="303">
        <v>7.53</v>
      </c>
      <c r="P48" s="303">
        <v>7.53</v>
      </c>
      <c r="Q48" s="303">
        <v>7.53</v>
      </c>
      <c r="R48" s="401">
        <v>8.2799999999999994</v>
      </c>
      <c r="S48" s="401">
        <v>8.2799999999999994</v>
      </c>
      <c r="T48" s="401">
        <v>8.2799999999999994</v>
      </c>
      <c r="U48" s="401">
        <v>8.2799999999999994</v>
      </c>
      <c r="V48" s="401">
        <v>8.2799999999999994</v>
      </c>
      <c r="W48" s="401">
        <v>8.2799999999999994</v>
      </c>
      <c r="X48" s="401">
        <v>8.2799999999999994</v>
      </c>
      <c r="Y48" s="401">
        <v>8.2799999999999994</v>
      </c>
      <c r="Z48" s="303">
        <v>0.23</v>
      </c>
      <c r="AA48" s="303">
        <v>0.23</v>
      </c>
      <c r="AB48" s="303">
        <v>0.23</v>
      </c>
      <c r="AC48" s="300">
        <v>0</v>
      </c>
      <c r="AD48" s="401">
        <v>0.37999999999999901</v>
      </c>
      <c r="AE48" s="401">
        <v>0.37999999999999901</v>
      </c>
      <c r="AF48" s="401">
        <v>0.37999999999999901</v>
      </c>
      <c r="AG48" s="401">
        <v>0.37999999999999901</v>
      </c>
      <c r="AH48" s="401">
        <v>0.37999999999999901</v>
      </c>
      <c r="AI48" s="401">
        <v>0.37999999999999901</v>
      </c>
      <c r="AJ48" s="401">
        <v>0.37999999999999901</v>
      </c>
      <c r="AK48" s="401">
        <v>0.37999999999999901</v>
      </c>
      <c r="AL48" s="255"/>
      <c r="AM48" s="254">
        <f t="shared" si="0"/>
        <v>0</v>
      </c>
      <c r="AN48" s="255"/>
      <c r="AO48" s="254">
        <f t="shared" si="1"/>
        <v>0</v>
      </c>
      <c r="AP48" s="255"/>
      <c r="AQ48" s="254">
        <f t="shared" si="2"/>
        <v>0</v>
      </c>
      <c r="AR48" s="256"/>
      <c r="AS48" s="257">
        <f t="shared" si="3"/>
        <v>0</v>
      </c>
      <c r="AT48" s="268"/>
      <c r="AU48" s="257">
        <f t="shared" si="4"/>
        <v>0</v>
      </c>
      <c r="AV48" s="268"/>
      <c r="AW48" s="257">
        <f t="shared" si="5"/>
        <v>0</v>
      </c>
      <c r="AX48" s="268"/>
      <c r="AY48" s="257">
        <f t="shared" si="6"/>
        <v>0</v>
      </c>
      <c r="AZ48" s="268"/>
      <c r="BA48" s="257">
        <f t="shared" si="7"/>
        <v>0</v>
      </c>
      <c r="BB48" s="268"/>
      <c r="BC48" s="257">
        <f t="shared" si="8"/>
        <v>0</v>
      </c>
      <c r="BD48" s="268"/>
      <c r="BE48" s="257">
        <f t="shared" si="9"/>
        <v>0</v>
      </c>
      <c r="BF48" s="59"/>
      <c r="BG48" s="257">
        <f t="shared" si="10"/>
        <v>0</v>
      </c>
      <c r="BH48" s="59"/>
      <c r="BI48" s="257">
        <f t="shared" si="11"/>
        <v>0</v>
      </c>
      <c r="BJ48" s="1" t="s">
        <v>972</v>
      </c>
      <c r="BK48" s="1" t="s">
        <v>462</v>
      </c>
      <c r="BL48" s="1" t="s">
        <v>457</v>
      </c>
      <c r="BM48" s="1" t="s">
        <v>973</v>
      </c>
    </row>
    <row r="49" spans="1:65" ht="15" customHeight="1">
      <c r="A49" s="250" t="s">
        <v>951</v>
      </c>
      <c r="B49" s="59" t="s">
        <v>341</v>
      </c>
      <c r="C49" s="354" t="s">
        <v>172</v>
      </c>
      <c r="D49" s="424"/>
      <c r="E49" s="357" t="s">
        <v>332</v>
      </c>
      <c r="F49" s="427"/>
      <c r="G49" s="317">
        <v>2026</v>
      </c>
      <c r="H49" s="366" t="s">
        <v>481</v>
      </c>
      <c r="I49" s="315" t="s">
        <v>175</v>
      </c>
      <c r="J49" s="316">
        <v>16</v>
      </c>
      <c r="K49" s="298" t="s">
        <v>335</v>
      </c>
      <c r="L49" s="298" t="s">
        <v>336</v>
      </c>
      <c r="M49" s="300" t="s">
        <v>474</v>
      </c>
      <c r="N49" s="303">
        <v>5.2</v>
      </c>
      <c r="O49" s="303">
        <v>5.2</v>
      </c>
      <c r="P49" s="303">
        <v>5.08</v>
      </c>
      <c r="Q49" s="303">
        <v>5.08</v>
      </c>
      <c r="R49" s="401">
        <v>5.83</v>
      </c>
      <c r="S49" s="401">
        <v>5.83</v>
      </c>
      <c r="T49" s="401">
        <v>5.83</v>
      </c>
      <c r="U49" s="401">
        <v>5.83</v>
      </c>
      <c r="V49" s="401">
        <v>5.83</v>
      </c>
      <c r="W49" s="401">
        <v>5.83</v>
      </c>
      <c r="X49" s="401">
        <v>5.83</v>
      </c>
      <c r="Y49" s="401">
        <v>5.83</v>
      </c>
      <c r="Z49" s="303">
        <v>0.43</v>
      </c>
      <c r="AA49" s="303">
        <v>0.43</v>
      </c>
      <c r="AB49" s="303">
        <v>0.33</v>
      </c>
      <c r="AC49" s="300">
        <v>0</v>
      </c>
      <c r="AD49" s="401">
        <v>0.48000000000000043</v>
      </c>
      <c r="AE49" s="401">
        <v>0.48000000000000043</v>
      </c>
      <c r="AF49" s="401">
        <v>0.48000000000000043</v>
      </c>
      <c r="AG49" s="401">
        <v>0.48000000000000043</v>
      </c>
      <c r="AH49" s="401">
        <v>0.48000000000000043</v>
      </c>
      <c r="AI49" s="401">
        <v>0.48000000000000043</v>
      </c>
      <c r="AJ49" s="401">
        <v>0.48000000000000043</v>
      </c>
      <c r="AK49" s="401">
        <v>0.48000000000000043</v>
      </c>
      <c r="AL49" s="255"/>
      <c r="AM49" s="254">
        <f t="shared" si="0"/>
        <v>0</v>
      </c>
      <c r="AN49" s="255"/>
      <c r="AO49" s="254">
        <f t="shared" si="1"/>
        <v>0</v>
      </c>
      <c r="AP49" s="255"/>
      <c r="AQ49" s="254">
        <f t="shared" si="2"/>
        <v>0</v>
      </c>
      <c r="AR49" s="256"/>
      <c r="AS49" s="257">
        <f t="shared" si="3"/>
        <v>0</v>
      </c>
      <c r="AT49" s="268"/>
      <c r="AU49" s="257">
        <f t="shared" si="4"/>
        <v>0</v>
      </c>
      <c r="AV49" s="268"/>
      <c r="AW49" s="257">
        <f t="shared" si="5"/>
        <v>0</v>
      </c>
      <c r="AX49" s="268"/>
      <c r="AY49" s="257">
        <f t="shared" si="6"/>
        <v>0</v>
      </c>
      <c r="AZ49" s="268"/>
      <c r="BA49" s="257">
        <f t="shared" si="7"/>
        <v>0</v>
      </c>
      <c r="BB49" s="268"/>
      <c r="BC49" s="257">
        <f t="shared" si="8"/>
        <v>0</v>
      </c>
      <c r="BD49" s="268"/>
      <c r="BE49" s="257">
        <f t="shared" si="9"/>
        <v>0</v>
      </c>
      <c r="BF49" s="59"/>
      <c r="BG49" s="257">
        <f t="shared" si="10"/>
        <v>0</v>
      </c>
      <c r="BH49" s="59"/>
      <c r="BI49" s="257">
        <f t="shared" si="11"/>
        <v>0</v>
      </c>
      <c r="BJ49" s="1" t="s">
        <v>974</v>
      </c>
      <c r="BL49" s="1" t="s">
        <v>457</v>
      </c>
      <c r="BM49" s="1" t="s">
        <v>975</v>
      </c>
    </row>
    <row r="50" spans="1:65" ht="15" customHeight="1">
      <c r="A50" s="250" t="s">
        <v>951</v>
      </c>
      <c r="B50" s="59" t="s">
        <v>341</v>
      </c>
      <c r="C50" s="354" t="s">
        <v>172</v>
      </c>
      <c r="D50" s="424"/>
      <c r="E50" s="357" t="s">
        <v>332</v>
      </c>
      <c r="F50" s="427"/>
      <c r="G50" s="317">
        <v>2026</v>
      </c>
      <c r="H50" s="298" t="s">
        <v>473</v>
      </c>
      <c r="I50" s="315" t="s">
        <v>249</v>
      </c>
      <c r="J50" s="316">
        <v>14</v>
      </c>
      <c r="K50" s="298" t="s">
        <v>335</v>
      </c>
      <c r="L50" s="298" t="s">
        <v>464</v>
      </c>
      <c r="M50" s="300" t="s">
        <v>488</v>
      </c>
      <c r="N50" s="303">
        <v>7.2</v>
      </c>
      <c r="O50" s="303">
        <v>7.2</v>
      </c>
      <c r="P50" s="303">
        <v>7.2</v>
      </c>
      <c r="Q50" s="303">
        <v>7.2</v>
      </c>
      <c r="R50" s="401">
        <v>7.75</v>
      </c>
      <c r="S50" s="401">
        <v>7.75</v>
      </c>
      <c r="T50" s="401">
        <v>7.75</v>
      </c>
      <c r="U50" s="401">
        <v>7.75</v>
      </c>
      <c r="V50" s="401">
        <v>7.75</v>
      </c>
      <c r="W50" s="401">
        <v>7.75</v>
      </c>
      <c r="X50" s="401">
        <v>7.75</v>
      </c>
      <c r="Y50" s="401">
        <v>7.75</v>
      </c>
      <c r="Z50" s="303">
        <v>0.24</v>
      </c>
      <c r="AA50" s="303">
        <v>0.24</v>
      </c>
      <c r="AB50" s="303">
        <v>0.24</v>
      </c>
      <c r="AC50" s="300">
        <v>0</v>
      </c>
      <c r="AD50" s="401">
        <v>0.29000000000000004</v>
      </c>
      <c r="AE50" s="401">
        <v>0.29000000000000004</v>
      </c>
      <c r="AF50" s="401">
        <v>0.29000000000000004</v>
      </c>
      <c r="AG50" s="401">
        <v>0.29000000000000004</v>
      </c>
      <c r="AH50" s="401">
        <v>0.29000000000000004</v>
      </c>
      <c r="AI50" s="401">
        <v>0.29000000000000004</v>
      </c>
      <c r="AJ50" s="401">
        <v>0.29000000000000004</v>
      </c>
      <c r="AK50" s="401">
        <v>0.29000000000000004</v>
      </c>
      <c r="AL50" s="255"/>
      <c r="AM50" s="254">
        <f t="shared" si="0"/>
        <v>0</v>
      </c>
      <c r="AN50" s="255"/>
      <c r="AO50" s="254">
        <f t="shared" si="1"/>
        <v>0</v>
      </c>
      <c r="AP50" s="255"/>
      <c r="AQ50" s="254">
        <f t="shared" si="2"/>
        <v>0</v>
      </c>
      <c r="AR50" s="256"/>
      <c r="AS50" s="257">
        <f t="shared" si="3"/>
        <v>0</v>
      </c>
      <c r="AT50" s="268"/>
      <c r="AU50" s="257">
        <f t="shared" si="4"/>
        <v>0</v>
      </c>
      <c r="AV50" s="268"/>
      <c r="AW50" s="257">
        <f t="shared" si="5"/>
        <v>0</v>
      </c>
      <c r="AX50" s="268"/>
      <c r="AY50" s="257">
        <f t="shared" si="6"/>
        <v>0</v>
      </c>
      <c r="AZ50" s="268"/>
      <c r="BA50" s="257">
        <f t="shared" si="7"/>
        <v>0</v>
      </c>
      <c r="BB50" s="268"/>
      <c r="BC50" s="257">
        <f t="shared" si="8"/>
        <v>0</v>
      </c>
      <c r="BD50" s="268"/>
      <c r="BE50" s="257">
        <f t="shared" si="9"/>
        <v>0</v>
      </c>
      <c r="BF50" s="59"/>
      <c r="BG50" s="257">
        <f t="shared" si="10"/>
        <v>0</v>
      </c>
      <c r="BH50" s="59"/>
      <c r="BI50" s="257">
        <f t="shared" si="11"/>
        <v>0</v>
      </c>
      <c r="BJ50" s="1" t="s">
        <v>976</v>
      </c>
      <c r="BL50" s="1" t="s">
        <v>457</v>
      </c>
      <c r="BM50" s="1" t="s">
        <v>965</v>
      </c>
    </row>
    <row r="51" spans="1:65" ht="15" customHeight="1">
      <c r="A51" s="250" t="s">
        <v>951</v>
      </c>
      <c r="B51" s="59" t="s">
        <v>341</v>
      </c>
      <c r="C51" s="354" t="s">
        <v>172</v>
      </c>
      <c r="D51" s="424"/>
      <c r="E51" s="357" t="s">
        <v>332</v>
      </c>
      <c r="F51" s="427"/>
      <c r="G51" s="317">
        <v>2026</v>
      </c>
      <c r="H51" s="298" t="s">
        <v>473</v>
      </c>
      <c r="I51" s="315" t="s">
        <v>249</v>
      </c>
      <c r="J51" s="316">
        <v>14</v>
      </c>
      <c r="K51" s="298" t="s">
        <v>335</v>
      </c>
      <c r="L51" s="298" t="s">
        <v>464</v>
      </c>
      <c r="M51" s="300" t="s">
        <v>488</v>
      </c>
      <c r="N51" s="303">
        <v>7.2</v>
      </c>
      <c r="O51" s="303">
        <v>7.2</v>
      </c>
      <c r="P51" s="303">
        <v>7.2</v>
      </c>
      <c r="Q51" s="303">
        <v>7.2</v>
      </c>
      <c r="R51" s="401">
        <v>7.75</v>
      </c>
      <c r="S51" s="401">
        <v>7.75</v>
      </c>
      <c r="T51" s="401">
        <v>7.75</v>
      </c>
      <c r="U51" s="401">
        <v>7.75</v>
      </c>
      <c r="V51" s="401">
        <v>7.75</v>
      </c>
      <c r="W51" s="401">
        <v>7.75</v>
      </c>
      <c r="X51" s="401">
        <v>7.75</v>
      </c>
      <c r="Y51" s="401">
        <v>7.75</v>
      </c>
      <c r="Z51" s="303">
        <v>0.24</v>
      </c>
      <c r="AA51" s="303">
        <v>0.24</v>
      </c>
      <c r="AB51" s="303">
        <v>0.24</v>
      </c>
      <c r="AC51" s="300">
        <v>0</v>
      </c>
      <c r="AD51" s="401">
        <v>0.29000000000000004</v>
      </c>
      <c r="AE51" s="401">
        <v>0.29000000000000004</v>
      </c>
      <c r="AF51" s="401">
        <v>0.29000000000000004</v>
      </c>
      <c r="AG51" s="401">
        <v>0.29000000000000004</v>
      </c>
      <c r="AH51" s="401">
        <v>0.29000000000000004</v>
      </c>
      <c r="AI51" s="401">
        <v>0.29000000000000004</v>
      </c>
      <c r="AJ51" s="401">
        <v>0.29000000000000004</v>
      </c>
      <c r="AK51" s="401">
        <v>0.29000000000000004</v>
      </c>
      <c r="AL51" s="255"/>
      <c r="AM51" s="254">
        <f t="shared" si="0"/>
        <v>0</v>
      </c>
      <c r="AN51" s="255"/>
      <c r="AO51" s="254">
        <f t="shared" si="1"/>
        <v>0</v>
      </c>
      <c r="AP51" s="255"/>
      <c r="AQ51" s="254">
        <f t="shared" si="2"/>
        <v>0</v>
      </c>
      <c r="AR51" s="256"/>
      <c r="AS51" s="257">
        <f t="shared" si="3"/>
        <v>0</v>
      </c>
      <c r="AT51" s="268"/>
      <c r="AU51" s="257">
        <f t="shared" si="4"/>
        <v>0</v>
      </c>
      <c r="AV51" s="268"/>
      <c r="AW51" s="257">
        <f t="shared" si="5"/>
        <v>0</v>
      </c>
      <c r="AX51" s="268"/>
      <c r="AY51" s="257">
        <f t="shared" si="6"/>
        <v>0</v>
      </c>
      <c r="AZ51" s="268"/>
      <c r="BA51" s="257">
        <f t="shared" si="7"/>
        <v>0</v>
      </c>
      <c r="BB51" s="268"/>
      <c r="BC51" s="257">
        <f t="shared" si="8"/>
        <v>0</v>
      </c>
      <c r="BD51" s="268"/>
      <c r="BE51" s="257">
        <f t="shared" si="9"/>
        <v>0</v>
      </c>
      <c r="BF51" s="59"/>
      <c r="BG51" s="257">
        <f t="shared" si="10"/>
        <v>0</v>
      </c>
      <c r="BH51" s="59"/>
      <c r="BI51" s="257">
        <f t="shared" si="11"/>
        <v>0</v>
      </c>
      <c r="BJ51" s="1" t="s">
        <v>977</v>
      </c>
      <c r="BK51" s="1" t="s">
        <v>462</v>
      </c>
      <c r="BL51" s="1" t="s">
        <v>457</v>
      </c>
      <c r="BM51" s="1" t="s">
        <v>967</v>
      </c>
    </row>
    <row r="52" spans="1:65" ht="15" customHeight="1">
      <c r="A52" s="250" t="s">
        <v>951</v>
      </c>
      <c r="B52" s="59" t="s">
        <v>341</v>
      </c>
      <c r="C52" s="354" t="s">
        <v>172</v>
      </c>
      <c r="D52" s="424"/>
      <c r="E52" s="357" t="s">
        <v>332</v>
      </c>
      <c r="F52" s="427"/>
      <c r="G52" s="317">
        <v>2026</v>
      </c>
      <c r="H52" s="298" t="s">
        <v>473</v>
      </c>
      <c r="I52" s="315" t="s">
        <v>175</v>
      </c>
      <c r="J52" s="316">
        <v>14</v>
      </c>
      <c r="K52" s="298" t="s">
        <v>335</v>
      </c>
      <c r="L52" s="298" t="s">
        <v>464</v>
      </c>
      <c r="M52" s="300" t="s">
        <v>488</v>
      </c>
      <c r="N52" s="303">
        <v>4.82</v>
      </c>
      <c r="O52" s="303">
        <v>4.82</v>
      </c>
      <c r="P52" s="303">
        <v>4.75</v>
      </c>
      <c r="Q52" s="303">
        <v>4.75</v>
      </c>
      <c r="R52" s="401">
        <v>5.25</v>
      </c>
      <c r="S52" s="401">
        <v>5.25</v>
      </c>
      <c r="T52" s="401">
        <v>5.25</v>
      </c>
      <c r="U52" s="401">
        <v>5.25</v>
      </c>
      <c r="V52" s="401">
        <v>5.25</v>
      </c>
      <c r="W52" s="401">
        <v>5.25</v>
      </c>
      <c r="X52" s="401">
        <v>5.25</v>
      </c>
      <c r="Y52" s="401">
        <v>5.25</v>
      </c>
      <c r="Z52" s="303">
        <v>0.37</v>
      </c>
      <c r="AA52" s="303">
        <v>0.37</v>
      </c>
      <c r="AB52" s="303">
        <v>0.35</v>
      </c>
      <c r="AC52" s="300">
        <v>0</v>
      </c>
      <c r="AD52" s="401">
        <v>0.34999999999999964</v>
      </c>
      <c r="AE52" s="401">
        <v>0.34999999999999964</v>
      </c>
      <c r="AF52" s="401">
        <v>0.34999999999999964</v>
      </c>
      <c r="AG52" s="401">
        <v>0.34999999999999964</v>
      </c>
      <c r="AH52" s="401">
        <v>0.34999999999999964</v>
      </c>
      <c r="AI52" s="401">
        <v>0.34999999999999964</v>
      </c>
      <c r="AJ52" s="401">
        <v>0.34999999999999964</v>
      </c>
      <c r="AK52" s="401">
        <v>0.34999999999999964</v>
      </c>
      <c r="AL52" s="255"/>
      <c r="AM52" s="254">
        <f t="shared" si="0"/>
        <v>0</v>
      </c>
      <c r="AN52" s="255"/>
      <c r="AO52" s="254">
        <f t="shared" si="1"/>
        <v>0</v>
      </c>
      <c r="AP52" s="255"/>
      <c r="AQ52" s="254">
        <f t="shared" si="2"/>
        <v>0</v>
      </c>
      <c r="AR52" s="256"/>
      <c r="AS52" s="257">
        <f t="shared" si="3"/>
        <v>0</v>
      </c>
      <c r="AT52" s="268"/>
      <c r="AU52" s="257">
        <f t="shared" si="4"/>
        <v>0</v>
      </c>
      <c r="AV52" s="268"/>
      <c r="AW52" s="257">
        <f t="shared" si="5"/>
        <v>0</v>
      </c>
      <c r="AX52" s="268"/>
      <c r="AY52" s="257">
        <f t="shared" si="6"/>
        <v>0</v>
      </c>
      <c r="AZ52" s="268"/>
      <c r="BA52" s="257">
        <f t="shared" si="7"/>
        <v>0</v>
      </c>
      <c r="BB52" s="268"/>
      <c r="BC52" s="257">
        <f t="shared" si="8"/>
        <v>0</v>
      </c>
      <c r="BD52" s="268"/>
      <c r="BE52" s="257">
        <f t="shared" si="9"/>
        <v>0</v>
      </c>
      <c r="BF52" s="59"/>
      <c r="BG52" s="257">
        <f t="shared" si="10"/>
        <v>0</v>
      </c>
      <c r="BH52" s="59"/>
      <c r="BI52" s="257">
        <f t="shared" si="11"/>
        <v>0</v>
      </c>
      <c r="BJ52" s="1" t="s">
        <v>978</v>
      </c>
      <c r="BL52" s="1" t="s">
        <v>457</v>
      </c>
      <c r="BM52" s="1" t="s">
        <v>969</v>
      </c>
    </row>
    <row r="53" spans="1:65" ht="15" customHeight="1">
      <c r="A53" s="250" t="s">
        <v>951</v>
      </c>
      <c r="B53" s="59" t="s">
        <v>341</v>
      </c>
      <c r="C53" s="354" t="s">
        <v>172</v>
      </c>
      <c r="D53" s="424"/>
      <c r="E53" s="357" t="s">
        <v>332</v>
      </c>
      <c r="F53" s="427"/>
      <c r="G53" s="317">
        <v>2026</v>
      </c>
      <c r="H53" s="365" t="s">
        <v>481</v>
      </c>
      <c r="I53" s="315" t="s">
        <v>249</v>
      </c>
      <c r="J53" s="316">
        <v>16</v>
      </c>
      <c r="K53" s="298" t="s">
        <v>335</v>
      </c>
      <c r="L53" s="298" t="s">
        <v>464</v>
      </c>
      <c r="M53" s="300" t="s">
        <v>488</v>
      </c>
      <c r="N53" s="303">
        <v>7.53</v>
      </c>
      <c r="O53" s="303">
        <v>7.53</v>
      </c>
      <c r="P53" s="303">
        <v>7.53</v>
      </c>
      <c r="Q53" s="303">
        <v>7.53</v>
      </c>
      <c r="R53" s="401">
        <v>8.2799999999999994</v>
      </c>
      <c r="S53" s="401">
        <v>8.2799999999999994</v>
      </c>
      <c r="T53" s="401">
        <v>8.2799999999999994</v>
      </c>
      <c r="U53" s="401">
        <v>8.2799999999999994</v>
      </c>
      <c r="V53" s="401">
        <v>8.2799999999999994</v>
      </c>
      <c r="W53" s="401">
        <v>8.2799999999999994</v>
      </c>
      <c r="X53" s="401">
        <v>8.2799999999999994</v>
      </c>
      <c r="Y53" s="401">
        <v>8.2799999999999994</v>
      </c>
      <c r="Z53" s="303">
        <v>0.23</v>
      </c>
      <c r="AA53" s="303">
        <v>0.23</v>
      </c>
      <c r="AB53" s="303">
        <v>0.23</v>
      </c>
      <c r="AC53" s="300">
        <v>0</v>
      </c>
      <c r="AD53" s="401">
        <v>0.37999999999999901</v>
      </c>
      <c r="AE53" s="401">
        <v>0.37999999999999901</v>
      </c>
      <c r="AF53" s="401">
        <v>0.37999999999999901</v>
      </c>
      <c r="AG53" s="401">
        <v>0.37999999999999901</v>
      </c>
      <c r="AH53" s="401">
        <v>0.37999999999999901</v>
      </c>
      <c r="AI53" s="401">
        <v>0.37999999999999901</v>
      </c>
      <c r="AJ53" s="401">
        <v>0.37999999999999901</v>
      </c>
      <c r="AK53" s="401">
        <v>0.37999999999999901</v>
      </c>
      <c r="AL53" s="255"/>
      <c r="AM53" s="254">
        <f t="shared" si="0"/>
        <v>0</v>
      </c>
      <c r="AN53" s="255"/>
      <c r="AO53" s="254">
        <f t="shared" si="1"/>
        <v>0</v>
      </c>
      <c r="AP53" s="255"/>
      <c r="AQ53" s="254">
        <f t="shared" si="2"/>
        <v>0</v>
      </c>
      <c r="AR53" s="256"/>
      <c r="AS53" s="257">
        <f t="shared" si="3"/>
        <v>0</v>
      </c>
      <c r="AT53" s="268"/>
      <c r="AU53" s="257">
        <f t="shared" si="4"/>
        <v>0</v>
      </c>
      <c r="AV53" s="268"/>
      <c r="AW53" s="257">
        <f t="shared" si="5"/>
        <v>0</v>
      </c>
      <c r="AX53" s="268"/>
      <c r="AY53" s="257">
        <f t="shared" si="6"/>
        <v>0</v>
      </c>
      <c r="AZ53" s="268"/>
      <c r="BA53" s="257">
        <f t="shared" si="7"/>
        <v>0</v>
      </c>
      <c r="BB53" s="268"/>
      <c r="BC53" s="257">
        <f t="shared" si="8"/>
        <v>0</v>
      </c>
      <c r="BD53" s="268"/>
      <c r="BE53" s="257">
        <f t="shared" si="9"/>
        <v>0</v>
      </c>
      <c r="BF53" s="59"/>
      <c r="BG53" s="257">
        <f t="shared" si="10"/>
        <v>0</v>
      </c>
      <c r="BH53" s="59"/>
      <c r="BI53" s="257">
        <f t="shared" si="11"/>
        <v>0</v>
      </c>
      <c r="BJ53" s="1" t="s">
        <v>979</v>
      </c>
      <c r="BL53" s="1" t="s">
        <v>457</v>
      </c>
      <c r="BM53" s="1" t="s">
        <v>971</v>
      </c>
    </row>
    <row r="54" spans="1:65" ht="15" customHeight="1">
      <c r="A54" s="250" t="s">
        <v>951</v>
      </c>
      <c r="B54" s="59" t="s">
        <v>341</v>
      </c>
      <c r="C54" s="354" t="s">
        <v>172</v>
      </c>
      <c r="D54" s="424"/>
      <c r="E54" s="357" t="s">
        <v>332</v>
      </c>
      <c r="F54" s="427"/>
      <c r="G54" s="317">
        <v>2026</v>
      </c>
      <c r="H54" s="365" t="s">
        <v>481</v>
      </c>
      <c r="I54" s="315" t="s">
        <v>249</v>
      </c>
      <c r="J54" s="316">
        <v>16</v>
      </c>
      <c r="K54" s="298" t="s">
        <v>335</v>
      </c>
      <c r="L54" s="298" t="s">
        <v>464</v>
      </c>
      <c r="M54" s="300" t="s">
        <v>488</v>
      </c>
      <c r="N54" s="303">
        <v>7.53</v>
      </c>
      <c r="O54" s="303">
        <v>7.53</v>
      </c>
      <c r="P54" s="303">
        <v>7.53</v>
      </c>
      <c r="Q54" s="303">
        <v>7.53</v>
      </c>
      <c r="R54" s="401">
        <v>8.2799999999999994</v>
      </c>
      <c r="S54" s="401">
        <v>8.2799999999999994</v>
      </c>
      <c r="T54" s="401">
        <v>8.2799999999999994</v>
      </c>
      <c r="U54" s="401">
        <v>8.2799999999999994</v>
      </c>
      <c r="V54" s="401">
        <v>8.2799999999999994</v>
      </c>
      <c r="W54" s="401">
        <v>8.2799999999999994</v>
      </c>
      <c r="X54" s="401">
        <v>8.2799999999999994</v>
      </c>
      <c r="Y54" s="401">
        <v>8.2799999999999994</v>
      </c>
      <c r="Z54" s="303">
        <v>0.23</v>
      </c>
      <c r="AA54" s="303">
        <v>0.23</v>
      </c>
      <c r="AB54" s="303">
        <v>0.23</v>
      </c>
      <c r="AC54" s="300">
        <v>0</v>
      </c>
      <c r="AD54" s="401">
        <v>0.37999999999999901</v>
      </c>
      <c r="AE54" s="401">
        <v>0.37999999999999901</v>
      </c>
      <c r="AF54" s="401">
        <v>0.37999999999999901</v>
      </c>
      <c r="AG54" s="401">
        <v>0.37999999999999901</v>
      </c>
      <c r="AH54" s="401">
        <v>0.37999999999999901</v>
      </c>
      <c r="AI54" s="401">
        <v>0.37999999999999901</v>
      </c>
      <c r="AJ54" s="401">
        <v>0.37999999999999901</v>
      </c>
      <c r="AK54" s="401">
        <v>0.37999999999999901</v>
      </c>
      <c r="AL54" s="255"/>
      <c r="AM54" s="254">
        <f t="shared" si="0"/>
        <v>0</v>
      </c>
      <c r="AN54" s="255"/>
      <c r="AO54" s="254">
        <f t="shared" si="1"/>
        <v>0</v>
      </c>
      <c r="AP54" s="255"/>
      <c r="AQ54" s="254">
        <f t="shared" si="2"/>
        <v>0</v>
      </c>
      <c r="AR54" s="256"/>
      <c r="AS54" s="257">
        <f t="shared" si="3"/>
        <v>0</v>
      </c>
      <c r="AT54" s="268"/>
      <c r="AU54" s="257">
        <f t="shared" si="4"/>
        <v>0</v>
      </c>
      <c r="AV54" s="268"/>
      <c r="AW54" s="257">
        <f t="shared" si="5"/>
        <v>0</v>
      </c>
      <c r="AX54" s="268"/>
      <c r="AY54" s="257">
        <f t="shared" si="6"/>
        <v>0</v>
      </c>
      <c r="AZ54" s="268"/>
      <c r="BA54" s="257">
        <f t="shared" si="7"/>
        <v>0</v>
      </c>
      <c r="BB54" s="268"/>
      <c r="BC54" s="257">
        <f t="shared" si="8"/>
        <v>0</v>
      </c>
      <c r="BD54" s="268"/>
      <c r="BE54" s="257">
        <f t="shared" si="9"/>
        <v>0</v>
      </c>
      <c r="BF54" s="59"/>
      <c r="BG54" s="257">
        <f t="shared" si="10"/>
        <v>0</v>
      </c>
      <c r="BH54" s="59"/>
      <c r="BI54" s="257">
        <f t="shared" si="11"/>
        <v>0</v>
      </c>
      <c r="BJ54" s="1" t="s">
        <v>980</v>
      </c>
      <c r="BK54" s="1" t="s">
        <v>462</v>
      </c>
      <c r="BL54" s="1" t="s">
        <v>457</v>
      </c>
      <c r="BM54" s="1" t="s">
        <v>973</v>
      </c>
    </row>
    <row r="55" spans="1:65" ht="15" customHeight="1">
      <c r="A55" s="250" t="s">
        <v>951</v>
      </c>
      <c r="B55" s="59" t="s">
        <v>341</v>
      </c>
      <c r="C55" s="354" t="s">
        <v>172</v>
      </c>
      <c r="D55" s="424"/>
      <c r="E55" s="357" t="s">
        <v>332</v>
      </c>
      <c r="F55" s="427"/>
      <c r="G55" s="317">
        <v>2026</v>
      </c>
      <c r="H55" s="366" t="s">
        <v>481</v>
      </c>
      <c r="I55" s="315" t="s">
        <v>175</v>
      </c>
      <c r="J55" s="316">
        <v>16</v>
      </c>
      <c r="K55" s="298" t="s">
        <v>335</v>
      </c>
      <c r="L55" s="298" t="s">
        <v>464</v>
      </c>
      <c r="M55" s="300" t="s">
        <v>488</v>
      </c>
      <c r="N55" s="303">
        <v>5.2</v>
      </c>
      <c r="O55" s="303">
        <v>5.2</v>
      </c>
      <c r="P55" s="303">
        <v>5.08</v>
      </c>
      <c r="Q55" s="303">
        <v>5.08</v>
      </c>
      <c r="R55" s="401">
        <v>5.83</v>
      </c>
      <c r="S55" s="401">
        <v>5.83</v>
      </c>
      <c r="T55" s="401">
        <v>5.83</v>
      </c>
      <c r="U55" s="401">
        <v>5.83</v>
      </c>
      <c r="V55" s="401">
        <v>5.83</v>
      </c>
      <c r="W55" s="401">
        <v>5.83</v>
      </c>
      <c r="X55" s="401">
        <v>5.83</v>
      </c>
      <c r="Y55" s="401">
        <v>5.83</v>
      </c>
      <c r="Z55" s="303">
        <v>0.43</v>
      </c>
      <c r="AA55" s="303">
        <v>0.43</v>
      </c>
      <c r="AB55" s="303">
        <v>0.33</v>
      </c>
      <c r="AC55" s="300">
        <v>0</v>
      </c>
      <c r="AD55" s="401">
        <v>0.48000000000000043</v>
      </c>
      <c r="AE55" s="401">
        <v>0.48000000000000043</v>
      </c>
      <c r="AF55" s="401">
        <v>0.48000000000000043</v>
      </c>
      <c r="AG55" s="401">
        <v>0.48000000000000043</v>
      </c>
      <c r="AH55" s="401">
        <v>0.48000000000000043</v>
      </c>
      <c r="AI55" s="401">
        <v>0.48000000000000043</v>
      </c>
      <c r="AJ55" s="401">
        <v>0.48000000000000043</v>
      </c>
      <c r="AK55" s="401">
        <v>0.48000000000000043</v>
      </c>
      <c r="AL55" s="255"/>
      <c r="AM55" s="254">
        <f t="shared" si="0"/>
        <v>0</v>
      </c>
      <c r="AN55" s="255"/>
      <c r="AO55" s="254">
        <f t="shared" si="1"/>
        <v>0</v>
      </c>
      <c r="AP55" s="255"/>
      <c r="AQ55" s="254">
        <f t="shared" si="2"/>
        <v>0</v>
      </c>
      <c r="AR55" s="256"/>
      <c r="AS55" s="257">
        <f t="shared" si="3"/>
        <v>0</v>
      </c>
      <c r="AT55" s="268"/>
      <c r="AU55" s="257">
        <f t="shared" si="4"/>
        <v>0</v>
      </c>
      <c r="AV55" s="268"/>
      <c r="AW55" s="257">
        <f t="shared" si="5"/>
        <v>0</v>
      </c>
      <c r="AX55" s="268"/>
      <c r="AY55" s="257">
        <f t="shared" si="6"/>
        <v>0</v>
      </c>
      <c r="AZ55" s="268"/>
      <c r="BA55" s="257">
        <f t="shared" si="7"/>
        <v>0</v>
      </c>
      <c r="BB55" s="268"/>
      <c r="BC55" s="257">
        <f t="shared" si="8"/>
        <v>0</v>
      </c>
      <c r="BD55" s="268"/>
      <c r="BE55" s="257">
        <f t="shared" si="9"/>
        <v>0</v>
      </c>
      <c r="BF55" s="59"/>
      <c r="BG55" s="257">
        <f t="shared" si="10"/>
        <v>0</v>
      </c>
      <c r="BH55" s="59"/>
      <c r="BI55" s="257">
        <f t="shared" si="11"/>
        <v>0</v>
      </c>
      <c r="BJ55" s="1" t="s">
        <v>981</v>
      </c>
      <c r="BL55" s="1" t="s">
        <v>457</v>
      </c>
      <c r="BM55" s="1" t="s">
        <v>975</v>
      </c>
    </row>
    <row r="56" spans="1:65" ht="15" customHeight="1">
      <c r="A56" s="250" t="s">
        <v>951</v>
      </c>
      <c r="B56" s="59" t="s">
        <v>341</v>
      </c>
      <c r="C56" s="354" t="s">
        <v>172</v>
      </c>
      <c r="D56" s="424"/>
      <c r="E56" s="357" t="s">
        <v>332</v>
      </c>
      <c r="F56" s="427"/>
      <c r="G56" s="317">
        <v>2026</v>
      </c>
      <c r="H56" s="298" t="s">
        <v>473</v>
      </c>
      <c r="I56" s="315" t="s">
        <v>249</v>
      </c>
      <c r="J56" s="316">
        <v>14</v>
      </c>
      <c r="K56" s="298" t="s">
        <v>335</v>
      </c>
      <c r="L56" s="298" t="s">
        <v>336</v>
      </c>
      <c r="M56" s="300" t="s">
        <v>474</v>
      </c>
      <c r="N56" s="303">
        <v>7.22</v>
      </c>
      <c r="O56" s="303">
        <v>7.22</v>
      </c>
      <c r="P56" s="303">
        <v>7.22</v>
      </c>
      <c r="Q56" s="303">
        <v>7.22</v>
      </c>
      <c r="R56" s="401">
        <v>7.77</v>
      </c>
      <c r="S56" s="401">
        <v>7.77</v>
      </c>
      <c r="T56" s="401">
        <v>7.77</v>
      </c>
      <c r="U56" s="401">
        <v>7.77</v>
      </c>
      <c r="V56" s="401">
        <v>7.77</v>
      </c>
      <c r="W56" s="401">
        <v>7.77</v>
      </c>
      <c r="X56" s="401">
        <v>7.77</v>
      </c>
      <c r="Y56" s="401">
        <v>7.77</v>
      </c>
      <c r="Z56" s="303">
        <v>0.24</v>
      </c>
      <c r="AA56" s="303">
        <v>0.24</v>
      </c>
      <c r="AB56" s="303">
        <v>0.24</v>
      </c>
      <c r="AC56" s="300">
        <v>0</v>
      </c>
      <c r="AD56" s="401">
        <v>0.29000000000000004</v>
      </c>
      <c r="AE56" s="401">
        <v>0.29000000000000004</v>
      </c>
      <c r="AF56" s="401">
        <v>0.29000000000000004</v>
      </c>
      <c r="AG56" s="401">
        <v>0.29000000000000004</v>
      </c>
      <c r="AH56" s="401">
        <v>0.29000000000000004</v>
      </c>
      <c r="AI56" s="401">
        <v>0.29000000000000004</v>
      </c>
      <c r="AJ56" s="401">
        <v>0.29000000000000004</v>
      </c>
      <c r="AK56" s="401">
        <v>0.29000000000000004</v>
      </c>
      <c r="AL56" s="255"/>
      <c r="AM56" s="254">
        <f t="shared" si="0"/>
        <v>0</v>
      </c>
      <c r="AN56" s="255"/>
      <c r="AO56" s="254">
        <f t="shared" si="1"/>
        <v>0</v>
      </c>
      <c r="AP56" s="255"/>
      <c r="AQ56" s="254">
        <f t="shared" si="2"/>
        <v>0</v>
      </c>
      <c r="AR56" s="256">
        <v>1520</v>
      </c>
      <c r="AS56" s="257">
        <f t="shared" si="3"/>
        <v>0</v>
      </c>
      <c r="AT56" s="268">
        <v>800</v>
      </c>
      <c r="AU56" s="257">
        <f t="shared" si="4"/>
        <v>232.00000000000003</v>
      </c>
      <c r="AV56" s="268"/>
      <c r="AW56" s="257">
        <f t="shared" si="5"/>
        <v>0</v>
      </c>
      <c r="AX56" s="268"/>
      <c r="AY56" s="257">
        <f t="shared" si="6"/>
        <v>0</v>
      </c>
      <c r="AZ56" s="268"/>
      <c r="BA56" s="257">
        <f t="shared" si="7"/>
        <v>0</v>
      </c>
      <c r="BB56" s="268"/>
      <c r="BC56" s="257">
        <f t="shared" si="8"/>
        <v>0</v>
      </c>
      <c r="BD56" s="268"/>
      <c r="BE56" s="257">
        <f t="shared" si="9"/>
        <v>0</v>
      </c>
      <c r="BF56" s="59"/>
      <c r="BG56" s="257">
        <f t="shared" si="10"/>
        <v>0</v>
      </c>
      <c r="BH56" s="59"/>
      <c r="BI56" s="257">
        <f t="shared" si="11"/>
        <v>0</v>
      </c>
      <c r="BJ56" s="1" t="s">
        <v>982</v>
      </c>
      <c r="BK56" s="1" t="s">
        <v>496</v>
      </c>
      <c r="BL56" s="1" t="s">
        <v>457</v>
      </c>
      <c r="BM56" s="1" t="s">
        <v>965</v>
      </c>
    </row>
    <row r="57" spans="1:65" ht="15" customHeight="1">
      <c r="A57" s="250" t="s">
        <v>951</v>
      </c>
      <c r="B57" s="59" t="s">
        <v>341</v>
      </c>
      <c r="C57" s="354" t="s">
        <v>172</v>
      </c>
      <c r="D57" s="424"/>
      <c r="E57" s="357" t="s">
        <v>332</v>
      </c>
      <c r="F57" s="427"/>
      <c r="G57" s="317">
        <v>2026</v>
      </c>
      <c r="H57" s="298" t="s">
        <v>473</v>
      </c>
      <c r="I57" s="315" t="s">
        <v>249</v>
      </c>
      <c r="J57" s="316">
        <v>14</v>
      </c>
      <c r="K57" s="298" t="s">
        <v>335</v>
      </c>
      <c r="L57" s="298" t="s">
        <v>336</v>
      </c>
      <c r="M57" s="300" t="s">
        <v>474</v>
      </c>
      <c r="N57" s="303">
        <v>7.22</v>
      </c>
      <c r="O57" s="303">
        <v>7.22</v>
      </c>
      <c r="P57" s="303">
        <v>7.22</v>
      </c>
      <c r="Q57" s="303">
        <v>7.22</v>
      </c>
      <c r="R57" s="401">
        <v>7.77</v>
      </c>
      <c r="S57" s="401">
        <v>7.77</v>
      </c>
      <c r="T57" s="401">
        <v>7.77</v>
      </c>
      <c r="U57" s="401">
        <v>7.77</v>
      </c>
      <c r="V57" s="401">
        <v>7.77</v>
      </c>
      <c r="W57" s="401">
        <v>7.77</v>
      </c>
      <c r="X57" s="401">
        <v>7.77</v>
      </c>
      <c r="Y57" s="401">
        <v>7.77</v>
      </c>
      <c r="Z57" s="303">
        <v>0.24</v>
      </c>
      <c r="AA57" s="303">
        <v>0.24</v>
      </c>
      <c r="AB57" s="303">
        <v>0.24</v>
      </c>
      <c r="AC57" s="300">
        <v>0</v>
      </c>
      <c r="AD57" s="401">
        <v>0.29000000000000004</v>
      </c>
      <c r="AE57" s="401">
        <v>0.29000000000000004</v>
      </c>
      <c r="AF57" s="401">
        <v>0.29000000000000004</v>
      </c>
      <c r="AG57" s="401">
        <v>0.29000000000000004</v>
      </c>
      <c r="AH57" s="401">
        <v>0.29000000000000004</v>
      </c>
      <c r="AI57" s="401">
        <v>0.29000000000000004</v>
      </c>
      <c r="AJ57" s="401">
        <v>0.29000000000000004</v>
      </c>
      <c r="AK57" s="401">
        <v>0.29000000000000004</v>
      </c>
      <c r="AL57" s="255"/>
      <c r="AM57" s="254">
        <f t="shared" si="0"/>
        <v>0</v>
      </c>
      <c r="AN57" s="255"/>
      <c r="AO57" s="254">
        <f t="shared" si="1"/>
        <v>0</v>
      </c>
      <c r="AP57" s="255"/>
      <c r="AQ57" s="254">
        <f t="shared" si="2"/>
        <v>0</v>
      </c>
      <c r="AR57" s="256">
        <v>70</v>
      </c>
      <c r="AS57" s="257">
        <f t="shared" si="3"/>
        <v>0</v>
      </c>
      <c r="AT57" s="268">
        <v>320</v>
      </c>
      <c r="AU57" s="257">
        <f t="shared" si="4"/>
        <v>92.800000000000011</v>
      </c>
      <c r="AV57" s="268"/>
      <c r="AW57" s="257">
        <f t="shared" si="5"/>
        <v>0</v>
      </c>
      <c r="AX57" s="268"/>
      <c r="AY57" s="257">
        <f t="shared" si="6"/>
        <v>0</v>
      </c>
      <c r="AZ57" s="268"/>
      <c r="BA57" s="257">
        <f t="shared" si="7"/>
        <v>0</v>
      </c>
      <c r="BB57" s="268"/>
      <c r="BC57" s="257">
        <f t="shared" si="8"/>
        <v>0</v>
      </c>
      <c r="BD57" s="268"/>
      <c r="BE57" s="257">
        <f t="shared" si="9"/>
        <v>0</v>
      </c>
      <c r="BF57" s="59"/>
      <c r="BG57" s="257">
        <f t="shared" si="10"/>
        <v>0</v>
      </c>
      <c r="BH57" s="59"/>
      <c r="BI57" s="257">
        <f t="shared" si="11"/>
        <v>0</v>
      </c>
      <c r="BJ57" s="1" t="s">
        <v>983</v>
      </c>
      <c r="BK57" s="1" t="s">
        <v>496</v>
      </c>
      <c r="BL57" s="1" t="s">
        <v>457</v>
      </c>
      <c r="BM57" s="1" t="s">
        <v>967</v>
      </c>
    </row>
    <row r="58" spans="1:65" ht="15" customHeight="1">
      <c r="A58" s="250" t="s">
        <v>951</v>
      </c>
      <c r="B58" s="59" t="s">
        <v>341</v>
      </c>
      <c r="C58" s="354" t="s">
        <v>172</v>
      </c>
      <c r="D58" s="424"/>
      <c r="E58" s="357" t="s">
        <v>332</v>
      </c>
      <c r="F58" s="427"/>
      <c r="G58" s="317">
        <v>2026</v>
      </c>
      <c r="H58" s="298" t="s">
        <v>473</v>
      </c>
      <c r="I58" s="315" t="s">
        <v>175</v>
      </c>
      <c r="J58" s="316">
        <v>14</v>
      </c>
      <c r="K58" s="298" t="s">
        <v>335</v>
      </c>
      <c r="L58" s="298" t="s">
        <v>336</v>
      </c>
      <c r="M58" s="300" t="s">
        <v>474</v>
      </c>
      <c r="N58" s="303">
        <v>4.84</v>
      </c>
      <c r="O58" s="303">
        <v>4.84</v>
      </c>
      <c r="P58" s="303">
        <v>4.7699999999999996</v>
      </c>
      <c r="Q58" s="303">
        <v>4.7699999999999996</v>
      </c>
      <c r="R58" s="401">
        <v>5.27</v>
      </c>
      <c r="S58" s="401">
        <v>5.27</v>
      </c>
      <c r="T58" s="401">
        <v>5.27</v>
      </c>
      <c r="U58" s="401">
        <v>5.27</v>
      </c>
      <c r="V58" s="401">
        <v>5.27</v>
      </c>
      <c r="W58" s="401">
        <v>5.27</v>
      </c>
      <c r="X58" s="401">
        <v>5.27</v>
      </c>
      <c r="Y58" s="401">
        <v>5.27</v>
      </c>
      <c r="Z58" s="303">
        <v>0.37</v>
      </c>
      <c r="AA58" s="303">
        <v>0.37</v>
      </c>
      <c r="AB58" s="303">
        <v>0.35</v>
      </c>
      <c r="AC58" s="300">
        <v>0</v>
      </c>
      <c r="AD58" s="401">
        <v>0.34999999999999964</v>
      </c>
      <c r="AE58" s="401">
        <v>0.34999999999999964</v>
      </c>
      <c r="AF58" s="401">
        <v>0.34999999999999964</v>
      </c>
      <c r="AG58" s="401">
        <v>0.34999999999999964</v>
      </c>
      <c r="AH58" s="401">
        <v>0.34999999999999964</v>
      </c>
      <c r="AI58" s="401">
        <v>0.34999999999999964</v>
      </c>
      <c r="AJ58" s="401">
        <v>0.34999999999999964</v>
      </c>
      <c r="AK58" s="401">
        <v>0.34999999999999964</v>
      </c>
      <c r="AL58" s="255"/>
      <c r="AM58" s="254">
        <f t="shared" si="0"/>
        <v>0</v>
      </c>
      <c r="AN58" s="255"/>
      <c r="AO58" s="254">
        <f t="shared" si="1"/>
        <v>0</v>
      </c>
      <c r="AP58" s="255"/>
      <c r="AQ58" s="254">
        <f t="shared" si="2"/>
        <v>0</v>
      </c>
      <c r="AR58" s="256">
        <v>90</v>
      </c>
      <c r="AS58" s="257">
        <f t="shared" si="3"/>
        <v>0</v>
      </c>
      <c r="AT58" s="268">
        <v>140</v>
      </c>
      <c r="AU58" s="257">
        <f t="shared" si="4"/>
        <v>48.99999999999995</v>
      </c>
      <c r="AV58" s="268"/>
      <c r="AW58" s="257">
        <f t="shared" si="5"/>
        <v>0</v>
      </c>
      <c r="AX58" s="268"/>
      <c r="AY58" s="257">
        <f t="shared" si="6"/>
        <v>0</v>
      </c>
      <c r="AZ58" s="268"/>
      <c r="BA58" s="257">
        <f t="shared" si="7"/>
        <v>0</v>
      </c>
      <c r="BB58" s="268"/>
      <c r="BC58" s="257">
        <f t="shared" si="8"/>
        <v>0</v>
      </c>
      <c r="BD58" s="268"/>
      <c r="BE58" s="257">
        <f t="shared" si="9"/>
        <v>0</v>
      </c>
      <c r="BF58" s="59"/>
      <c r="BG58" s="257">
        <f t="shared" si="10"/>
        <v>0</v>
      </c>
      <c r="BH58" s="59"/>
      <c r="BI58" s="257">
        <f t="shared" si="11"/>
        <v>0</v>
      </c>
      <c r="BJ58" s="1" t="s">
        <v>984</v>
      </c>
      <c r="BK58" s="1" t="s">
        <v>496</v>
      </c>
      <c r="BL58" s="1" t="s">
        <v>457</v>
      </c>
      <c r="BM58" s="1" t="s">
        <v>969</v>
      </c>
    </row>
    <row r="59" spans="1:65" ht="15" customHeight="1">
      <c r="A59" s="250" t="s">
        <v>951</v>
      </c>
      <c r="B59" s="59" t="s">
        <v>341</v>
      </c>
      <c r="C59" s="354" t="s">
        <v>172</v>
      </c>
      <c r="D59" s="424"/>
      <c r="E59" s="357" t="s">
        <v>332</v>
      </c>
      <c r="F59" s="427"/>
      <c r="G59" s="317">
        <v>2026</v>
      </c>
      <c r="H59" s="365" t="s">
        <v>481</v>
      </c>
      <c r="I59" s="315" t="s">
        <v>249</v>
      </c>
      <c r="J59" s="316">
        <v>16</v>
      </c>
      <c r="K59" s="298" t="s">
        <v>335</v>
      </c>
      <c r="L59" s="298" t="s">
        <v>336</v>
      </c>
      <c r="M59" s="300" t="s">
        <v>474</v>
      </c>
      <c r="N59" s="303">
        <v>7.55</v>
      </c>
      <c r="O59" s="303">
        <v>7.55</v>
      </c>
      <c r="P59" s="303">
        <v>7.55</v>
      </c>
      <c r="Q59" s="303">
        <v>7.55</v>
      </c>
      <c r="R59" s="401">
        <v>8.3000000000000007</v>
      </c>
      <c r="S59" s="401">
        <v>8.3000000000000007</v>
      </c>
      <c r="T59" s="401">
        <v>8.3000000000000007</v>
      </c>
      <c r="U59" s="401">
        <v>8.3000000000000007</v>
      </c>
      <c r="V59" s="401">
        <v>8.3000000000000007</v>
      </c>
      <c r="W59" s="401">
        <v>8.3000000000000007</v>
      </c>
      <c r="X59" s="401">
        <v>8.3000000000000007</v>
      </c>
      <c r="Y59" s="401">
        <v>8.3000000000000007</v>
      </c>
      <c r="Z59" s="303">
        <v>0.23</v>
      </c>
      <c r="AA59" s="303">
        <v>0.23</v>
      </c>
      <c r="AB59" s="303">
        <v>0.23</v>
      </c>
      <c r="AC59" s="300">
        <v>0</v>
      </c>
      <c r="AD59" s="401">
        <v>0.37999999999999901</v>
      </c>
      <c r="AE59" s="401">
        <v>0.37999999999999901</v>
      </c>
      <c r="AF59" s="401">
        <v>0.37999999999999901</v>
      </c>
      <c r="AG59" s="401">
        <v>0.37999999999999901</v>
      </c>
      <c r="AH59" s="401">
        <v>0.37999999999999901</v>
      </c>
      <c r="AI59" s="401">
        <v>0.37999999999999901</v>
      </c>
      <c r="AJ59" s="401">
        <v>0.37999999999999901</v>
      </c>
      <c r="AK59" s="401">
        <v>0.37999999999999901</v>
      </c>
      <c r="AL59" s="255"/>
      <c r="AM59" s="254">
        <f t="shared" si="0"/>
        <v>0</v>
      </c>
      <c r="AN59" s="255"/>
      <c r="AO59" s="254">
        <f t="shared" si="1"/>
        <v>0</v>
      </c>
      <c r="AP59" s="255"/>
      <c r="AQ59" s="254">
        <f t="shared" si="2"/>
        <v>0</v>
      </c>
      <c r="AR59" s="256">
        <v>280</v>
      </c>
      <c r="AS59" s="257">
        <f t="shared" si="3"/>
        <v>0</v>
      </c>
      <c r="AT59" s="268">
        <v>1200</v>
      </c>
      <c r="AU59" s="257">
        <f t="shared" si="4"/>
        <v>455.99999999999881</v>
      </c>
      <c r="AV59" s="268"/>
      <c r="AW59" s="257">
        <f t="shared" si="5"/>
        <v>0</v>
      </c>
      <c r="AX59" s="268"/>
      <c r="AY59" s="257">
        <f t="shared" si="6"/>
        <v>0</v>
      </c>
      <c r="AZ59" s="268"/>
      <c r="BA59" s="257">
        <f t="shared" si="7"/>
        <v>0</v>
      </c>
      <c r="BB59" s="268"/>
      <c r="BC59" s="257">
        <f t="shared" si="8"/>
        <v>0</v>
      </c>
      <c r="BD59" s="268"/>
      <c r="BE59" s="257">
        <f t="shared" si="9"/>
        <v>0</v>
      </c>
      <c r="BF59" s="59"/>
      <c r="BG59" s="257">
        <f t="shared" si="10"/>
        <v>0</v>
      </c>
      <c r="BH59" s="59"/>
      <c r="BI59" s="257">
        <f t="shared" si="11"/>
        <v>0</v>
      </c>
      <c r="BJ59" s="1" t="s">
        <v>985</v>
      </c>
      <c r="BK59" s="1" t="s">
        <v>496</v>
      </c>
      <c r="BL59" s="1" t="s">
        <v>457</v>
      </c>
      <c r="BM59" s="1" t="s">
        <v>971</v>
      </c>
    </row>
    <row r="60" spans="1:65" ht="15" customHeight="1">
      <c r="A60" s="250" t="s">
        <v>951</v>
      </c>
      <c r="B60" s="59" t="s">
        <v>341</v>
      </c>
      <c r="C60" s="354" t="s">
        <v>172</v>
      </c>
      <c r="D60" s="424"/>
      <c r="E60" s="357" t="s">
        <v>332</v>
      </c>
      <c r="F60" s="427"/>
      <c r="G60" s="317">
        <v>2026</v>
      </c>
      <c r="H60" s="365" t="s">
        <v>481</v>
      </c>
      <c r="I60" s="315" t="s">
        <v>249</v>
      </c>
      <c r="J60" s="316">
        <v>16</v>
      </c>
      <c r="K60" s="298" t="s">
        <v>335</v>
      </c>
      <c r="L60" s="298" t="s">
        <v>336</v>
      </c>
      <c r="M60" s="300" t="s">
        <v>474</v>
      </c>
      <c r="N60" s="303">
        <v>7.55</v>
      </c>
      <c r="O60" s="303">
        <v>7.55</v>
      </c>
      <c r="P60" s="303">
        <v>7.55</v>
      </c>
      <c r="Q60" s="303">
        <v>7.55</v>
      </c>
      <c r="R60" s="401">
        <v>8.3000000000000007</v>
      </c>
      <c r="S60" s="401">
        <v>8.3000000000000007</v>
      </c>
      <c r="T60" s="401">
        <v>8.3000000000000007</v>
      </c>
      <c r="U60" s="401">
        <v>8.3000000000000007</v>
      </c>
      <c r="V60" s="401">
        <v>8.3000000000000007</v>
      </c>
      <c r="W60" s="401">
        <v>8.3000000000000007</v>
      </c>
      <c r="X60" s="401">
        <v>8.3000000000000007</v>
      </c>
      <c r="Y60" s="401">
        <v>8.3000000000000007</v>
      </c>
      <c r="Z60" s="303">
        <v>0.23</v>
      </c>
      <c r="AA60" s="303">
        <v>0.23</v>
      </c>
      <c r="AB60" s="303">
        <v>0.23</v>
      </c>
      <c r="AC60" s="300">
        <v>0</v>
      </c>
      <c r="AD60" s="401">
        <v>0.37999999999999901</v>
      </c>
      <c r="AE60" s="401">
        <v>0.37999999999999901</v>
      </c>
      <c r="AF60" s="401">
        <v>0.37999999999999901</v>
      </c>
      <c r="AG60" s="401">
        <v>0.37999999999999901</v>
      </c>
      <c r="AH60" s="401">
        <v>0.37999999999999901</v>
      </c>
      <c r="AI60" s="401">
        <v>0.37999999999999901</v>
      </c>
      <c r="AJ60" s="401">
        <v>0.37999999999999901</v>
      </c>
      <c r="AK60" s="401">
        <v>0.37999999999999901</v>
      </c>
      <c r="AL60" s="255"/>
      <c r="AM60" s="254">
        <f t="shared" si="0"/>
        <v>0</v>
      </c>
      <c r="AN60" s="255"/>
      <c r="AO60" s="254">
        <f t="shared" si="1"/>
        <v>0</v>
      </c>
      <c r="AP60" s="255"/>
      <c r="AQ60" s="254">
        <f t="shared" si="2"/>
        <v>0</v>
      </c>
      <c r="AR60" s="256"/>
      <c r="AS60" s="257">
        <f t="shared" si="3"/>
        <v>0</v>
      </c>
      <c r="AT60" s="268"/>
      <c r="AU60" s="257">
        <f t="shared" si="4"/>
        <v>0</v>
      </c>
      <c r="AV60" s="268"/>
      <c r="AW60" s="257">
        <f t="shared" si="5"/>
        <v>0</v>
      </c>
      <c r="AX60" s="268"/>
      <c r="AY60" s="257">
        <f t="shared" si="6"/>
        <v>0</v>
      </c>
      <c r="AZ60" s="268"/>
      <c r="BA60" s="257">
        <f t="shared" si="7"/>
        <v>0</v>
      </c>
      <c r="BB60" s="268"/>
      <c r="BC60" s="257">
        <f t="shared" si="8"/>
        <v>0</v>
      </c>
      <c r="BD60" s="268"/>
      <c r="BE60" s="257">
        <f t="shared" si="9"/>
        <v>0</v>
      </c>
      <c r="BF60" s="59"/>
      <c r="BG60" s="257">
        <f t="shared" si="10"/>
        <v>0</v>
      </c>
      <c r="BH60" s="59"/>
      <c r="BI60" s="257">
        <f t="shared" si="11"/>
        <v>0</v>
      </c>
      <c r="BJ60" s="1" t="s">
        <v>986</v>
      </c>
      <c r="BK60" s="1" t="s">
        <v>496</v>
      </c>
      <c r="BL60" s="1" t="s">
        <v>457</v>
      </c>
      <c r="BM60" s="1" t="s">
        <v>973</v>
      </c>
    </row>
    <row r="61" spans="1:65" ht="15" customHeight="1">
      <c r="A61" s="250" t="s">
        <v>951</v>
      </c>
      <c r="B61" s="59" t="s">
        <v>341</v>
      </c>
      <c r="C61" s="354" t="s">
        <v>172</v>
      </c>
      <c r="D61" s="424"/>
      <c r="E61" s="357" t="s">
        <v>332</v>
      </c>
      <c r="F61" s="427"/>
      <c r="G61" s="317">
        <v>2026</v>
      </c>
      <c r="H61" s="366" t="s">
        <v>481</v>
      </c>
      <c r="I61" s="315" t="s">
        <v>175</v>
      </c>
      <c r="J61" s="316">
        <v>16</v>
      </c>
      <c r="K61" s="298" t="s">
        <v>335</v>
      </c>
      <c r="L61" s="298" t="s">
        <v>336</v>
      </c>
      <c r="M61" s="300" t="s">
        <v>474</v>
      </c>
      <c r="N61" s="303">
        <v>5.22</v>
      </c>
      <c r="O61" s="303">
        <v>5.22</v>
      </c>
      <c r="P61" s="303">
        <v>5.0999999999999996</v>
      </c>
      <c r="Q61" s="303">
        <v>5.0999999999999996</v>
      </c>
      <c r="R61" s="401">
        <v>5.85</v>
      </c>
      <c r="S61" s="401">
        <v>5.85</v>
      </c>
      <c r="T61" s="401">
        <v>5.85</v>
      </c>
      <c r="U61" s="401">
        <v>5.85</v>
      </c>
      <c r="V61" s="401">
        <v>5.85</v>
      </c>
      <c r="W61" s="401">
        <v>5.85</v>
      </c>
      <c r="X61" s="401">
        <v>5.85</v>
      </c>
      <c r="Y61" s="401">
        <v>5.85</v>
      </c>
      <c r="Z61" s="303">
        <v>0.43</v>
      </c>
      <c r="AA61" s="303">
        <v>0.43</v>
      </c>
      <c r="AB61" s="303">
        <v>0.33</v>
      </c>
      <c r="AC61" s="300">
        <v>0</v>
      </c>
      <c r="AD61" s="401">
        <v>0.48000000000000043</v>
      </c>
      <c r="AE61" s="401">
        <v>0.48000000000000043</v>
      </c>
      <c r="AF61" s="401">
        <v>0.48000000000000043</v>
      </c>
      <c r="AG61" s="401">
        <v>0.48000000000000043</v>
      </c>
      <c r="AH61" s="401">
        <v>0.48000000000000043</v>
      </c>
      <c r="AI61" s="401">
        <v>0.48000000000000043</v>
      </c>
      <c r="AJ61" s="401">
        <v>0.48000000000000043</v>
      </c>
      <c r="AK61" s="401">
        <v>0.48000000000000043</v>
      </c>
      <c r="AL61" s="255"/>
      <c r="AM61" s="254">
        <f t="shared" si="0"/>
        <v>0</v>
      </c>
      <c r="AN61" s="255"/>
      <c r="AO61" s="254">
        <f t="shared" si="1"/>
        <v>0</v>
      </c>
      <c r="AP61" s="255"/>
      <c r="AQ61" s="254">
        <f t="shared" si="2"/>
        <v>0</v>
      </c>
      <c r="AR61" s="256"/>
      <c r="AS61" s="257">
        <f t="shared" si="3"/>
        <v>0</v>
      </c>
      <c r="AT61" s="268"/>
      <c r="AU61" s="257">
        <f t="shared" si="4"/>
        <v>0</v>
      </c>
      <c r="AV61" s="268"/>
      <c r="AW61" s="257">
        <f t="shared" si="5"/>
        <v>0</v>
      </c>
      <c r="AX61" s="268"/>
      <c r="AY61" s="257">
        <f t="shared" si="6"/>
        <v>0</v>
      </c>
      <c r="AZ61" s="268"/>
      <c r="BA61" s="257">
        <f t="shared" si="7"/>
        <v>0</v>
      </c>
      <c r="BB61" s="268"/>
      <c r="BC61" s="257">
        <f t="shared" si="8"/>
        <v>0</v>
      </c>
      <c r="BD61" s="268"/>
      <c r="BE61" s="257">
        <f t="shared" si="9"/>
        <v>0</v>
      </c>
      <c r="BF61" s="59"/>
      <c r="BG61" s="257">
        <f t="shared" si="10"/>
        <v>0</v>
      </c>
      <c r="BH61" s="59"/>
      <c r="BI61" s="257">
        <f t="shared" si="11"/>
        <v>0</v>
      </c>
      <c r="BJ61" s="1" t="s">
        <v>987</v>
      </c>
      <c r="BK61" s="1" t="s">
        <v>496</v>
      </c>
      <c r="BL61" s="1" t="s">
        <v>457</v>
      </c>
      <c r="BM61" s="1" t="s">
        <v>975</v>
      </c>
    </row>
    <row r="62" spans="1:65" ht="15" customHeight="1">
      <c r="A62" s="250" t="s">
        <v>951</v>
      </c>
      <c r="B62" s="59" t="s">
        <v>341</v>
      </c>
      <c r="C62" s="354" t="s">
        <v>172</v>
      </c>
      <c r="D62" s="424"/>
      <c r="E62" s="357" t="s">
        <v>332</v>
      </c>
      <c r="F62" s="427"/>
      <c r="G62" s="59"/>
      <c r="H62" s="59"/>
      <c r="I62" s="59"/>
      <c r="J62" s="311"/>
      <c r="K62" s="59"/>
      <c r="L62" s="59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255"/>
      <c r="AM62" s="254">
        <f t="shared" si="0"/>
        <v>0</v>
      </c>
      <c r="AN62" s="255"/>
      <c r="AO62" s="254">
        <f t="shared" si="1"/>
        <v>0</v>
      </c>
      <c r="AP62" s="255"/>
      <c r="AQ62" s="254">
        <f t="shared" si="2"/>
        <v>0</v>
      </c>
      <c r="AR62" s="256"/>
      <c r="AS62" s="257">
        <f t="shared" si="3"/>
        <v>0</v>
      </c>
      <c r="AT62" s="268"/>
      <c r="AU62" s="257">
        <f t="shared" si="4"/>
        <v>0</v>
      </c>
      <c r="AV62" s="268"/>
      <c r="AW62" s="257">
        <f t="shared" si="5"/>
        <v>0</v>
      </c>
      <c r="AX62" s="256"/>
      <c r="AY62" s="257">
        <f t="shared" si="6"/>
        <v>0</v>
      </c>
      <c r="AZ62" s="268"/>
      <c r="BA62" s="257">
        <f t="shared" si="7"/>
        <v>0</v>
      </c>
      <c r="BB62" s="268"/>
      <c r="BC62" s="257">
        <f t="shared" si="8"/>
        <v>0</v>
      </c>
      <c r="BD62" s="59"/>
      <c r="BE62" s="257">
        <f t="shared" si="9"/>
        <v>0</v>
      </c>
      <c r="BF62" s="59"/>
      <c r="BG62" s="257">
        <f t="shared" si="10"/>
        <v>0</v>
      </c>
      <c r="BH62" s="59"/>
      <c r="BI62" s="257">
        <f t="shared" si="11"/>
        <v>0</v>
      </c>
    </row>
    <row r="63" spans="1:65" ht="15" customHeight="1">
      <c r="A63" s="250" t="s">
        <v>951</v>
      </c>
      <c r="B63" s="59" t="s">
        <v>341</v>
      </c>
      <c r="C63" s="354" t="s">
        <v>172</v>
      </c>
      <c r="D63" s="424"/>
      <c r="E63" s="357"/>
      <c r="F63" s="427"/>
      <c r="G63" s="59"/>
      <c r="H63" s="59"/>
      <c r="I63" s="59"/>
      <c r="J63" s="311"/>
      <c r="K63" s="59"/>
      <c r="L63" s="59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255"/>
      <c r="AM63" s="254">
        <f t="shared" si="0"/>
        <v>0</v>
      </c>
      <c r="AN63" s="255"/>
      <c r="AO63" s="254">
        <f t="shared" si="1"/>
        <v>0</v>
      </c>
      <c r="AP63" s="255"/>
      <c r="AQ63" s="254">
        <f t="shared" si="2"/>
        <v>0</v>
      </c>
      <c r="AR63" s="256"/>
      <c r="AS63" s="257">
        <f t="shared" si="3"/>
        <v>0</v>
      </c>
      <c r="AT63" s="268"/>
      <c r="AU63" s="257">
        <f t="shared" si="4"/>
        <v>0</v>
      </c>
      <c r="AV63" s="268"/>
      <c r="AW63" s="257">
        <f t="shared" si="5"/>
        <v>0</v>
      </c>
      <c r="AX63" s="256"/>
      <c r="AY63" s="257">
        <f t="shared" si="6"/>
        <v>0</v>
      </c>
      <c r="AZ63" s="268"/>
      <c r="BA63" s="257">
        <f t="shared" si="7"/>
        <v>0</v>
      </c>
      <c r="BB63" s="268"/>
      <c r="BC63" s="257">
        <f t="shared" si="8"/>
        <v>0</v>
      </c>
      <c r="BD63" s="59"/>
      <c r="BE63" s="257">
        <f t="shared" si="9"/>
        <v>0</v>
      </c>
      <c r="BF63" s="59"/>
      <c r="BG63" s="257">
        <f t="shared" si="10"/>
        <v>0</v>
      </c>
      <c r="BH63" s="59"/>
      <c r="BI63" s="257">
        <f t="shared" si="11"/>
        <v>0</v>
      </c>
    </row>
    <row r="64" spans="1:65" ht="14.85" customHeight="1">
      <c r="A64" s="250" t="s">
        <v>951</v>
      </c>
      <c r="B64" s="59" t="s">
        <v>341</v>
      </c>
      <c r="C64" s="354" t="s">
        <v>172</v>
      </c>
      <c r="D64" s="424"/>
      <c r="E64" s="357" t="s">
        <v>332</v>
      </c>
      <c r="F64" s="427">
        <v>1000</v>
      </c>
      <c r="G64" s="317">
        <v>2024</v>
      </c>
      <c r="H64" s="298" t="s">
        <v>502</v>
      </c>
      <c r="I64" s="315" t="s">
        <v>249</v>
      </c>
      <c r="J64" s="316">
        <v>14</v>
      </c>
      <c r="K64" s="298" t="s">
        <v>335</v>
      </c>
      <c r="L64" s="298" t="s">
        <v>336</v>
      </c>
      <c r="M64" s="300" t="s">
        <v>474</v>
      </c>
      <c r="N64" s="300">
        <v>9.61</v>
      </c>
      <c r="O64" s="300">
        <v>9.61</v>
      </c>
      <c r="P64" s="300">
        <v>9.44</v>
      </c>
      <c r="Q64" s="300">
        <v>9.44</v>
      </c>
      <c r="R64" s="300">
        <v>9.44</v>
      </c>
      <c r="S64" s="300">
        <v>9.44</v>
      </c>
      <c r="T64" s="300">
        <v>9.44</v>
      </c>
      <c r="U64" s="300">
        <v>9.44</v>
      </c>
      <c r="V64" s="300">
        <v>9.44</v>
      </c>
      <c r="W64" s="300">
        <v>9.44</v>
      </c>
      <c r="X64" s="300">
        <v>9.44</v>
      </c>
      <c r="Y64" s="300">
        <v>9.44</v>
      </c>
      <c r="Z64" s="361">
        <v>0.71</v>
      </c>
      <c r="AA64" s="361">
        <v>0.71</v>
      </c>
      <c r="AB64" s="361">
        <v>0.64</v>
      </c>
      <c r="AC64" s="361">
        <v>0</v>
      </c>
      <c r="AD64" s="361">
        <v>0.64</v>
      </c>
      <c r="AE64" s="361">
        <v>0.64</v>
      </c>
      <c r="AF64" s="361">
        <v>0.64</v>
      </c>
      <c r="AG64" s="361">
        <v>0.64</v>
      </c>
      <c r="AH64" s="361">
        <v>0.64</v>
      </c>
      <c r="AI64" s="361">
        <v>0.64</v>
      </c>
      <c r="AJ64" s="361">
        <v>0.64</v>
      </c>
      <c r="AK64" s="361">
        <v>0.64</v>
      </c>
      <c r="AL64" s="255">
        <v>3720</v>
      </c>
      <c r="AM64" s="254">
        <f t="shared" si="0"/>
        <v>2641.2</v>
      </c>
      <c r="AN64" s="255">
        <v>4000</v>
      </c>
      <c r="AO64" s="254">
        <f t="shared" si="1"/>
        <v>2840</v>
      </c>
      <c r="AP64" s="255">
        <v>3162</v>
      </c>
      <c r="AQ64" s="254">
        <f t="shared" si="2"/>
        <v>2023.68</v>
      </c>
      <c r="AR64" s="255">
        <v>4960</v>
      </c>
      <c r="AS64" s="257">
        <f t="shared" si="3"/>
        <v>0</v>
      </c>
      <c r="AT64" s="268">
        <v>3320</v>
      </c>
      <c r="AU64" s="257">
        <f t="shared" si="4"/>
        <v>2124.8000000000002</v>
      </c>
      <c r="AV64" s="255">
        <v>5000</v>
      </c>
      <c r="AW64" s="257">
        <f t="shared" si="5"/>
        <v>3200</v>
      </c>
      <c r="AX64" s="255">
        <v>5000</v>
      </c>
      <c r="AY64" s="257">
        <f t="shared" si="6"/>
        <v>3200</v>
      </c>
      <c r="AZ64" s="268">
        <v>6000</v>
      </c>
      <c r="BA64" s="257">
        <f t="shared" si="7"/>
        <v>3840</v>
      </c>
      <c r="BB64" s="268">
        <v>5000</v>
      </c>
      <c r="BC64" s="257">
        <f t="shared" si="8"/>
        <v>3200</v>
      </c>
      <c r="BD64" s="268">
        <v>5000</v>
      </c>
      <c r="BE64" s="257">
        <f t="shared" si="9"/>
        <v>3200</v>
      </c>
      <c r="BF64" s="256">
        <v>5000</v>
      </c>
      <c r="BG64" s="257">
        <f t="shared" si="10"/>
        <v>3200</v>
      </c>
      <c r="BH64" s="256">
        <v>5000</v>
      </c>
      <c r="BI64" s="257">
        <f t="shared" si="11"/>
        <v>3200</v>
      </c>
      <c r="BJ64" s="1" t="s">
        <v>503</v>
      </c>
      <c r="BK64" s="1" t="s">
        <v>462</v>
      </c>
      <c r="BL64" s="1" t="s">
        <v>457</v>
      </c>
      <c r="BM64" s="1" t="s">
        <v>504</v>
      </c>
    </row>
    <row r="65" spans="1:65" ht="15" customHeight="1">
      <c r="A65" s="250" t="s">
        <v>951</v>
      </c>
      <c r="B65" s="59" t="s">
        <v>341</v>
      </c>
      <c r="C65" s="354" t="s">
        <v>172</v>
      </c>
      <c r="D65" s="424"/>
      <c r="E65" s="357" t="s">
        <v>332</v>
      </c>
      <c r="F65" s="427"/>
      <c r="G65" s="317">
        <v>2024</v>
      </c>
      <c r="H65" s="298" t="s">
        <v>502</v>
      </c>
      <c r="I65" s="315" t="s">
        <v>249</v>
      </c>
      <c r="J65" s="316">
        <v>14</v>
      </c>
      <c r="K65" s="298" t="s">
        <v>335</v>
      </c>
      <c r="L65" s="298" t="s">
        <v>336</v>
      </c>
      <c r="M65" s="300" t="s">
        <v>474</v>
      </c>
      <c r="N65" s="300">
        <v>9.61</v>
      </c>
      <c r="O65" s="300">
        <v>9.61</v>
      </c>
      <c r="P65" s="300">
        <v>9.44</v>
      </c>
      <c r="Q65" s="300">
        <v>9.44</v>
      </c>
      <c r="R65" s="300">
        <v>9.44</v>
      </c>
      <c r="S65" s="300">
        <v>9.44</v>
      </c>
      <c r="T65" s="300">
        <v>9.44</v>
      </c>
      <c r="U65" s="300">
        <v>9.44</v>
      </c>
      <c r="V65" s="300">
        <v>9.44</v>
      </c>
      <c r="W65" s="300">
        <v>9.44</v>
      </c>
      <c r="X65" s="300">
        <v>9.44</v>
      </c>
      <c r="Y65" s="300">
        <v>9.44</v>
      </c>
      <c r="Z65" s="361">
        <v>0.71</v>
      </c>
      <c r="AA65" s="361">
        <v>0.71</v>
      </c>
      <c r="AB65" s="361">
        <v>0.64</v>
      </c>
      <c r="AC65" s="361">
        <v>0</v>
      </c>
      <c r="AD65" s="361">
        <v>0.64</v>
      </c>
      <c r="AE65" s="361">
        <v>0.64</v>
      </c>
      <c r="AF65" s="361">
        <v>0.64</v>
      </c>
      <c r="AG65" s="361">
        <v>0.64</v>
      </c>
      <c r="AH65" s="361">
        <v>0.64</v>
      </c>
      <c r="AI65" s="361">
        <v>0.64</v>
      </c>
      <c r="AJ65" s="361">
        <v>0.64</v>
      </c>
      <c r="AK65" s="361">
        <v>0.64</v>
      </c>
      <c r="AL65" s="255">
        <v>4480</v>
      </c>
      <c r="AM65" s="254">
        <f t="shared" si="0"/>
        <v>3180.7999999999997</v>
      </c>
      <c r="AN65" s="255">
        <v>7520</v>
      </c>
      <c r="AO65" s="254">
        <f t="shared" si="1"/>
        <v>5339.2</v>
      </c>
      <c r="AP65" s="255">
        <v>3300</v>
      </c>
      <c r="AQ65" s="254">
        <f t="shared" si="2"/>
        <v>2112</v>
      </c>
      <c r="AR65" s="256">
        <v>4150</v>
      </c>
      <c r="AS65" s="257">
        <f t="shared" si="3"/>
        <v>0</v>
      </c>
      <c r="AT65" s="268">
        <v>3063</v>
      </c>
      <c r="AU65" s="257">
        <f t="shared" si="4"/>
        <v>1960.32</v>
      </c>
      <c r="AV65" s="268"/>
      <c r="AW65" s="257">
        <f t="shared" si="5"/>
        <v>0</v>
      </c>
      <c r="AX65" s="268"/>
      <c r="AY65" s="257">
        <f t="shared" si="6"/>
        <v>0</v>
      </c>
      <c r="AZ65" s="268"/>
      <c r="BA65" s="257">
        <f t="shared" si="7"/>
        <v>0</v>
      </c>
      <c r="BB65" s="268"/>
      <c r="BC65" s="257">
        <f t="shared" si="8"/>
        <v>0</v>
      </c>
      <c r="BD65" s="256"/>
      <c r="BE65" s="257">
        <f t="shared" si="9"/>
        <v>0</v>
      </c>
      <c r="BF65" s="59"/>
      <c r="BG65" s="257">
        <f t="shared" si="10"/>
        <v>0</v>
      </c>
      <c r="BH65" s="59"/>
      <c r="BI65" s="257">
        <f t="shared" si="11"/>
        <v>0</v>
      </c>
      <c r="BJ65" s="1" t="s">
        <v>505</v>
      </c>
      <c r="BL65" s="1" t="s">
        <v>457</v>
      </c>
      <c r="BM65" s="1" t="s">
        <v>506</v>
      </c>
    </row>
    <row r="66" spans="1:65" ht="15" customHeight="1">
      <c r="A66" s="250" t="s">
        <v>951</v>
      </c>
      <c r="B66" s="59" t="s">
        <v>341</v>
      </c>
      <c r="C66" s="354" t="s">
        <v>172</v>
      </c>
      <c r="D66" s="424"/>
      <c r="E66" s="357" t="s">
        <v>332</v>
      </c>
      <c r="F66" s="427"/>
      <c r="G66" s="317">
        <v>2024</v>
      </c>
      <c r="H66" s="59" t="s">
        <v>507</v>
      </c>
      <c r="I66" s="315" t="s">
        <v>249</v>
      </c>
      <c r="J66" s="316">
        <v>14</v>
      </c>
      <c r="K66" s="298" t="s">
        <v>508</v>
      </c>
      <c r="L66" s="298" t="s">
        <v>336</v>
      </c>
      <c r="M66" s="300" t="s">
        <v>474</v>
      </c>
      <c r="N66" s="300">
        <v>9.61</v>
      </c>
      <c r="O66" s="300">
        <v>9.61</v>
      </c>
      <c r="P66" s="300">
        <v>9.44</v>
      </c>
      <c r="Q66" s="300">
        <v>9.44</v>
      </c>
      <c r="R66" s="300">
        <v>9.44</v>
      </c>
      <c r="S66" s="300">
        <v>9.44</v>
      </c>
      <c r="T66" s="300">
        <v>9.44</v>
      </c>
      <c r="U66" s="300">
        <v>9.44</v>
      </c>
      <c r="V66" s="300">
        <v>9.44</v>
      </c>
      <c r="W66" s="300">
        <v>9.44</v>
      </c>
      <c r="X66" s="300">
        <v>9.44</v>
      </c>
      <c r="Y66" s="300">
        <v>9.44</v>
      </c>
      <c r="Z66" s="361">
        <v>0.71</v>
      </c>
      <c r="AA66" s="361">
        <v>0.71</v>
      </c>
      <c r="AB66" s="361">
        <v>0.64</v>
      </c>
      <c r="AC66" s="361">
        <v>0</v>
      </c>
      <c r="AD66" s="361">
        <v>0.64</v>
      </c>
      <c r="AE66" s="361">
        <v>0.64</v>
      </c>
      <c r="AF66" s="361">
        <v>0.64</v>
      </c>
      <c r="AG66" s="361">
        <v>0.64</v>
      </c>
      <c r="AH66" s="361">
        <v>0.64</v>
      </c>
      <c r="AI66" s="361">
        <v>0.64</v>
      </c>
      <c r="AJ66" s="361">
        <v>0.64</v>
      </c>
      <c r="AK66" s="361">
        <v>0.64</v>
      </c>
      <c r="AL66" s="255">
        <v>2800</v>
      </c>
      <c r="AM66" s="254">
        <f t="shared" si="0"/>
        <v>1988</v>
      </c>
      <c r="AN66" s="255">
        <v>4040</v>
      </c>
      <c r="AO66" s="254">
        <f t="shared" si="1"/>
        <v>2868.3999999999996</v>
      </c>
      <c r="AP66" s="271">
        <v>3200</v>
      </c>
      <c r="AQ66" s="254">
        <f t="shared" si="2"/>
        <v>2048</v>
      </c>
      <c r="AR66" s="261">
        <v>3240</v>
      </c>
      <c r="AS66" s="257">
        <f t="shared" si="3"/>
        <v>0</v>
      </c>
      <c r="AT66" s="268">
        <v>5120</v>
      </c>
      <c r="AU66" s="257">
        <f t="shared" si="4"/>
        <v>3276.8</v>
      </c>
      <c r="AV66" s="268">
        <v>3000</v>
      </c>
      <c r="AW66" s="257">
        <f t="shared" si="5"/>
        <v>1920</v>
      </c>
      <c r="AX66" s="268">
        <v>3000</v>
      </c>
      <c r="AY66" s="257">
        <f t="shared" si="6"/>
        <v>1920</v>
      </c>
      <c r="AZ66" s="268">
        <v>3000</v>
      </c>
      <c r="BA66" s="257">
        <f t="shared" si="7"/>
        <v>1920</v>
      </c>
      <c r="BB66" s="268">
        <v>3000</v>
      </c>
      <c r="BC66" s="257">
        <f t="shared" si="8"/>
        <v>1920</v>
      </c>
      <c r="BD66" s="268">
        <v>3000</v>
      </c>
      <c r="BE66" s="257">
        <f t="shared" si="9"/>
        <v>1920</v>
      </c>
      <c r="BF66" s="268">
        <v>3000</v>
      </c>
      <c r="BG66" s="257">
        <f t="shared" si="10"/>
        <v>1920</v>
      </c>
      <c r="BH66" s="268">
        <v>3000</v>
      </c>
      <c r="BI66" s="257">
        <f t="shared" si="11"/>
        <v>1920</v>
      </c>
      <c r="BJ66" s="1" t="s">
        <v>509</v>
      </c>
      <c r="BK66" s="1" t="s">
        <v>462</v>
      </c>
      <c r="BL66" s="1" t="s">
        <v>457</v>
      </c>
      <c r="BM66" s="1" t="s">
        <v>510</v>
      </c>
    </row>
    <row r="67" spans="1:65" ht="15" customHeight="1">
      <c r="A67" s="250" t="s">
        <v>951</v>
      </c>
      <c r="B67" s="59" t="s">
        <v>341</v>
      </c>
      <c r="C67" s="354" t="s">
        <v>172</v>
      </c>
      <c r="D67" s="424"/>
      <c r="E67" s="357" t="s">
        <v>332</v>
      </c>
      <c r="F67" s="427"/>
      <c r="G67" s="317">
        <v>2024</v>
      </c>
      <c r="H67" s="59" t="s">
        <v>507</v>
      </c>
      <c r="I67" s="315" t="s">
        <v>249</v>
      </c>
      <c r="J67" s="316">
        <v>14</v>
      </c>
      <c r="K67" s="298" t="s">
        <v>508</v>
      </c>
      <c r="L67" s="298" t="s">
        <v>336</v>
      </c>
      <c r="M67" s="300" t="s">
        <v>474</v>
      </c>
      <c r="N67" s="300">
        <v>9.61</v>
      </c>
      <c r="O67" s="300">
        <v>9.61</v>
      </c>
      <c r="P67" s="300">
        <v>9.44</v>
      </c>
      <c r="Q67" s="300">
        <v>9.44</v>
      </c>
      <c r="R67" s="300">
        <v>9.44</v>
      </c>
      <c r="S67" s="300">
        <v>9.44</v>
      </c>
      <c r="T67" s="300">
        <v>9.44</v>
      </c>
      <c r="U67" s="300">
        <v>9.44</v>
      </c>
      <c r="V67" s="300">
        <v>9.44</v>
      </c>
      <c r="W67" s="300">
        <v>9.44</v>
      </c>
      <c r="X67" s="300">
        <v>9.44</v>
      </c>
      <c r="Y67" s="300">
        <v>9.44</v>
      </c>
      <c r="Z67" s="361">
        <v>0.71</v>
      </c>
      <c r="AA67" s="361">
        <v>0.71</v>
      </c>
      <c r="AB67" s="361">
        <v>0.64</v>
      </c>
      <c r="AC67" s="361">
        <v>0</v>
      </c>
      <c r="AD67" s="361">
        <v>0.64</v>
      </c>
      <c r="AE67" s="361">
        <v>0.64</v>
      </c>
      <c r="AF67" s="361">
        <v>0.64</v>
      </c>
      <c r="AG67" s="361">
        <v>0.64</v>
      </c>
      <c r="AH67" s="361">
        <v>0.64</v>
      </c>
      <c r="AI67" s="361">
        <v>0.64</v>
      </c>
      <c r="AJ67" s="361">
        <v>0.64</v>
      </c>
      <c r="AK67" s="361">
        <v>0.64</v>
      </c>
      <c r="AL67" s="255">
        <v>2320</v>
      </c>
      <c r="AM67" s="254">
        <f t="shared" si="0"/>
        <v>1647.1999999999998</v>
      </c>
      <c r="AN67" s="255">
        <v>3200</v>
      </c>
      <c r="AO67" s="254">
        <f t="shared" si="1"/>
        <v>2272</v>
      </c>
      <c r="AP67" s="271">
        <v>1200</v>
      </c>
      <c r="AQ67" s="254">
        <f t="shared" si="2"/>
        <v>768</v>
      </c>
      <c r="AR67" s="256">
        <v>2759</v>
      </c>
      <c r="AS67" s="257">
        <f t="shared" si="3"/>
        <v>0</v>
      </c>
      <c r="AT67" s="268">
        <v>3760</v>
      </c>
      <c r="AU67" s="257">
        <f t="shared" si="4"/>
        <v>2406.4</v>
      </c>
      <c r="AV67" s="268"/>
      <c r="AW67" s="257">
        <f t="shared" si="5"/>
        <v>0</v>
      </c>
      <c r="AX67" s="268"/>
      <c r="AY67" s="257">
        <f t="shared" si="6"/>
        <v>0</v>
      </c>
      <c r="AZ67" s="268"/>
      <c r="BA67" s="257">
        <f t="shared" si="7"/>
        <v>0</v>
      </c>
      <c r="BB67" s="268"/>
      <c r="BC67" s="257">
        <f t="shared" si="8"/>
        <v>0</v>
      </c>
      <c r="BD67" s="256"/>
      <c r="BE67" s="257">
        <f t="shared" si="9"/>
        <v>0</v>
      </c>
      <c r="BF67" s="59"/>
      <c r="BG67" s="257">
        <f t="shared" si="10"/>
        <v>0</v>
      </c>
      <c r="BH67" s="59"/>
      <c r="BI67" s="257">
        <f t="shared" si="11"/>
        <v>0</v>
      </c>
      <c r="BJ67" s="1" t="s">
        <v>511</v>
      </c>
      <c r="BL67" s="1" t="s">
        <v>457</v>
      </c>
      <c r="BM67" s="1" t="s">
        <v>512</v>
      </c>
    </row>
    <row r="68" spans="1:65" ht="15" customHeight="1">
      <c r="A68" s="250" t="s">
        <v>951</v>
      </c>
      <c r="B68" s="59" t="s">
        <v>341</v>
      </c>
      <c r="C68" s="354" t="s">
        <v>172</v>
      </c>
      <c r="D68" s="424"/>
      <c r="E68" s="357" t="s">
        <v>332</v>
      </c>
      <c r="F68" s="427"/>
      <c r="G68" s="317">
        <v>2024</v>
      </c>
      <c r="H68" s="298" t="s">
        <v>502</v>
      </c>
      <c r="I68" s="315" t="s">
        <v>249</v>
      </c>
      <c r="J68" s="316">
        <v>14</v>
      </c>
      <c r="K68" s="298" t="s">
        <v>335</v>
      </c>
      <c r="L68" s="298" t="s">
        <v>464</v>
      </c>
      <c r="M68" s="300" t="s">
        <v>513</v>
      </c>
      <c r="N68" s="300">
        <v>9.61</v>
      </c>
      <c r="O68" s="300">
        <v>9.61</v>
      </c>
      <c r="P68" s="300">
        <v>9.44</v>
      </c>
      <c r="Q68" s="300">
        <v>9.44</v>
      </c>
      <c r="R68" s="300">
        <v>9.44</v>
      </c>
      <c r="S68" s="300">
        <v>9.44</v>
      </c>
      <c r="T68" s="300">
        <v>9.44</v>
      </c>
      <c r="U68" s="300">
        <v>9.44</v>
      </c>
      <c r="V68" s="300">
        <v>9.44</v>
      </c>
      <c r="W68" s="300">
        <v>9.44</v>
      </c>
      <c r="X68" s="300">
        <v>9.44</v>
      </c>
      <c r="Y68" s="300">
        <v>9.44</v>
      </c>
      <c r="Z68" s="361">
        <v>0.71</v>
      </c>
      <c r="AA68" s="361">
        <v>0.71</v>
      </c>
      <c r="AB68" s="361">
        <v>0.64</v>
      </c>
      <c r="AC68" s="361">
        <v>0</v>
      </c>
      <c r="AD68" s="361">
        <v>0.64</v>
      </c>
      <c r="AE68" s="361">
        <v>0.64</v>
      </c>
      <c r="AF68" s="361">
        <v>0.64</v>
      </c>
      <c r="AG68" s="361">
        <v>0.64</v>
      </c>
      <c r="AH68" s="361">
        <v>0.64</v>
      </c>
      <c r="AI68" s="361">
        <v>0.64</v>
      </c>
      <c r="AJ68" s="361">
        <v>0.64</v>
      </c>
      <c r="AK68" s="361">
        <v>0.64</v>
      </c>
      <c r="AL68" s="255">
        <v>1920</v>
      </c>
      <c r="AM68" s="254">
        <f t="shared" si="0"/>
        <v>1363.1999999999998</v>
      </c>
      <c r="AN68" s="255">
        <v>1520</v>
      </c>
      <c r="AO68" s="254">
        <f t="shared" si="1"/>
        <v>1079.2</v>
      </c>
      <c r="AP68" s="255">
        <v>1419</v>
      </c>
      <c r="AQ68" s="254">
        <f t="shared" si="2"/>
        <v>908.16</v>
      </c>
      <c r="AR68" s="255">
        <v>2840</v>
      </c>
      <c r="AS68" s="257">
        <f t="shared" si="3"/>
        <v>0</v>
      </c>
      <c r="AT68" s="255">
        <v>2320</v>
      </c>
      <c r="AU68" s="257">
        <f t="shared" si="4"/>
        <v>1484.8</v>
      </c>
      <c r="AV68" s="255">
        <v>2000</v>
      </c>
      <c r="AW68" s="257">
        <f t="shared" si="5"/>
        <v>1280</v>
      </c>
      <c r="AX68" s="255">
        <v>2000</v>
      </c>
      <c r="AY68" s="257">
        <f t="shared" si="6"/>
        <v>1280</v>
      </c>
      <c r="AZ68" s="255">
        <v>2000</v>
      </c>
      <c r="BA68" s="257">
        <f t="shared" si="7"/>
        <v>1280</v>
      </c>
      <c r="BB68" s="255">
        <v>2000</v>
      </c>
      <c r="BC68" s="257">
        <f t="shared" si="8"/>
        <v>1280</v>
      </c>
      <c r="BD68" s="255">
        <v>2000</v>
      </c>
      <c r="BE68" s="257">
        <f t="shared" si="9"/>
        <v>1280</v>
      </c>
      <c r="BF68" s="255">
        <v>2000</v>
      </c>
      <c r="BG68" s="257">
        <f t="shared" si="10"/>
        <v>1280</v>
      </c>
      <c r="BH68" s="255">
        <v>2000</v>
      </c>
      <c r="BI68" s="257">
        <f t="shared" si="11"/>
        <v>1280</v>
      </c>
      <c r="BJ68" s="1" t="s">
        <v>503</v>
      </c>
      <c r="BK68" s="1" t="s">
        <v>462</v>
      </c>
      <c r="BL68" s="1" t="s">
        <v>457</v>
      </c>
      <c r="BM68" s="1" t="s">
        <v>504</v>
      </c>
    </row>
    <row r="69" spans="1:65" ht="15" customHeight="1">
      <c r="A69" s="250" t="s">
        <v>951</v>
      </c>
      <c r="B69" s="59" t="s">
        <v>341</v>
      </c>
      <c r="C69" s="354" t="s">
        <v>172</v>
      </c>
      <c r="D69" s="424"/>
      <c r="E69" s="357" t="s">
        <v>332</v>
      </c>
      <c r="F69" s="427"/>
      <c r="G69" s="317">
        <v>2024</v>
      </c>
      <c r="H69" s="298" t="s">
        <v>502</v>
      </c>
      <c r="I69" s="315" t="s">
        <v>249</v>
      </c>
      <c r="J69" s="316">
        <v>14</v>
      </c>
      <c r="K69" s="298" t="s">
        <v>335</v>
      </c>
      <c r="L69" s="298" t="s">
        <v>464</v>
      </c>
      <c r="M69" s="300" t="s">
        <v>513</v>
      </c>
      <c r="N69" s="300">
        <v>9.61</v>
      </c>
      <c r="O69" s="300">
        <v>9.61</v>
      </c>
      <c r="P69" s="300">
        <v>9.44</v>
      </c>
      <c r="Q69" s="300">
        <v>9.44</v>
      </c>
      <c r="R69" s="300">
        <v>9.44</v>
      </c>
      <c r="S69" s="300">
        <v>9.44</v>
      </c>
      <c r="T69" s="300">
        <v>9.44</v>
      </c>
      <c r="U69" s="300">
        <v>9.44</v>
      </c>
      <c r="V69" s="300">
        <v>9.44</v>
      </c>
      <c r="W69" s="300">
        <v>9.44</v>
      </c>
      <c r="X69" s="300">
        <v>9.44</v>
      </c>
      <c r="Y69" s="300">
        <v>9.44</v>
      </c>
      <c r="Z69" s="361">
        <v>0.71</v>
      </c>
      <c r="AA69" s="361">
        <v>0.71</v>
      </c>
      <c r="AB69" s="361">
        <v>0.64</v>
      </c>
      <c r="AC69" s="361">
        <v>0</v>
      </c>
      <c r="AD69" s="361">
        <v>0.64</v>
      </c>
      <c r="AE69" s="361">
        <v>0.64</v>
      </c>
      <c r="AF69" s="361">
        <v>0.64</v>
      </c>
      <c r="AG69" s="361">
        <v>0.64</v>
      </c>
      <c r="AH69" s="361">
        <v>0.64</v>
      </c>
      <c r="AI69" s="361">
        <v>0.64</v>
      </c>
      <c r="AJ69" s="361">
        <v>0.64</v>
      </c>
      <c r="AK69" s="361">
        <v>0.64</v>
      </c>
      <c r="AL69" s="255">
        <v>1720</v>
      </c>
      <c r="AM69" s="254">
        <f t="shared" si="0"/>
        <v>1221.2</v>
      </c>
      <c r="AN69" s="255">
        <v>1920</v>
      </c>
      <c r="AO69" s="254">
        <f t="shared" si="1"/>
        <v>1363.1999999999998</v>
      </c>
      <c r="AP69" s="271">
        <v>1920</v>
      </c>
      <c r="AQ69" s="254">
        <f t="shared" si="2"/>
        <v>1228.8</v>
      </c>
      <c r="AR69" s="256">
        <v>2120</v>
      </c>
      <c r="AS69" s="257">
        <f t="shared" si="3"/>
        <v>0</v>
      </c>
      <c r="AT69" s="268">
        <v>1240</v>
      </c>
      <c r="AU69" s="257">
        <f t="shared" si="4"/>
        <v>793.6</v>
      </c>
      <c r="AV69" s="268"/>
      <c r="AW69" s="257">
        <f t="shared" si="5"/>
        <v>0</v>
      </c>
      <c r="AX69" s="256"/>
      <c r="AY69" s="257">
        <f t="shared" si="6"/>
        <v>0</v>
      </c>
      <c r="AZ69" s="268"/>
      <c r="BA69" s="257">
        <f t="shared" si="7"/>
        <v>0</v>
      </c>
      <c r="BB69" s="268"/>
      <c r="BC69" s="257">
        <f t="shared" si="8"/>
        <v>0</v>
      </c>
      <c r="BD69" s="256"/>
      <c r="BE69" s="257">
        <f t="shared" si="9"/>
        <v>0</v>
      </c>
      <c r="BF69" s="59"/>
      <c r="BG69" s="257">
        <f t="shared" si="10"/>
        <v>0</v>
      </c>
      <c r="BH69" s="59"/>
      <c r="BI69" s="257">
        <f t="shared" si="11"/>
        <v>0</v>
      </c>
      <c r="BJ69" s="1" t="s">
        <v>505</v>
      </c>
      <c r="BL69" s="1" t="s">
        <v>457</v>
      </c>
      <c r="BM69" s="1" t="s">
        <v>506</v>
      </c>
    </row>
    <row r="70" spans="1:65" ht="15" customHeight="1">
      <c r="A70" s="250" t="s">
        <v>951</v>
      </c>
      <c r="B70" s="59" t="s">
        <v>341</v>
      </c>
      <c r="C70" s="354" t="s">
        <v>172</v>
      </c>
      <c r="D70" s="424"/>
      <c r="E70" s="357" t="s">
        <v>332</v>
      </c>
      <c r="F70" s="427"/>
      <c r="G70" s="317">
        <v>2024</v>
      </c>
      <c r="H70" s="59" t="s">
        <v>507</v>
      </c>
      <c r="I70" s="315" t="s">
        <v>249</v>
      </c>
      <c r="J70" s="316">
        <v>14</v>
      </c>
      <c r="K70" s="298" t="s">
        <v>508</v>
      </c>
      <c r="L70" s="298" t="s">
        <v>464</v>
      </c>
      <c r="M70" s="300" t="s">
        <v>513</v>
      </c>
      <c r="N70" s="300">
        <v>9.61</v>
      </c>
      <c r="O70" s="300">
        <v>9.61</v>
      </c>
      <c r="P70" s="300">
        <v>9.44</v>
      </c>
      <c r="Q70" s="300">
        <v>9.44</v>
      </c>
      <c r="R70" s="300">
        <v>9.44</v>
      </c>
      <c r="S70" s="300">
        <v>9.44</v>
      </c>
      <c r="T70" s="300">
        <v>9.44</v>
      </c>
      <c r="U70" s="300">
        <v>9.44</v>
      </c>
      <c r="V70" s="300">
        <v>9.44</v>
      </c>
      <c r="W70" s="300">
        <v>9.44</v>
      </c>
      <c r="X70" s="300">
        <v>9.44</v>
      </c>
      <c r="Y70" s="300">
        <v>9.44</v>
      </c>
      <c r="Z70" s="361">
        <v>0.71</v>
      </c>
      <c r="AA70" s="361">
        <v>0.71</v>
      </c>
      <c r="AB70" s="361">
        <v>0.64</v>
      </c>
      <c r="AC70" s="361">
        <v>0</v>
      </c>
      <c r="AD70" s="361">
        <v>0.64</v>
      </c>
      <c r="AE70" s="361">
        <v>0.64</v>
      </c>
      <c r="AF70" s="361">
        <v>0.64</v>
      </c>
      <c r="AG70" s="361">
        <v>0.64</v>
      </c>
      <c r="AH70" s="361">
        <v>0.64</v>
      </c>
      <c r="AI70" s="361">
        <v>0.64</v>
      </c>
      <c r="AJ70" s="361">
        <v>0.64</v>
      </c>
      <c r="AK70" s="361">
        <v>0.64</v>
      </c>
      <c r="AL70" s="255">
        <v>540</v>
      </c>
      <c r="AM70" s="254">
        <f t="shared" si="0"/>
        <v>383.4</v>
      </c>
      <c r="AN70" s="255">
        <v>2480</v>
      </c>
      <c r="AO70" s="254">
        <f t="shared" si="1"/>
        <v>1760.8</v>
      </c>
      <c r="AP70" s="255"/>
      <c r="AQ70" s="254">
        <f t="shared" si="2"/>
        <v>0</v>
      </c>
      <c r="AR70" s="255">
        <v>160</v>
      </c>
      <c r="AS70" s="257">
        <f t="shared" si="3"/>
        <v>0</v>
      </c>
      <c r="AT70" s="255">
        <v>1320</v>
      </c>
      <c r="AU70" s="257">
        <f t="shared" si="4"/>
        <v>844.80000000000007</v>
      </c>
      <c r="AV70" s="255">
        <v>2000</v>
      </c>
      <c r="AW70" s="257">
        <f t="shared" si="5"/>
        <v>1280</v>
      </c>
      <c r="AX70" s="255">
        <v>2000</v>
      </c>
      <c r="AY70" s="257">
        <f t="shared" si="6"/>
        <v>1280</v>
      </c>
      <c r="AZ70" s="255">
        <v>2000</v>
      </c>
      <c r="BA70" s="257">
        <f t="shared" si="7"/>
        <v>1280</v>
      </c>
      <c r="BB70" s="255">
        <v>2000</v>
      </c>
      <c r="BC70" s="257">
        <f t="shared" si="8"/>
        <v>1280</v>
      </c>
      <c r="BD70" s="255">
        <v>2000</v>
      </c>
      <c r="BE70" s="257">
        <f t="shared" si="9"/>
        <v>1280</v>
      </c>
      <c r="BF70" s="255">
        <v>2000</v>
      </c>
      <c r="BG70" s="257">
        <f t="shared" si="10"/>
        <v>1280</v>
      </c>
      <c r="BH70" s="255">
        <v>2000</v>
      </c>
      <c r="BI70" s="257">
        <f t="shared" si="11"/>
        <v>1280</v>
      </c>
      <c r="BJ70" s="1" t="s">
        <v>509</v>
      </c>
      <c r="BK70" s="1" t="s">
        <v>462</v>
      </c>
      <c r="BL70" s="1" t="s">
        <v>457</v>
      </c>
      <c r="BM70" s="1" t="s">
        <v>510</v>
      </c>
    </row>
    <row r="71" spans="1:65" ht="15" customHeight="1">
      <c r="A71" s="250" t="s">
        <v>951</v>
      </c>
      <c r="B71" s="59" t="s">
        <v>341</v>
      </c>
      <c r="C71" s="354" t="s">
        <v>172</v>
      </c>
      <c r="D71" s="424"/>
      <c r="E71" s="357" t="s">
        <v>332</v>
      </c>
      <c r="F71" s="427"/>
      <c r="G71" s="317">
        <v>2024</v>
      </c>
      <c r="H71" s="59" t="s">
        <v>507</v>
      </c>
      <c r="I71" s="315" t="s">
        <v>249</v>
      </c>
      <c r="J71" s="316">
        <v>14</v>
      </c>
      <c r="K71" s="298" t="s">
        <v>508</v>
      </c>
      <c r="L71" s="298" t="s">
        <v>464</v>
      </c>
      <c r="M71" s="300" t="s">
        <v>513</v>
      </c>
      <c r="N71" s="300">
        <v>9.61</v>
      </c>
      <c r="O71" s="300">
        <v>9.61</v>
      </c>
      <c r="P71" s="300">
        <v>9.44</v>
      </c>
      <c r="Q71" s="300">
        <v>9.44</v>
      </c>
      <c r="R71" s="300">
        <v>9.44</v>
      </c>
      <c r="S71" s="300">
        <v>9.44</v>
      </c>
      <c r="T71" s="300">
        <v>9.44</v>
      </c>
      <c r="U71" s="300">
        <v>9.44</v>
      </c>
      <c r="V71" s="300">
        <v>9.44</v>
      </c>
      <c r="W71" s="300">
        <v>9.44</v>
      </c>
      <c r="X71" s="300">
        <v>9.44</v>
      </c>
      <c r="Y71" s="300">
        <v>9.44</v>
      </c>
      <c r="Z71" s="361">
        <v>0.71</v>
      </c>
      <c r="AA71" s="361">
        <v>0.71</v>
      </c>
      <c r="AB71" s="361">
        <v>0.64</v>
      </c>
      <c r="AC71" s="361">
        <v>0</v>
      </c>
      <c r="AD71" s="361">
        <v>0.64</v>
      </c>
      <c r="AE71" s="361">
        <v>0.64</v>
      </c>
      <c r="AF71" s="361">
        <v>0.64</v>
      </c>
      <c r="AG71" s="361">
        <v>0.64</v>
      </c>
      <c r="AH71" s="361">
        <v>0.64</v>
      </c>
      <c r="AI71" s="361">
        <v>0.64</v>
      </c>
      <c r="AJ71" s="361">
        <v>0.64</v>
      </c>
      <c r="AK71" s="361">
        <v>0.64</v>
      </c>
      <c r="AL71" s="255">
        <v>120</v>
      </c>
      <c r="AM71" s="254">
        <f t="shared" si="0"/>
        <v>85.199999999999989</v>
      </c>
      <c r="AN71" s="255">
        <v>800</v>
      </c>
      <c r="AO71" s="254">
        <f t="shared" si="1"/>
        <v>568</v>
      </c>
      <c r="AP71" s="274"/>
      <c r="AQ71" s="254">
        <f t="shared" si="2"/>
        <v>0</v>
      </c>
      <c r="AR71" s="256">
        <v>120</v>
      </c>
      <c r="AS71" s="257">
        <f t="shared" si="3"/>
        <v>0</v>
      </c>
      <c r="AT71" s="268">
        <v>480</v>
      </c>
      <c r="AU71" s="257">
        <f t="shared" si="4"/>
        <v>307.2</v>
      </c>
      <c r="AV71" s="268"/>
      <c r="AW71" s="257">
        <f t="shared" si="5"/>
        <v>0</v>
      </c>
      <c r="AX71" s="256"/>
      <c r="AY71" s="257">
        <f t="shared" si="6"/>
        <v>0</v>
      </c>
      <c r="AZ71" s="268"/>
      <c r="BA71" s="257">
        <f t="shared" si="7"/>
        <v>0</v>
      </c>
      <c r="BB71" s="268"/>
      <c r="BC71" s="257">
        <f t="shared" si="8"/>
        <v>0</v>
      </c>
      <c r="BD71" s="256"/>
      <c r="BE71" s="257">
        <f t="shared" si="9"/>
        <v>0</v>
      </c>
      <c r="BF71" s="59"/>
      <c r="BG71" s="257">
        <f t="shared" si="10"/>
        <v>0</v>
      </c>
      <c r="BH71" s="59"/>
      <c r="BI71" s="257">
        <f t="shared" si="11"/>
        <v>0</v>
      </c>
      <c r="BJ71" s="1" t="s">
        <v>511</v>
      </c>
      <c r="BL71" s="1" t="s">
        <v>457</v>
      </c>
      <c r="BM71" s="1" t="s">
        <v>512</v>
      </c>
    </row>
    <row r="72" spans="1:65" ht="15" customHeight="1">
      <c r="A72" s="250" t="s">
        <v>951</v>
      </c>
      <c r="C72" s="354"/>
      <c r="D72" s="424"/>
      <c r="E72" s="357"/>
      <c r="F72" s="427"/>
      <c r="G72" s="317"/>
      <c r="H72" s="59"/>
      <c r="I72" s="315"/>
      <c r="J72" s="316"/>
      <c r="K72" s="298"/>
      <c r="L72" s="298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61"/>
      <c r="AA72" s="361"/>
      <c r="AB72" s="361"/>
      <c r="AC72" s="361"/>
      <c r="AD72" s="361"/>
      <c r="AE72" s="361"/>
      <c r="AF72" s="361"/>
      <c r="AG72" s="361"/>
      <c r="AH72" s="361"/>
      <c r="AI72" s="361"/>
      <c r="AJ72" s="361"/>
      <c r="AK72" s="361"/>
      <c r="AL72" s="255"/>
      <c r="AM72" s="254">
        <f t="shared" si="0"/>
        <v>0</v>
      </c>
      <c r="AN72" s="255"/>
      <c r="AO72" s="254">
        <f t="shared" si="1"/>
        <v>0</v>
      </c>
      <c r="AP72" s="274"/>
      <c r="AQ72" s="254">
        <f t="shared" si="2"/>
        <v>0</v>
      </c>
      <c r="AR72" s="256"/>
      <c r="AS72" s="257">
        <f t="shared" si="3"/>
        <v>0</v>
      </c>
      <c r="AT72" s="268"/>
      <c r="AU72" s="257">
        <f t="shared" si="4"/>
        <v>0</v>
      </c>
      <c r="AV72" s="268"/>
      <c r="AW72" s="257">
        <f t="shared" si="5"/>
        <v>0</v>
      </c>
      <c r="AX72" s="59"/>
      <c r="AY72" s="257">
        <f t="shared" si="6"/>
        <v>0</v>
      </c>
      <c r="AZ72" s="268"/>
      <c r="BA72" s="257">
        <f t="shared" si="7"/>
        <v>0</v>
      </c>
      <c r="BB72" s="268"/>
      <c r="BC72" s="257">
        <f t="shared" si="8"/>
        <v>0</v>
      </c>
      <c r="BD72" s="256"/>
      <c r="BE72" s="257">
        <f t="shared" si="9"/>
        <v>0</v>
      </c>
      <c r="BF72" s="59"/>
      <c r="BG72" s="257">
        <f t="shared" si="10"/>
        <v>0</v>
      </c>
      <c r="BH72" s="59"/>
      <c r="BI72" s="257">
        <f t="shared" si="11"/>
        <v>0</v>
      </c>
    </row>
    <row r="73" spans="1:65" ht="17.25" customHeight="1">
      <c r="A73" s="250" t="s">
        <v>951</v>
      </c>
      <c r="C73" s="354"/>
      <c r="D73" s="424"/>
      <c r="E73" s="357"/>
      <c r="F73" s="429" t="s">
        <v>170</v>
      </c>
      <c r="G73" s="319"/>
      <c r="H73" s="298"/>
      <c r="I73" s="298"/>
      <c r="J73" s="299"/>
      <c r="K73" s="298"/>
      <c r="L73" s="298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255"/>
      <c r="AM73" s="254">
        <f t="shared" si="0"/>
        <v>0</v>
      </c>
      <c r="AN73" s="255"/>
      <c r="AO73" s="254">
        <f t="shared" si="1"/>
        <v>0</v>
      </c>
      <c r="AP73" s="255"/>
      <c r="AQ73" s="254">
        <f t="shared" si="2"/>
        <v>0</v>
      </c>
      <c r="AR73" s="256"/>
      <c r="AS73" s="257">
        <f t="shared" si="3"/>
        <v>0</v>
      </c>
      <c r="AT73" s="268"/>
      <c r="AU73" s="257">
        <f t="shared" si="4"/>
        <v>0</v>
      </c>
      <c r="AV73" s="268"/>
      <c r="AW73" s="257">
        <f t="shared" si="5"/>
        <v>0</v>
      </c>
      <c r="AX73" s="59"/>
      <c r="AY73" s="257">
        <f t="shared" si="6"/>
        <v>0</v>
      </c>
      <c r="AZ73" s="268"/>
      <c r="BA73" s="257">
        <f t="shared" si="7"/>
        <v>0</v>
      </c>
      <c r="BB73" s="268"/>
      <c r="BC73" s="257">
        <f t="shared" si="8"/>
        <v>0</v>
      </c>
      <c r="BD73" s="59"/>
      <c r="BE73" s="257">
        <f t="shared" si="9"/>
        <v>0</v>
      </c>
      <c r="BF73" s="59"/>
      <c r="BG73" s="257">
        <f t="shared" si="10"/>
        <v>0</v>
      </c>
      <c r="BH73" s="59"/>
      <c r="BI73" s="257">
        <f t="shared" si="11"/>
        <v>0</v>
      </c>
    </row>
    <row r="74" spans="1:65" ht="15" customHeight="1">
      <c r="A74" s="250" t="s">
        <v>951</v>
      </c>
      <c r="C74" s="354"/>
      <c r="D74" s="424"/>
      <c r="E74" s="357"/>
      <c r="F74" s="417"/>
      <c r="G74" s="59"/>
      <c r="H74" s="59"/>
      <c r="I74" s="59"/>
      <c r="J74" s="302"/>
      <c r="K74" s="59"/>
      <c r="L74" s="59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255"/>
      <c r="AM74" s="254">
        <f t="shared" si="0"/>
        <v>0</v>
      </c>
      <c r="AN74" s="255"/>
      <c r="AO74" s="254">
        <f t="shared" si="1"/>
        <v>0</v>
      </c>
      <c r="AP74" s="255"/>
      <c r="AQ74" s="254">
        <f t="shared" si="2"/>
        <v>0</v>
      </c>
      <c r="AR74" s="256"/>
      <c r="AS74" s="257">
        <f t="shared" si="3"/>
        <v>0</v>
      </c>
      <c r="AT74" s="268"/>
      <c r="AU74" s="257">
        <f t="shared" si="4"/>
        <v>0</v>
      </c>
      <c r="AV74" s="268"/>
      <c r="AW74" s="257">
        <f t="shared" si="5"/>
        <v>0</v>
      </c>
      <c r="AX74" s="59"/>
      <c r="AY74" s="257">
        <f t="shared" si="6"/>
        <v>0</v>
      </c>
      <c r="AZ74" s="268"/>
      <c r="BA74" s="257">
        <f t="shared" si="7"/>
        <v>0</v>
      </c>
      <c r="BB74" s="268"/>
      <c r="BC74" s="257">
        <f t="shared" si="8"/>
        <v>0</v>
      </c>
      <c r="BD74" s="59"/>
      <c r="BE74" s="257">
        <f t="shared" si="9"/>
        <v>0</v>
      </c>
      <c r="BF74" s="59"/>
      <c r="BG74" s="257">
        <f t="shared" si="10"/>
        <v>0</v>
      </c>
      <c r="BH74" s="59"/>
      <c r="BI74" s="257">
        <f t="shared" si="11"/>
        <v>0</v>
      </c>
    </row>
    <row r="75" spans="1:65" ht="15" customHeight="1">
      <c r="A75" s="250" t="s">
        <v>951</v>
      </c>
      <c r="B75" s="59" t="s">
        <v>341</v>
      </c>
      <c r="C75" s="354" t="s">
        <v>172</v>
      </c>
      <c r="D75" s="424"/>
      <c r="E75" s="357" t="s">
        <v>173</v>
      </c>
      <c r="F75" s="417" t="s">
        <v>71</v>
      </c>
      <c r="G75" s="317">
        <v>2022</v>
      </c>
      <c r="H75" s="59" t="s">
        <v>514</v>
      </c>
      <c r="I75" s="315" t="s">
        <v>175</v>
      </c>
      <c r="J75" s="316">
        <v>11</v>
      </c>
      <c r="K75" s="59" t="s">
        <v>515</v>
      </c>
      <c r="L75" s="59" t="s">
        <v>177</v>
      </c>
      <c r="M75" s="300" t="s">
        <v>474</v>
      </c>
      <c r="N75" s="300">
        <v>3.52</v>
      </c>
      <c r="O75" s="300">
        <v>3.52</v>
      </c>
      <c r="P75" s="300">
        <v>3.52</v>
      </c>
      <c r="Q75" s="300">
        <v>3.52</v>
      </c>
      <c r="R75" s="300">
        <v>3.52</v>
      </c>
      <c r="S75" s="300">
        <v>3.52</v>
      </c>
      <c r="T75" s="300">
        <v>3.52</v>
      </c>
      <c r="U75" s="300">
        <v>3.52</v>
      </c>
      <c r="V75" s="300">
        <v>3.52</v>
      </c>
      <c r="W75" s="300">
        <v>3.52</v>
      </c>
      <c r="X75" s="300">
        <v>3.52</v>
      </c>
      <c r="Y75" s="300">
        <v>3.52</v>
      </c>
      <c r="Z75" s="59">
        <v>0.08</v>
      </c>
      <c r="AA75" s="59">
        <v>0.08</v>
      </c>
      <c r="AB75" s="59">
        <v>0.08</v>
      </c>
      <c r="AC75" s="59">
        <v>0</v>
      </c>
      <c r="AD75" s="59">
        <v>0.08</v>
      </c>
      <c r="AE75" s="59">
        <v>0.08</v>
      </c>
      <c r="AF75" s="59">
        <v>0.08</v>
      </c>
      <c r="AG75" s="59">
        <v>0.08</v>
      </c>
      <c r="AH75" s="59">
        <v>0.08</v>
      </c>
      <c r="AI75" s="59">
        <v>0.08</v>
      </c>
      <c r="AJ75" s="59">
        <v>0.08</v>
      </c>
      <c r="AK75" s="59">
        <v>0.08</v>
      </c>
      <c r="AL75" s="255"/>
      <c r="AM75" s="254">
        <f t="shared" si="0"/>
        <v>0</v>
      </c>
      <c r="AN75" s="255"/>
      <c r="AO75" s="254">
        <f t="shared" si="1"/>
        <v>0</v>
      </c>
      <c r="AP75" s="255"/>
      <c r="AQ75" s="254">
        <f t="shared" si="2"/>
        <v>0</v>
      </c>
      <c r="AR75" s="255"/>
      <c r="AS75" s="257">
        <f t="shared" si="3"/>
        <v>0</v>
      </c>
      <c r="AT75" s="255"/>
      <c r="AU75" s="257">
        <f t="shared" si="4"/>
        <v>0</v>
      </c>
      <c r="AV75" s="388"/>
      <c r="AW75" s="257">
        <f t="shared" si="5"/>
        <v>0</v>
      </c>
      <c r="AX75" s="255"/>
      <c r="AY75" s="257">
        <f t="shared" si="6"/>
        <v>0</v>
      </c>
      <c r="AZ75" s="255"/>
      <c r="BA75" s="257">
        <f t="shared" si="7"/>
        <v>0</v>
      </c>
      <c r="BB75" s="255"/>
      <c r="BC75" s="257">
        <f t="shared" si="8"/>
        <v>0</v>
      </c>
      <c r="BD75" s="255"/>
      <c r="BE75" s="257">
        <f t="shared" si="9"/>
        <v>0</v>
      </c>
      <c r="BF75" s="255"/>
      <c r="BG75" s="257">
        <f t="shared" si="10"/>
        <v>0</v>
      </c>
      <c r="BH75" s="255"/>
      <c r="BI75" s="257">
        <f t="shared" si="11"/>
        <v>0</v>
      </c>
      <c r="BJ75" s="1" t="s">
        <v>516</v>
      </c>
      <c r="BL75" s="1" t="s">
        <v>457</v>
      </c>
      <c r="BM75" s="1" t="s">
        <v>517</v>
      </c>
    </row>
    <row r="76" spans="1:65" ht="15" customHeight="1">
      <c r="A76" s="250" t="s">
        <v>951</v>
      </c>
      <c r="B76" s="59" t="s">
        <v>341</v>
      </c>
      <c r="C76" s="354" t="s">
        <v>172</v>
      </c>
      <c r="D76" s="424"/>
      <c r="E76" s="357" t="s">
        <v>173</v>
      </c>
      <c r="F76" s="417"/>
      <c r="G76" s="317">
        <v>2022</v>
      </c>
      <c r="H76" s="59" t="s">
        <v>514</v>
      </c>
      <c r="I76" s="315" t="s">
        <v>175</v>
      </c>
      <c r="J76" s="316">
        <v>11</v>
      </c>
      <c r="K76" s="59" t="s">
        <v>518</v>
      </c>
      <c r="L76" s="59" t="s">
        <v>177</v>
      </c>
      <c r="M76" s="300" t="s">
        <v>474</v>
      </c>
      <c r="N76" s="300">
        <v>3.52</v>
      </c>
      <c r="O76" s="300">
        <v>3.52</v>
      </c>
      <c r="P76" s="300">
        <v>3.52</v>
      </c>
      <c r="Q76" s="300">
        <v>3.52</v>
      </c>
      <c r="R76" s="300">
        <v>3.52</v>
      </c>
      <c r="S76" s="300">
        <v>3.52</v>
      </c>
      <c r="T76" s="300">
        <v>3.52</v>
      </c>
      <c r="U76" s="300">
        <v>3.52</v>
      </c>
      <c r="V76" s="300">
        <v>3.52</v>
      </c>
      <c r="W76" s="300">
        <v>3.52</v>
      </c>
      <c r="X76" s="300">
        <v>3.52</v>
      </c>
      <c r="Y76" s="300">
        <v>3.52</v>
      </c>
      <c r="Z76" s="59">
        <v>0.08</v>
      </c>
      <c r="AA76" s="59">
        <v>0.08</v>
      </c>
      <c r="AB76" s="59">
        <v>0.08</v>
      </c>
      <c r="AC76" s="59">
        <v>0</v>
      </c>
      <c r="AD76" s="59">
        <v>0.08</v>
      </c>
      <c r="AE76" s="59">
        <v>0.08</v>
      </c>
      <c r="AF76" s="59">
        <v>0.08</v>
      </c>
      <c r="AG76" s="59">
        <v>0.08</v>
      </c>
      <c r="AH76" s="59">
        <v>0.08</v>
      </c>
      <c r="AI76" s="59">
        <v>0.08</v>
      </c>
      <c r="AJ76" s="59">
        <v>0.08</v>
      </c>
      <c r="AK76" s="59">
        <v>0.08</v>
      </c>
      <c r="AL76" s="255"/>
      <c r="AM76" s="254">
        <f t="shared" si="0"/>
        <v>0</v>
      </c>
      <c r="AN76" s="255"/>
      <c r="AO76" s="254">
        <f t="shared" si="1"/>
        <v>0</v>
      </c>
      <c r="AP76" s="255"/>
      <c r="AQ76" s="254">
        <f t="shared" si="2"/>
        <v>0</v>
      </c>
      <c r="AR76" s="255"/>
      <c r="AS76" s="257">
        <f t="shared" si="3"/>
        <v>0</v>
      </c>
      <c r="AT76" s="255"/>
      <c r="AU76" s="257">
        <f t="shared" si="4"/>
        <v>0</v>
      </c>
      <c r="AV76" s="388"/>
      <c r="AW76" s="257">
        <f t="shared" si="5"/>
        <v>0</v>
      </c>
      <c r="AX76" s="255"/>
      <c r="AY76" s="257">
        <f t="shared" si="6"/>
        <v>0</v>
      </c>
      <c r="AZ76" s="255"/>
      <c r="BA76" s="257">
        <f t="shared" si="7"/>
        <v>0</v>
      </c>
      <c r="BB76" s="255"/>
      <c r="BC76" s="257">
        <f t="shared" si="8"/>
        <v>0</v>
      </c>
      <c r="BD76" s="255"/>
      <c r="BE76" s="257">
        <f t="shared" si="9"/>
        <v>0</v>
      </c>
      <c r="BF76" s="255"/>
      <c r="BG76" s="257">
        <f t="shared" si="10"/>
        <v>0</v>
      </c>
      <c r="BH76" s="255"/>
      <c r="BI76" s="257">
        <f t="shared" si="11"/>
        <v>0</v>
      </c>
      <c r="BJ76" s="1" t="s">
        <v>519</v>
      </c>
      <c r="BL76" s="1" t="s">
        <v>457</v>
      </c>
      <c r="BM76" s="1" t="s">
        <v>520</v>
      </c>
    </row>
    <row r="77" spans="1:65" ht="15" customHeight="1">
      <c r="A77" s="250" t="s">
        <v>951</v>
      </c>
      <c r="B77" s="59" t="s">
        <v>341</v>
      </c>
      <c r="C77" s="354" t="s">
        <v>172</v>
      </c>
      <c r="D77" s="424"/>
      <c r="E77" s="357" t="s">
        <v>173</v>
      </c>
      <c r="F77" s="417"/>
      <c r="G77" s="317">
        <v>2023</v>
      </c>
      <c r="H77" s="59" t="s">
        <v>514</v>
      </c>
      <c r="I77" s="315" t="s">
        <v>175</v>
      </c>
      <c r="J77" s="316">
        <v>11</v>
      </c>
      <c r="K77" s="59" t="s">
        <v>521</v>
      </c>
      <c r="L77" s="59" t="s">
        <v>177</v>
      </c>
      <c r="M77" s="300" t="s">
        <v>474</v>
      </c>
      <c r="N77" s="300">
        <v>3.52</v>
      </c>
      <c r="O77" s="300">
        <v>3.52</v>
      </c>
      <c r="P77" s="300">
        <v>3.52</v>
      </c>
      <c r="Q77" s="300">
        <v>3.52</v>
      </c>
      <c r="R77" s="300">
        <v>3.52</v>
      </c>
      <c r="S77" s="300">
        <v>3.52</v>
      </c>
      <c r="T77" s="300">
        <v>3.52</v>
      </c>
      <c r="U77" s="300">
        <v>3.52</v>
      </c>
      <c r="V77" s="300">
        <v>3.52</v>
      </c>
      <c r="W77" s="300">
        <v>3.52</v>
      </c>
      <c r="X77" s="300">
        <v>3.52</v>
      </c>
      <c r="Y77" s="300">
        <v>3.52</v>
      </c>
      <c r="Z77" s="59">
        <v>0.08</v>
      </c>
      <c r="AA77" s="59">
        <v>0.08</v>
      </c>
      <c r="AB77" s="59">
        <v>0.08</v>
      </c>
      <c r="AC77" s="59">
        <v>0</v>
      </c>
      <c r="AD77" s="59">
        <v>0.08</v>
      </c>
      <c r="AE77" s="59">
        <v>0.08</v>
      </c>
      <c r="AF77" s="59">
        <v>0.08</v>
      </c>
      <c r="AG77" s="59">
        <v>0.08</v>
      </c>
      <c r="AH77" s="59">
        <v>0.08</v>
      </c>
      <c r="AI77" s="59">
        <v>0.08</v>
      </c>
      <c r="AJ77" s="59">
        <v>0.08</v>
      </c>
      <c r="AK77" s="59">
        <v>0.08</v>
      </c>
      <c r="AL77" s="255"/>
      <c r="AM77" s="254">
        <f t="shared" si="0"/>
        <v>0</v>
      </c>
      <c r="AN77" s="255"/>
      <c r="AO77" s="254">
        <f t="shared" si="1"/>
        <v>0</v>
      </c>
      <c r="AP77" s="255"/>
      <c r="AQ77" s="254">
        <f t="shared" si="2"/>
        <v>0</v>
      </c>
      <c r="AR77" s="255"/>
      <c r="AS77" s="257">
        <f t="shared" si="3"/>
        <v>0</v>
      </c>
      <c r="AT77" s="255"/>
      <c r="AU77" s="257">
        <f t="shared" si="4"/>
        <v>0</v>
      </c>
      <c r="AV77" s="388"/>
      <c r="AW77" s="257">
        <f t="shared" si="5"/>
        <v>0</v>
      </c>
      <c r="AX77" s="255"/>
      <c r="AY77" s="257">
        <f t="shared" si="6"/>
        <v>0</v>
      </c>
      <c r="AZ77" s="255"/>
      <c r="BA77" s="257">
        <f t="shared" si="7"/>
        <v>0</v>
      </c>
      <c r="BB77" s="255"/>
      <c r="BC77" s="257">
        <f t="shared" si="8"/>
        <v>0</v>
      </c>
      <c r="BD77" s="255"/>
      <c r="BE77" s="257">
        <f t="shared" si="9"/>
        <v>0</v>
      </c>
      <c r="BF77" s="255"/>
      <c r="BG77" s="257">
        <f t="shared" si="10"/>
        <v>0</v>
      </c>
      <c r="BH77" s="255"/>
      <c r="BI77" s="257">
        <f t="shared" si="11"/>
        <v>0</v>
      </c>
      <c r="BJ77" s="1" t="s">
        <v>522</v>
      </c>
      <c r="BL77" s="1" t="s">
        <v>457</v>
      </c>
      <c r="BM77" s="1" t="s">
        <v>523</v>
      </c>
    </row>
    <row r="78" spans="1:65" ht="15" customHeight="1">
      <c r="A78" s="250" t="s">
        <v>951</v>
      </c>
      <c r="B78" s="59" t="s">
        <v>341</v>
      </c>
      <c r="C78" s="354" t="s">
        <v>172</v>
      </c>
      <c r="D78" s="424"/>
      <c r="E78" s="357" t="s">
        <v>173</v>
      </c>
      <c r="F78" s="417"/>
      <c r="G78" s="317">
        <v>2023</v>
      </c>
      <c r="H78" s="59" t="s">
        <v>524</v>
      </c>
      <c r="I78" s="315" t="s">
        <v>175</v>
      </c>
      <c r="J78" s="316">
        <v>11</v>
      </c>
      <c r="K78" s="59" t="s">
        <v>515</v>
      </c>
      <c r="L78" s="59" t="s">
        <v>177</v>
      </c>
      <c r="M78" s="300" t="s">
        <v>474</v>
      </c>
      <c r="N78" s="300">
        <v>3.52</v>
      </c>
      <c r="O78" s="300">
        <v>3.52</v>
      </c>
      <c r="P78" s="300">
        <v>3.52</v>
      </c>
      <c r="Q78" s="300">
        <v>3.52</v>
      </c>
      <c r="R78" s="300">
        <v>3.52</v>
      </c>
      <c r="S78" s="300">
        <v>3.52</v>
      </c>
      <c r="T78" s="300">
        <v>3.52</v>
      </c>
      <c r="U78" s="300">
        <v>3.52</v>
      </c>
      <c r="V78" s="300">
        <v>3.52</v>
      </c>
      <c r="W78" s="300">
        <v>3.52</v>
      </c>
      <c r="X78" s="300">
        <v>3.52</v>
      </c>
      <c r="Y78" s="300">
        <v>3.52</v>
      </c>
      <c r="Z78" s="59">
        <v>0.08</v>
      </c>
      <c r="AA78" s="59">
        <v>0.08</v>
      </c>
      <c r="AB78" s="59">
        <v>0.08</v>
      </c>
      <c r="AC78" s="59">
        <v>0</v>
      </c>
      <c r="AD78" s="59">
        <v>0.08</v>
      </c>
      <c r="AE78" s="59">
        <v>0.08</v>
      </c>
      <c r="AF78" s="59">
        <v>0.08</v>
      </c>
      <c r="AG78" s="59">
        <v>0.08</v>
      </c>
      <c r="AH78" s="59">
        <v>0.08</v>
      </c>
      <c r="AI78" s="59">
        <v>0.08</v>
      </c>
      <c r="AJ78" s="59">
        <v>0.08</v>
      </c>
      <c r="AK78" s="59">
        <v>0.08</v>
      </c>
      <c r="AL78" s="255">
        <v>320</v>
      </c>
      <c r="AM78" s="254">
        <f t="shared" si="0"/>
        <v>25.6</v>
      </c>
      <c r="AN78" s="255">
        <v>520</v>
      </c>
      <c r="AO78" s="254">
        <f t="shared" si="1"/>
        <v>41.6</v>
      </c>
      <c r="AP78" s="255">
        <v>556</v>
      </c>
      <c r="AQ78" s="254">
        <f t="shared" si="2"/>
        <v>44.480000000000004</v>
      </c>
      <c r="AR78" s="255">
        <v>200</v>
      </c>
      <c r="AS78" s="257">
        <f t="shared" si="3"/>
        <v>0</v>
      </c>
      <c r="AT78" s="255">
        <v>560</v>
      </c>
      <c r="AU78" s="257">
        <f t="shared" si="4"/>
        <v>44.800000000000004</v>
      </c>
      <c r="AV78" s="388"/>
      <c r="AW78" s="257">
        <f t="shared" si="5"/>
        <v>0</v>
      </c>
      <c r="AX78" s="255"/>
      <c r="AY78" s="257">
        <f t="shared" si="6"/>
        <v>0</v>
      </c>
      <c r="AZ78" s="255"/>
      <c r="BA78" s="257">
        <f t="shared" si="7"/>
        <v>0</v>
      </c>
      <c r="BB78" s="255"/>
      <c r="BC78" s="257">
        <f t="shared" si="8"/>
        <v>0</v>
      </c>
      <c r="BD78" s="255"/>
      <c r="BE78" s="257">
        <f t="shared" si="9"/>
        <v>0</v>
      </c>
      <c r="BF78" s="255"/>
      <c r="BG78" s="257">
        <f t="shared" si="10"/>
        <v>0</v>
      </c>
      <c r="BH78" s="255"/>
      <c r="BI78" s="257">
        <f t="shared" si="11"/>
        <v>0</v>
      </c>
      <c r="BJ78" s="1" t="s">
        <v>525</v>
      </c>
      <c r="BL78" s="1" t="s">
        <v>457</v>
      </c>
      <c r="BM78" s="1" t="s">
        <v>526</v>
      </c>
    </row>
    <row r="79" spans="1:65" ht="15" customHeight="1">
      <c r="A79" s="250" t="s">
        <v>951</v>
      </c>
      <c r="B79" s="59" t="s">
        <v>341</v>
      </c>
      <c r="C79" s="354" t="s">
        <v>172</v>
      </c>
      <c r="D79" s="424"/>
      <c r="E79" s="357" t="s">
        <v>173</v>
      </c>
      <c r="F79" s="417"/>
      <c r="G79" s="317">
        <v>2023</v>
      </c>
      <c r="H79" s="59" t="s">
        <v>524</v>
      </c>
      <c r="I79" s="315" t="s">
        <v>175</v>
      </c>
      <c r="J79" s="316">
        <v>11</v>
      </c>
      <c r="K79" s="59" t="s">
        <v>518</v>
      </c>
      <c r="L79" s="59" t="s">
        <v>177</v>
      </c>
      <c r="M79" s="300" t="s">
        <v>474</v>
      </c>
      <c r="N79" s="300">
        <v>3.52</v>
      </c>
      <c r="O79" s="300">
        <v>3.52</v>
      </c>
      <c r="P79" s="300">
        <v>3.52</v>
      </c>
      <c r="Q79" s="300">
        <v>3.52</v>
      </c>
      <c r="R79" s="300">
        <v>3.52</v>
      </c>
      <c r="S79" s="300">
        <v>3.52</v>
      </c>
      <c r="T79" s="300">
        <v>3.52</v>
      </c>
      <c r="U79" s="300">
        <v>3.52</v>
      </c>
      <c r="V79" s="300">
        <v>3.52</v>
      </c>
      <c r="W79" s="300">
        <v>3.52</v>
      </c>
      <c r="X79" s="300">
        <v>3.52</v>
      </c>
      <c r="Y79" s="300">
        <v>3.52</v>
      </c>
      <c r="Z79" s="59">
        <v>0.08</v>
      </c>
      <c r="AA79" s="59">
        <v>0.08</v>
      </c>
      <c r="AB79" s="59">
        <v>0.08</v>
      </c>
      <c r="AC79" s="59">
        <v>0</v>
      </c>
      <c r="AD79" s="59">
        <v>0.08</v>
      </c>
      <c r="AE79" s="59">
        <v>0.08</v>
      </c>
      <c r="AF79" s="59">
        <v>0.08</v>
      </c>
      <c r="AG79" s="59">
        <v>0.08</v>
      </c>
      <c r="AH79" s="59">
        <v>0.08</v>
      </c>
      <c r="AI79" s="59">
        <v>0.08</v>
      </c>
      <c r="AJ79" s="59">
        <v>0.08</v>
      </c>
      <c r="AK79" s="59">
        <v>0.08</v>
      </c>
      <c r="AL79" s="255"/>
      <c r="AM79" s="254">
        <f t="shared" si="0"/>
        <v>0</v>
      </c>
      <c r="AN79" s="255"/>
      <c r="AO79" s="254">
        <f t="shared" si="1"/>
        <v>0</v>
      </c>
      <c r="AP79" s="255">
        <v>280</v>
      </c>
      <c r="AQ79" s="254">
        <f t="shared" si="2"/>
        <v>22.400000000000002</v>
      </c>
      <c r="AR79" s="255">
        <v>40</v>
      </c>
      <c r="AS79" s="257">
        <f t="shared" si="3"/>
        <v>0</v>
      </c>
      <c r="AT79" s="255">
        <v>160</v>
      </c>
      <c r="AU79" s="257">
        <f t="shared" si="4"/>
        <v>12.8</v>
      </c>
      <c r="AV79" s="388"/>
      <c r="AW79" s="257">
        <f t="shared" si="5"/>
        <v>0</v>
      </c>
      <c r="AX79" s="255"/>
      <c r="AY79" s="257">
        <f t="shared" si="6"/>
        <v>0</v>
      </c>
      <c r="AZ79" s="255"/>
      <c r="BA79" s="257">
        <f t="shared" si="7"/>
        <v>0</v>
      </c>
      <c r="BB79" s="255"/>
      <c r="BC79" s="257">
        <f t="shared" si="8"/>
        <v>0</v>
      </c>
      <c r="BD79" s="255"/>
      <c r="BE79" s="257">
        <f t="shared" si="9"/>
        <v>0</v>
      </c>
      <c r="BF79" s="255"/>
      <c r="BG79" s="257">
        <f t="shared" si="10"/>
        <v>0</v>
      </c>
      <c r="BH79" s="255"/>
      <c r="BI79" s="257">
        <f t="shared" si="11"/>
        <v>0</v>
      </c>
      <c r="BJ79" s="1" t="s">
        <v>527</v>
      </c>
      <c r="BL79" s="1" t="s">
        <v>457</v>
      </c>
      <c r="BM79" s="1" t="s">
        <v>528</v>
      </c>
    </row>
    <row r="80" spans="1:65" ht="15" customHeight="1">
      <c r="A80" s="250" t="s">
        <v>951</v>
      </c>
      <c r="B80" s="59" t="s">
        <v>341</v>
      </c>
      <c r="C80" s="354" t="s">
        <v>172</v>
      </c>
      <c r="D80" s="424"/>
      <c r="E80" s="357" t="s">
        <v>173</v>
      </c>
      <c r="F80" s="417"/>
      <c r="G80" s="317">
        <v>2023</v>
      </c>
      <c r="H80" s="59" t="s">
        <v>524</v>
      </c>
      <c r="I80" s="315" t="s">
        <v>175</v>
      </c>
      <c r="J80" s="316">
        <v>11</v>
      </c>
      <c r="K80" s="59" t="s">
        <v>521</v>
      </c>
      <c r="L80" s="59" t="s">
        <v>177</v>
      </c>
      <c r="M80" s="300" t="s">
        <v>474</v>
      </c>
      <c r="N80" s="300">
        <v>3.52</v>
      </c>
      <c r="O80" s="300">
        <v>3.52</v>
      </c>
      <c r="P80" s="300">
        <v>3.52</v>
      </c>
      <c r="Q80" s="300">
        <v>3.52</v>
      </c>
      <c r="R80" s="300">
        <v>3.52</v>
      </c>
      <c r="S80" s="300">
        <v>3.52</v>
      </c>
      <c r="T80" s="300">
        <v>3.52</v>
      </c>
      <c r="U80" s="300">
        <v>3.52</v>
      </c>
      <c r="V80" s="300">
        <v>3.52</v>
      </c>
      <c r="W80" s="300">
        <v>3.52</v>
      </c>
      <c r="X80" s="300">
        <v>3.52</v>
      </c>
      <c r="Y80" s="300">
        <v>3.52</v>
      </c>
      <c r="Z80" s="59">
        <v>0.08</v>
      </c>
      <c r="AA80" s="59">
        <v>0.08</v>
      </c>
      <c r="AB80" s="59">
        <v>0.08</v>
      </c>
      <c r="AC80" s="59">
        <v>0</v>
      </c>
      <c r="AD80" s="59">
        <v>0.08</v>
      </c>
      <c r="AE80" s="59">
        <v>0.08</v>
      </c>
      <c r="AF80" s="59">
        <v>0.08</v>
      </c>
      <c r="AG80" s="59">
        <v>0.08</v>
      </c>
      <c r="AH80" s="59">
        <v>0.08</v>
      </c>
      <c r="AI80" s="59">
        <v>0.08</v>
      </c>
      <c r="AJ80" s="59">
        <v>0.08</v>
      </c>
      <c r="AK80" s="59">
        <v>0.08</v>
      </c>
      <c r="AL80" s="255"/>
      <c r="AM80" s="254">
        <f t="shared" si="0"/>
        <v>0</v>
      </c>
      <c r="AN80" s="255">
        <v>80</v>
      </c>
      <c r="AO80" s="254">
        <f t="shared" si="1"/>
        <v>6.4</v>
      </c>
      <c r="AP80" s="255">
        <v>80</v>
      </c>
      <c r="AQ80" s="254">
        <f t="shared" si="2"/>
        <v>6.4</v>
      </c>
      <c r="AR80" s="255"/>
      <c r="AS80" s="257">
        <f t="shared" si="3"/>
        <v>0</v>
      </c>
      <c r="AT80" s="255"/>
      <c r="AU80" s="257">
        <f t="shared" si="4"/>
        <v>0</v>
      </c>
      <c r="AV80" s="388"/>
      <c r="AW80" s="257">
        <f t="shared" si="5"/>
        <v>0</v>
      </c>
      <c r="AX80" s="255"/>
      <c r="AY80" s="257">
        <f t="shared" si="6"/>
        <v>0</v>
      </c>
      <c r="AZ80" s="255"/>
      <c r="BA80" s="257">
        <f t="shared" si="7"/>
        <v>0</v>
      </c>
      <c r="BB80" s="255"/>
      <c r="BC80" s="257">
        <f t="shared" si="8"/>
        <v>0</v>
      </c>
      <c r="BD80" s="255"/>
      <c r="BE80" s="257">
        <f t="shared" si="9"/>
        <v>0</v>
      </c>
      <c r="BF80" s="255"/>
      <c r="BG80" s="257">
        <f t="shared" si="10"/>
        <v>0</v>
      </c>
      <c r="BH80" s="255"/>
      <c r="BI80" s="257">
        <f t="shared" si="11"/>
        <v>0</v>
      </c>
      <c r="BJ80" s="1" t="s">
        <v>529</v>
      </c>
      <c r="BL80" s="1" t="s">
        <v>457</v>
      </c>
      <c r="BM80" s="1" t="s">
        <v>530</v>
      </c>
    </row>
    <row r="81" spans="1:65" ht="15" customHeight="1">
      <c r="A81" s="250" t="s">
        <v>951</v>
      </c>
      <c r="B81" s="59" t="s">
        <v>341</v>
      </c>
      <c r="C81" s="354" t="s">
        <v>172</v>
      </c>
      <c r="D81" s="424"/>
      <c r="E81" s="357" t="s">
        <v>173</v>
      </c>
      <c r="F81" s="417"/>
      <c r="G81" s="317">
        <v>2024</v>
      </c>
      <c r="H81" s="59" t="s">
        <v>524</v>
      </c>
      <c r="I81" s="315" t="s">
        <v>175</v>
      </c>
      <c r="J81" s="316">
        <v>11</v>
      </c>
      <c r="K81" s="59" t="s">
        <v>515</v>
      </c>
      <c r="L81" s="59" t="s">
        <v>177</v>
      </c>
      <c r="M81" s="300" t="s">
        <v>474</v>
      </c>
      <c r="N81" s="300">
        <v>3.52</v>
      </c>
      <c r="O81" s="300">
        <v>3.52</v>
      </c>
      <c r="P81" s="300">
        <v>3.52</v>
      </c>
      <c r="Q81" s="300">
        <v>3.52</v>
      </c>
      <c r="R81" s="300">
        <v>3.52</v>
      </c>
      <c r="S81" s="300">
        <v>3.52</v>
      </c>
      <c r="T81" s="300">
        <v>3.52</v>
      </c>
      <c r="U81" s="300">
        <v>3.52</v>
      </c>
      <c r="V81" s="300">
        <v>3.52</v>
      </c>
      <c r="W81" s="300">
        <v>3.52</v>
      </c>
      <c r="X81" s="300">
        <v>3.52</v>
      </c>
      <c r="Y81" s="300">
        <v>3.52</v>
      </c>
      <c r="Z81" s="59">
        <v>0.08</v>
      </c>
      <c r="AA81" s="59">
        <v>0.08</v>
      </c>
      <c r="AB81" s="59">
        <v>0.08</v>
      </c>
      <c r="AC81" s="59">
        <v>0</v>
      </c>
      <c r="AD81" s="59">
        <v>0.08</v>
      </c>
      <c r="AE81" s="59">
        <v>0.08</v>
      </c>
      <c r="AF81" s="59">
        <v>0.08</v>
      </c>
      <c r="AG81" s="59">
        <v>0.08</v>
      </c>
      <c r="AH81" s="59">
        <v>0.08</v>
      </c>
      <c r="AI81" s="59">
        <v>0.08</v>
      </c>
      <c r="AJ81" s="59">
        <v>0.08</v>
      </c>
      <c r="AK81" s="59">
        <v>0.08</v>
      </c>
      <c r="AL81" s="255">
        <v>11880</v>
      </c>
      <c r="AM81" s="254">
        <f t="shared" si="0"/>
        <v>950.4</v>
      </c>
      <c r="AN81" s="255">
        <v>680</v>
      </c>
      <c r="AO81" s="254">
        <f t="shared" si="1"/>
        <v>54.4</v>
      </c>
      <c r="AP81" s="255">
        <v>16276</v>
      </c>
      <c r="AQ81" s="254">
        <f t="shared" si="2"/>
        <v>1302.08</v>
      </c>
      <c r="AR81" s="255">
        <v>1120</v>
      </c>
      <c r="AS81" s="257">
        <f t="shared" si="3"/>
        <v>0</v>
      </c>
      <c r="AT81" s="255">
        <v>21120</v>
      </c>
      <c r="AU81" s="257">
        <f t="shared" si="4"/>
        <v>1689.6000000000001</v>
      </c>
      <c r="AV81" s="388"/>
      <c r="AW81" s="257">
        <f t="shared" si="5"/>
        <v>0</v>
      </c>
      <c r="AX81" s="255"/>
      <c r="AY81" s="257">
        <f t="shared" si="6"/>
        <v>0</v>
      </c>
      <c r="AZ81" s="255"/>
      <c r="BA81" s="257">
        <f t="shared" si="7"/>
        <v>0</v>
      </c>
      <c r="BB81" s="255"/>
      <c r="BC81" s="257">
        <f t="shared" si="8"/>
        <v>0</v>
      </c>
      <c r="BD81" s="255"/>
      <c r="BE81" s="257">
        <f t="shared" si="9"/>
        <v>0</v>
      </c>
      <c r="BF81" s="255"/>
      <c r="BG81" s="257">
        <f t="shared" si="10"/>
        <v>0</v>
      </c>
      <c r="BH81" s="255"/>
      <c r="BI81" s="257">
        <f t="shared" si="11"/>
        <v>0</v>
      </c>
      <c r="BJ81" s="1" t="s">
        <v>531</v>
      </c>
      <c r="BK81" s="1" t="s">
        <v>532</v>
      </c>
      <c r="BL81" s="1" t="s">
        <v>457</v>
      </c>
      <c r="BM81" s="1" t="s">
        <v>533</v>
      </c>
    </row>
    <row r="82" spans="1:65" ht="15" customHeight="1">
      <c r="A82" s="250" t="s">
        <v>951</v>
      </c>
      <c r="B82" s="59" t="s">
        <v>341</v>
      </c>
      <c r="C82" s="354" t="s">
        <v>172</v>
      </c>
      <c r="D82" s="424"/>
      <c r="E82" s="357" t="s">
        <v>173</v>
      </c>
      <c r="F82" s="417"/>
      <c r="G82" s="317">
        <v>2024</v>
      </c>
      <c r="H82" s="59" t="s">
        <v>524</v>
      </c>
      <c r="I82" s="315" t="s">
        <v>175</v>
      </c>
      <c r="J82" s="316">
        <v>11</v>
      </c>
      <c r="K82" s="59" t="s">
        <v>534</v>
      </c>
      <c r="L82" s="59" t="s">
        <v>177</v>
      </c>
      <c r="M82" s="300" t="s">
        <v>474</v>
      </c>
      <c r="N82" s="300">
        <v>3.52</v>
      </c>
      <c r="O82" s="300">
        <v>3.52</v>
      </c>
      <c r="P82" s="300">
        <v>3.52</v>
      </c>
      <c r="Q82" s="300">
        <v>3.52</v>
      </c>
      <c r="R82" s="300">
        <v>3.52</v>
      </c>
      <c r="S82" s="300">
        <v>3.52</v>
      </c>
      <c r="T82" s="300">
        <v>3.52</v>
      </c>
      <c r="U82" s="300">
        <v>3.52</v>
      </c>
      <c r="V82" s="300">
        <v>3.52</v>
      </c>
      <c r="W82" s="300">
        <v>3.52</v>
      </c>
      <c r="X82" s="300">
        <v>3.52</v>
      </c>
      <c r="Y82" s="300">
        <v>3.52</v>
      </c>
      <c r="Z82" s="59">
        <v>0.08</v>
      </c>
      <c r="AA82" s="59">
        <v>0.08</v>
      </c>
      <c r="AB82" s="59">
        <v>0.08</v>
      </c>
      <c r="AC82" s="59">
        <v>0</v>
      </c>
      <c r="AD82" s="59">
        <v>0.08</v>
      </c>
      <c r="AE82" s="59">
        <v>0.08</v>
      </c>
      <c r="AF82" s="59">
        <v>0.08</v>
      </c>
      <c r="AG82" s="59">
        <v>0.08</v>
      </c>
      <c r="AH82" s="59">
        <v>0.08</v>
      </c>
      <c r="AI82" s="59">
        <v>0.08</v>
      </c>
      <c r="AJ82" s="59">
        <v>0.08</v>
      </c>
      <c r="AK82" s="59">
        <v>0.08</v>
      </c>
      <c r="AL82" s="255">
        <v>360</v>
      </c>
      <c r="AM82" s="254">
        <f t="shared" si="0"/>
        <v>28.8</v>
      </c>
      <c r="AN82" s="255">
        <v>400</v>
      </c>
      <c r="AO82" s="254">
        <f t="shared" si="1"/>
        <v>32</v>
      </c>
      <c r="AP82" s="255">
        <v>4920</v>
      </c>
      <c r="AQ82" s="254">
        <f t="shared" si="2"/>
        <v>393.6</v>
      </c>
      <c r="AR82" s="255">
        <v>3880</v>
      </c>
      <c r="AS82" s="257">
        <f t="shared" si="3"/>
        <v>0</v>
      </c>
      <c r="AT82" s="255">
        <v>6240</v>
      </c>
      <c r="AU82" s="257">
        <f t="shared" si="4"/>
        <v>499.2</v>
      </c>
      <c r="AV82" s="388"/>
      <c r="AW82" s="257">
        <f t="shared" si="5"/>
        <v>0</v>
      </c>
      <c r="AX82" s="255"/>
      <c r="AY82" s="257">
        <f t="shared" si="6"/>
        <v>0</v>
      </c>
      <c r="AZ82" s="255"/>
      <c r="BA82" s="257">
        <f t="shared" si="7"/>
        <v>0</v>
      </c>
      <c r="BB82" s="255"/>
      <c r="BC82" s="257">
        <f t="shared" si="8"/>
        <v>0</v>
      </c>
      <c r="BD82" s="255"/>
      <c r="BE82" s="257">
        <f t="shared" si="9"/>
        <v>0</v>
      </c>
      <c r="BF82" s="255"/>
      <c r="BG82" s="257">
        <f t="shared" si="10"/>
        <v>0</v>
      </c>
      <c r="BH82" s="255"/>
      <c r="BI82" s="257">
        <f t="shared" si="11"/>
        <v>0</v>
      </c>
      <c r="BJ82" s="1" t="s">
        <v>535</v>
      </c>
      <c r="BK82" s="1" t="s">
        <v>532</v>
      </c>
      <c r="BL82" s="1" t="s">
        <v>457</v>
      </c>
      <c r="BM82" s="1" t="s">
        <v>536</v>
      </c>
    </row>
    <row r="83" spans="1:65" ht="15" customHeight="1">
      <c r="A83" s="250" t="s">
        <v>951</v>
      </c>
      <c r="B83" s="59" t="s">
        <v>341</v>
      </c>
      <c r="C83" s="354" t="s">
        <v>172</v>
      </c>
      <c r="D83" s="424"/>
      <c r="E83" s="357" t="s">
        <v>173</v>
      </c>
      <c r="F83" s="417"/>
      <c r="G83" s="317">
        <v>2023</v>
      </c>
      <c r="H83" s="59" t="s">
        <v>524</v>
      </c>
      <c r="I83" s="315" t="s">
        <v>175</v>
      </c>
      <c r="J83" s="316">
        <v>11</v>
      </c>
      <c r="K83" s="59" t="s">
        <v>515</v>
      </c>
      <c r="L83" s="59" t="s">
        <v>464</v>
      </c>
      <c r="M83" s="300" t="s">
        <v>513</v>
      </c>
      <c r="N83" s="300">
        <v>3.52</v>
      </c>
      <c r="O83" s="300">
        <v>3.52</v>
      </c>
      <c r="P83" s="300">
        <v>3.52</v>
      </c>
      <c r="Q83" s="300">
        <v>3.52</v>
      </c>
      <c r="R83" s="300">
        <v>3.52</v>
      </c>
      <c r="S83" s="300">
        <v>3.52</v>
      </c>
      <c r="T83" s="300">
        <v>3.52</v>
      </c>
      <c r="U83" s="300">
        <v>3.52</v>
      </c>
      <c r="V83" s="300">
        <v>3.52</v>
      </c>
      <c r="W83" s="300">
        <v>3.52</v>
      </c>
      <c r="X83" s="300">
        <v>3.52</v>
      </c>
      <c r="Y83" s="300">
        <v>3.52</v>
      </c>
      <c r="Z83" s="59">
        <v>0.08</v>
      </c>
      <c r="AA83" s="59">
        <v>0.08</v>
      </c>
      <c r="AB83" s="59">
        <v>0.08</v>
      </c>
      <c r="AC83" s="59">
        <v>0</v>
      </c>
      <c r="AD83" s="59">
        <v>0.08</v>
      </c>
      <c r="AE83" s="59">
        <v>0.08</v>
      </c>
      <c r="AF83" s="59">
        <v>0.08</v>
      </c>
      <c r="AG83" s="59">
        <v>0.08</v>
      </c>
      <c r="AH83" s="59">
        <v>0.08</v>
      </c>
      <c r="AI83" s="59">
        <v>0.08</v>
      </c>
      <c r="AJ83" s="59">
        <v>0.08</v>
      </c>
      <c r="AK83" s="59">
        <v>0.08</v>
      </c>
      <c r="AL83" s="255"/>
      <c r="AM83" s="254">
        <f t="shared" si="0"/>
        <v>0</v>
      </c>
      <c r="AN83" s="255"/>
      <c r="AO83" s="254">
        <f t="shared" si="1"/>
        <v>0</v>
      </c>
      <c r="AP83" s="255"/>
      <c r="AQ83" s="254">
        <f t="shared" si="2"/>
        <v>0</v>
      </c>
      <c r="AR83" s="255"/>
      <c r="AS83" s="257">
        <f t="shared" si="3"/>
        <v>0</v>
      </c>
      <c r="AT83" s="255"/>
      <c r="AU83" s="257">
        <f t="shared" si="4"/>
        <v>0</v>
      </c>
      <c r="AV83" s="388"/>
      <c r="AW83" s="257">
        <f t="shared" si="5"/>
        <v>0</v>
      </c>
      <c r="AX83" s="255"/>
      <c r="AY83" s="257">
        <f t="shared" si="6"/>
        <v>0</v>
      </c>
      <c r="AZ83" s="255"/>
      <c r="BA83" s="257">
        <f t="shared" si="7"/>
        <v>0</v>
      </c>
      <c r="BB83" s="255"/>
      <c r="BC83" s="257">
        <f t="shared" si="8"/>
        <v>0</v>
      </c>
      <c r="BD83" s="255"/>
      <c r="BE83" s="257">
        <f t="shared" si="9"/>
        <v>0</v>
      </c>
      <c r="BF83" s="255"/>
      <c r="BG83" s="257">
        <f t="shared" si="10"/>
        <v>0</v>
      </c>
      <c r="BH83" s="255"/>
      <c r="BI83" s="257">
        <f t="shared" si="11"/>
        <v>0</v>
      </c>
      <c r="BJ83" s="1" t="s">
        <v>525</v>
      </c>
      <c r="BL83" s="1" t="s">
        <v>457</v>
      </c>
      <c r="BM83" s="1" t="s">
        <v>526</v>
      </c>
    </row>
    <row r="84" spans="1:65" ht="15" customHeight="1">
      <c r="A84" s="250" t="s">
        <v>951</v>
      </c>
      <c r="B84" s="59" t="s">
        <v>341</v>
      </c>
      <c r="C84" s="354" t="s">
        <v>172</v>
      </c>
      <c r="D84" s="424"/>
      <c r="E84" s="357" t="s">
        <v>173</v>
      </c>
      <c r="F84" s="417"/>
      <c r="G84" s="317">
        <v>2023</v>
      </c>
      <c r="H84" s="59" t="s">
        <v>524</v>
      </c>
      <c r="I84" s="315" t="s">
        <v>175</v>
      </c>
      <c r="J84" s="316">
        <v>11</v>
      </c>
      <c r="K84" s="59" t="s">
        <v>518</v>
      </c>
      <c r="L84" s="59" t="s">
        <v>464</v>
      </c>
      <c r="M84" s="300" t="s">
        <v>513</v>
      </c>
      <c r="N84" s="300">
        <v>3.52</v>
      </c>
      <c r="O84" s="300">
        <v>3.52</v>
      </c>
      <c r="P84" s="300">
        <v>3.52</v>
      </c>
      <c r="Q84" s="300">
        <v>3.52</v>
      </c>
      <c r="R84" s="300">
        <v>3.52</v>
      </c>
      <c r="S84" s="300">
        <v>3.52</v>
      </c>
      <c r="T84" s="300">
        <v>3.52</v>
      </c>
      <c r="U84" s="300">
        <v>3.52</v>
      </c>
      <c r="V84" s="300">
        <v>3.52</v>
      </c>
      <c r="W84" s="300">
        <v>3.52</v>
      </c>
      <c r="X84" s="300">
        <v>3.52</v>
      </c>
      <c r="Y84" s="300">
        <v>3.52</v>
      </c>
      <c r="Z84" s="59">
        <v>0.08</v>
      </c>
      <c r="AA84" s="59">
        <v>0.08</v>
      </c>
      <c r="AB84" s="59">
        <v>0.08</v>
      </c>
      <c r="AC84" s="59">
        <v>0</v>
      </c>
      <c r="AD84" s="59">
        <v>0.08</v>
      </c>
      <c r="AE84" s="59">
        <v>0.08</v>
      </c>
      <c r="AF84" s="59">
        <v>0.08</v>
      </c>
      <c r="AG84" s="59">
        <v>0.08</v>
      </c>
      <c r="AH84" s="59">
        <v>0.08</v>
      </c>
      <c r="AI84" s="59">
        <v>0.08</v>
      </c>
      <c r="AJ84" s="59">
        <v>0.08</v>
      </c>
      <c r="AK84" s="59">
        <v>0.08</v>
      </c>
      <c r="AL84" s="255"/>
      <c r="AM84" s="254">
        <f t="shared" si="0"/>
        <v>0</v>
      </c>
      <c r="AN84" s="255"/>
      <c r="AO84" s="254">
        <f t="shared" si="1"/>
        <v>0</v>
      </c>
      <c r="AP84" s="255"/>
      <c r="AQ84" s="254">
        <f t="shared" si="2"/>
        <v>0</v>
      </c>
      <c r="AR84" s="255"/>
      <c r="AS84" s="257">
        <f t="shared" si="3"/>
        <v>0</v>
      </c>
      <c r="AT84" s="255"/>
      <c r="AU84" s="257">
        <f t="shared" si="4"/>
        <v>0</v>
      </c>
      <c r="AV84" s="388"/>
      <c r="AW84" s="257">
        <f t="shared" si="5"/>
        <v>0</v>
      </c>
      <c r="AX84" s="255"/>
      <c r="AY84" s="257">
        <f t="shared" si="6"/>
        <v>0</v>
      </c>
      <c r="AZ84" s="255"/>
      <c r="BA84" s="257">
        <f t="shared" si="7"/>
        <v>0</v>
      </c>
      <c r="BB84" s="255"/>
      <c r="BC84" s="257">
        <f t="shared" si="8"/>
        <v>0</v>
      </c>
      <c r="BD84" s="255"/>
      <c r="BE84" s="257">
        <f t="shared" si="9"/>
        <v>0</v>
      </c>
      <c r="BF84" s="255"/>
      <c r="BG84" s="257">
        <f t="shared" si="10"/>
        <v>0</v>
      </c>
      <c r="BH84" s="255"/>
      <c r="BI84" s="257">
        <f t="shared" si="11"/>
        <v>0</v>
      </c>
      <c r="BJ84" s="1" t="s">
        <v>527</v>
      </c>
      <c r="BL84" s="1" t="s">
        <v>457</v>
      </c>
      <c r="BM84" s="1" t="s">
        <v>528</v>
      </c>
    </row>
    <row r="85" spans="1:65" ht="15" customHeight="1">
      <c r="A85" s="250" t="s">
        <v>951</v>
      </c>
      <c r="B85" s="59" t="s">
        <v>341</v>
      </c>
      <c r="C85" s="354" t="s">
        <v>172</v>
      </c>
      <c r="D85" s="424"/>
      <c r="E85" s="357" t="s">
        <v>173</v>
      </c>
      <c r="F85" s="417"/>
      <c r="G85" s="317">
        <v>2023</v>
      </c>
      <c r="H85" s="59" t="s">
        <v>524</v>
      </c>
      <c r="I85" s="315" t="s">
        <v>175</v>
      </c>
      <c r="J85" s="316">
        <v>11</v>
      </c>
      <c r="K85" s="59" t="s">
        <v>521</v>
      </c>
      <c r="L85" s="59" t="s">
        <v>464</v>
      </c>
      <c r="M85" s="300" t="s">
        <v>513</v>
      </c>
      <c r="N85" s="300">
        <v>3.52</v>
      </c>
      <c r="O85" s="300">
        <v>3.52</v>
      </c>
      <c r="P85" s="300">
        <v>3.52</v>
      </c>
      <c r="Q85" s="300">
        <v>3.52</v>
      </c>
      <c r="R85" s="300">
        <v>3.52</v>
      </c>
      <c r="S85" s="300">
        <v>3.52</v>
      </c>
      <c r="T85" s="300">
        <v>3.52</v>
      </c>
      <c r="U85" s="300">
        <v>3.52</v>
      </c>
      <c r="V85" s="300">
        <v>3.52</v>
      </c>
      <c r="W85" s="300">
        <v>3.52</v>
      </c>
      <c r="X85" s="300">
        <v>3.52</v>
      </c>
      <c r="Y85" s="300">
        <v>3.52</v>
      </c>
      <c r="Z85" s="59">
        <v>0.08</v>
      </c>
      <c r="AA85" s="59">
        <v>0.08</v>
      </c>
      <c r="AB85" s="59">
        <v>0.08</v>
      </c>
      <c r="AC85" s="59">
        <v>0</v>
      </c>
      <c r="AD85" s="59">
        <v>0.08</v>
      </c>
      <c r="AE85" s="59">
        <v>0.08</v>
      </c>
      <c r="AF85" s="59">
        <v>0.08</v>
      </c>
      <c r="AG85" s="59">
        <v>0.08</v>
      </c>
      <c r="AH85" s="59">
        <v>0.08</v>
      </c>
      <c r="AI85" s="59">
        <v>0.08</v>
      </c>
      <c r="AJ85" s="59">
        <v>0.08</v>
      </c>
      <c r="AK85" s="59">
        <v>0.08</v>
      </c>
      <c r="AL85" s="255"/>
      <c r="AM85" s="254">
        <f t="shared" si="0"/>
        <v>0</v>
      </c>
      <c r="AN85" s="255"/>
      <c r="AO85" s="254">
        <f t="shared" si="1"/>
        <v>0</v>
      </c>
      <c r="AP85" s="255"/>
      <c r="AQ85" s="254">
        <f t="shared" si="2"/>
        <v>0</v>
      </c>
      <c r="AR85" s="255"/>
      <c r="AS85" s="257">
        <f t="shared" si="3"/>
        <v>0</v>
      </c>
      <c r="AT85" s="255"/>
      <c r="AU85" s="257">
        <f t="shared" si="4"/>
        <v>0</v>
      </c>
      <c r="AV85" s="388"/>
      <c r="AW85" s="257">
        <f t="shared" si="5"/>
        <v>0</v>
      </c>
      <c r="AX85" s="255"/>
      <c r="AY85" s="257">
        <f t="shared" si="6"/>
        <v>0</v>
      </c>
      <c r="AZ85" s="255"/>
      <c r="BA85" s="257">
        <f t="shared" si="7"/>
        <v>0</v>
      </c>
      <c r="BB85" s="255"/>
      <c r="BC85" s="257">
        <f t="shared" si="8"/>
        <v>0</v>
      </c>
      <c r="BD85" s="255"/>
      <c r="BE85" s="257">
        <f t="shared" si="9"/>
        <v>0</v>
      </c>
      <c r="BF85" s="255"/>
      <c r="BG85" s="257">
        <f t="shared" si="10"/>
        <v>0</v>
      </c>
      <c r="BH85" s="255"/>
      <c r="BI85" s="257">
        <f t="shared" si="11"/>
        <v>0</v>
      </c>
      <c r="BJ85" s="1" t="s">
        <v>529</v>
      </c>
      <c r="BL85" s="1" t="s">
        <v>457</v>
      </c>
      <c r="BM85" s="1" t="s">
        <v>530</v>
      </c>
    </row>
    <row r="86" spans="1:65" ht="15" customHeight="1">
      <c r="A86" s="250" t="s">
        <v>951</v>
      </c>
      <c r="B86" s="59" t="s">
        <v>341</v>
      </c>
      <c r="C86" s="354" t="s">
        <v>172</v>
      </c>
      <c r="D86" s="424"/>
      <c r="E86" s="357" t="s">
        <v>173</v>
      </c>
      <c r="F86" s="417"/>
      <c r="G86" s="317">
        <v>2024</v>
      </c>
      <c r="H86" s="59" t="s">
        <v>524</v>
      </c>
      <c r="I86" s="315" t="s">
        <v>175</v>
      </c>
      <c r="J86" s="316">
        <v>11</v>
      </c>
      <c r="K86" s="59" t="s">
        <v>515</v>
      </c>
      <c r="L86" s="59" t="s">
        <v>464</v>
      </c>
      <c r="M86" s="300" t="s">
        <v>513</v>
      </c>
      <c r="N86" s="300">
        <v>3.52</v>
      </c>
      <c r="O86" s="300">
        <v>3.52</v>
      </c>
      <c r="P86" s="300">
        <v>3.52</v>
      </c>
      <c r="Q86" s="300">
        <v>3.52</v>
      </c>
      <c r="R86" s="300">
        <v>3.52</v>
      </c>
      <c r="S86" s="300">
        <v>3.52</v>
      </c>
      <c r="T86" s="300">
        <v>3.52</v>
      </c>
      <c r="U86" s="300">
        <v>3.52</v>
      </c>
      <c r="V86" s="300">
        <v>3.52</v>
      </c>
      <c r="W86" s="300">
        <v>3.52</v>
      </c>
      <c r="X86" s="300">
        <v>3.52</v>
      </c>
      <c r="Y86" s="300">
        <v>3.52</v>
      </c>
      <c r="Z86" s="59">
        <v>0.08</v>
      </c>
      <c r="AA86" s="59">
        <v>0.08</v>
      </c>
      <c r="AB86" s="59">
        <v>0.08</v>
      </c>
      <c r="AC86" s="59">
        <v>0</v>
      </c>
      <c r="AD86" s="59">
        <v>0.08</v>
      </c>
      <c r="AE86" s="59">
        <v>0.08</v>
      </c>
      <c r="AF86" s="59">
        <v>0.08</v>
      </c>
      <c r="AG86" s="59">
        <v>0.08</v>
      </c>
      <c r="AH86" s="59">
        <v>0.08</v>
      </c>
      <c r="AI86" s="59">
        <v>0.08</v>
      </c>
      <c r="AJ86" s="59">
        <v>0.08</v>
      </c>
      <c r="AK86" s="59">
        <v>0.08</v>
      </c>
      <c r="AL86" s="255">
        <v>5000</v>
      </c>
      <c r="AM86" s="254">
        <f t="shared" si="0"/>
        <v>400</v>
      </c>
      <c r="AN86" s="255">
        <v>16758</v>
      </c>
      <c r="AO86" s="254">
        <f t="shared" si="1"/>
        <v>1340.64</v>
      </c>
      <c r="AP86" s="255">
        <v>960</v>
      </c>
      <c r="AQ86" s="254">
        <f t="shared" si="2"/>
        <v>76.8</v>
      </c>
      <c r="AR86" s="255"/>
      <c r="AS86" s="257">
        <f t="shared" si="3"/>
        <v>0</v>
      </c>
      <c r="AT86" s="255">
        <v>2760</v>
      </c>
      <c r="AU86" s="257">
        <f t="shared" si="4"/>
        <v>220.8</v>
      </c>
      <c r="AV86" s="255">
        <v>10000</v>
      </c>
      <c r="AW86" s="257">
        <f t="shared" si="5"/>
        <v>800</v>
      </c>
      <c r="AX86" s="255">
        <v>10000</v>
      </c>
      <c r="AY86" s="257">
        <f t="shared" si="6"/>
        <v>800</v>
      </c>
      <c r="AZ86" s="255">
        <v>10000</v>
      </c>
      <c r="BA86" s="257">
        <f t="shared" si="7"/>
        <v>800</v>
      </c>
      <c r="BB86" s="255">
        <v>10000</v>
      </c>
      <c r="BC86" s="257">
        <f t="shared" si="8"/>
        <v>800</v>
      </c>
      <c r="BD86" s="255">
        <v>10000</v>
      </c>
      <c r="BE86" s="257">
        <f t="shared" si="9"/>
        <v>800</v>
      </c>
      <c r="BF86" s="255">
        <v>10000</v>
      </c>
      <c r="BG86" s="257">
        <f t="shared" si="10"/>
        <v>800</v>
      </c>
      <c r="BH86" s="255">
        <v>10000</v>
      </c>
      <c r="BI86" s="257">
        <f t="shared" si="11"/>
        <v>800</v>
      </c>
      <c r="BJ86" s="1" t="s">
        <v>531</v>
      </c>
      <c r="BK86" s="1" t="s">
        <v>532</v>
      </c>
      <c r="BL86" s="1" t="s">
        <v>457</v>
      </c>
      <c r="BM86" s="1" t="s">
        <v>533</v>
      </c>
    </row>
    <row r="87" spans="1:65" ht="15" customHeight="1">
      <c r="A87" s="250" t="s">
        <v>951</v>
      </c>
      <c r="B87" s="59" t="s">
        <v>341</v>
      </c>
      <c r="C87" s="354" t="s">
        <v>172</v>
      </c>
      <c r="D87" s="424"/>
      <c r="E87" s="357" t="s">
        <v>173</v>
      </c>
      <c r="F87" s="417"/>
      <c r="G87" s="317">
        <v>2024</v>
      </c>
      <c r="H87" s="59" t="s">
        <v>524</v>
      </c>
      <c r="I87" s="315" t="s">
        <v>175</v>
      </c>
      <c r="J87" s="316">
        <v>11</v>
      </c>
      <c r="K87" s="59" t="s">
        <v>534</v>
      </c>
      <c r="L87" s="59" t="s">
        <v>464</v>
      </c>
      <c r="M87" s="300" t="s">
        <v>513</v>
      </c>
      <c r="N87" s="300">
        <v>3.52</v>
      </c>
      <c r="O87" s="300">
        <v>3.52</v>
      </c>
      <c r="P87" s="300">
        <v>3.52</v>
      </c>
      <c r="Q87" s="300">
        <v>3.52</v>
      </c>
      <c r="R87" s="300">
        <v>3.52</v>
      </c>
      <c r="S87" s="300">
        <v>3.52</v>
      </c>
      <c r="T87" s="300">
        <v>3.52</v>
      </c>
      <c r="U87" s="300">
        <v>3.52</v>
      </c>
      <c r="V87" s="300">
        <v>3.52</v>
      </c>
      <c r="W87" s="300">
        <v>3.52</v>
      </c>
      <c r="X87" s="300">
        <v>3.52</v>
      </c>
      <c r="Y87" s="300">
        <v>3.52</v>
      </c>
      <c r="Z87" s="59">
        <v>0.08</v>
      </c>
      <c r="AA87" s="59">
        <v>0.08</v>
      </c>
      <c r="AB87" s="59">
        <v>0.08</v>
      </c>
      <c r="AC87" s="59">
        <v>0</v>
      </c>
      <c r="AD87" s="59">
        <v>0.08</v>
      </c>
      <c r="AE87" s="59">
        <v>0.08</v>
      </c>
      <c r="AF87" s="59">
        <v>0.08</v>
      </c>
      <c r="AG87" s="59">
        <v>0.08</v>
      </c>
      <c r="AH87" s="59">
        <v>0.08</v>
      </c>
      <c r="AI87" s="59">
        <v>0.08</v>
      </c>
      <c r="AJ87" s="59">
        <v>0.08</v>
      </c>
      <c r="AK87" s="59">
        <v>0.08</v>
      </c>
      <c r="AL87" s="255"/>
      <c r="AM87" s="254">
        <f t="shared" si="0"/>
        <v>0</v>
      </c>
      <c r="AN87" s="255"/>
      <c r="AO87" s="254">
        <f t="shared" si="1"/>
        <v>0</v>
      </c>
      <c r="AP87" s="255"/>
      <c r="AQ87" s="254">
        <f t="shared" si="2"/>
        <v>0</v>
      </c>
      <c r="AR87" s="255"/>
      <c r="AS87" s="257">
        <f t="shared" si="3"/>
        <v>0</v>
      </c>
      <c r="AT87" s="255"/>
      <c r="AU87" s="257">
        <f t="shared" si="4"/>
        <v>0</v>
      </c>
      <c r="AV87" s="255">
        <v>1000</v>
      </c>
      <c r="AW87" s="257">
        <f t="shared" si="5"/>
        <v>80</v>
      </c>
      <c r="AX87" s="255">
        <v>1000</v>
      </c>
      <c r="AY87" s="257">
        <f t="shared" si="6"/>
        <v>80</v>
      </c>
      <c r="AZ87" s="255">
        <v>1000</v>
      </c>
      <c r="BA87" s="257">
        <f t="shared" si="7"/>
        <v>80</v>
      </c>
      <c r="BB87" s="255">
        <v>1000</v>
      </c>
      <c r="BC87" s="257">
        <f t="shared" si="8"/>
        <v>80</v>
      </c>
      <c r="BD87" s="255">
        <v>1000</v>
      </c>
      <c r="BE87" s="257">
        <f t="shared" si="9"/>
        <v>80</v>
      </c>
      <c r="BF87" s="255">
        <v>1000</v>
      </c>
      <c r="BG87" s="257">
        <f t="shared" si="10"/>
        <v>80</v>
      </c>
      <c r="BH87" s="255">
        <v>1000</v>
      </c>
      <c r="BI87" s="257">
        <f t="shared" si="11"/>
        <v>80</v>
      </c>
      <c r="BJ87" s="1" t="s">
        <v>535</v>
      </c>
      <c r="BK87" s="1" t="s">
        <v>532</v>
      </c>
      <c r="BL87" s="1" t="s">
        <v>457</v>
      </c>
      <c r="BM87" s="1" t="s">
        <v>536</v>
      </c>
    </row>
    <row r="88" spans="1:65" ht="15" customHeight="1">
      <c r="A88" s="250" t="s">
        <v>951</v>
      </c>
      <c r="B88" s="59" t="s">
        <v>341</v>
      </c>
      <c r="C88" s="354" t="s">
        <v>172</v>
      </c>
      <c r="D88" s="424"/>
      <c r="E88" s="357" t="s">
        <v>173</v>
      </c>
      <c r="F88" s="417"/>
      <c r="G88" s="317">
        <v>2022</v>
      </c>
      <c r="H88" s="59" t="s">
        <v>537</v>
      </c>
      <c r="I88" s="315" t="s">
        <v>175</v>
      </c>
      <c r="J88" s="316">
        <v>14</v>
      </c>
      <c r="K88" s="59" t="s">
        <v>180</v>
      </c>
      <c r="L88" s="59" t="s">
        <v>177</v>
      </c>
      <c r="M88" s="300" t="s">
        <v>474</v>
      </c>
      <c r="N88" s="300">
        <v>4.9000000000000004</v>
      </c>
      <c r="O88" s="300">
        <v>4.9000000000000004</v>
      </c>
      <c r="P88" s="300">
        <v>4.9000000000000004</v>
      </c>
      <c r="Q88" s="300">
        <v>4.9000000000000004</v>
      </c>
      <c r="R88" s="300">
        <v>4.9000000000000004</v>
      </c>
      <c r="S88" s="300">
        <v>4.9000000000000004</v>
      </c>
      <c r="T88" s="300">
        <v>4.9000000000000004</v>
      </c>
      <c r="U88" s="300">
        <v>4.9000000000000004</v>
      </c>
      <c r="V88" s="300">
        <v>4.9000000000000004</v>
      </c>
      <c r="W88" s="300">
        <v>4.9000000000000004</v>
      </c>
      <c r="X88" s="300">
        <v>4.9000000000000004</v>
      </c>
      <c r="Y88" s="300">
        <v>4.9000000000000004</v>
      </c>
      <c r="Z88" s="59">
        <v>1.5</v>
      </c>
      <c r="AA88" s="59">
        <v>1.5</v>
      </c>
      <c r="AB88" s="59">
        <v>1.5</v>
      </c>
      <c r="AC88" s="59">
        <v>0</v>
      </c>
      <c r="AD88" s="59">
        <v>1.5</v>
      </c>
      <c r="AE88" s="59">
        <v>1.5</v>
      </c>
      <c r="AF88" s="59">
        <v>1.5</v>
      </c>
      <c r="AG88" s="59">
        <v>1.5</v>
      </c>
      <c r="AH88" s="59">
        <v>1.5</v>
      </c>
      <c r="AI88" s="59">
        <v>1.5</v>
      </c>
      <c r="AJ88" s="59">
        <v>1.5</v>
      </c>
      <c r="AK88" s="59">
        <v>1.5</v>
      </c>
      <c r="AL88" s="255">
        <v>40</v>
      </c>
      <c r="AM88" s="254">
        <f t="shared" si="0"/>
        <v>60</v>
      </c>
      <c r="AN88" s="255">
        <v>360</v>
      </c>
      <c r="AO88" s="254">
        <f t="shared" si="1"/>
        <v>540</v>
      </c>
      <c r="AP88" s="255">
        <v>80</v>
      </c>
      <c r="AQ88" s="254">
        <f t="shared" si="2"/>
        <v>120</v>
      </c>
      <c r="AR88" s="255"/>
      <c r="AS88" s="257">
        <f t="shared" si="3"/>
        <v>0</v>
      </c>
      <c r="AT88" s="255">
        <v>80</v>
      </c>
      <c r="AU88" s="257">
        <f t="shared" si="4"/>
        <v>120</v>
      </c>
      <c r="AV88" s="388"/>
      <c r="AW88" s="257">
        <f t="shared" si="5"/>
        <v>0</v>
      </c>
      <c r="AX88" s="255"/>
      <c r="AY88" s="257">
        <f t="shared" si="6"/>
        <v>0</v>
      </c>
      <c r="AZ88" s="255"/>
      <c r="BA88" s="257">
        <f t="shared" si="7"/>
        <v>0</v>
      </c>
      <c r="BB88" s="255"/>
      <c r="BC88" s="257">
        <f t="shared" si="8"/>
        <v>0</v>
      </c>
      <c r="BD88" s="255"/>
      <c r="BE88" s="257">
        <f t="shared" si="9"/>
        <v>0</v>
      </c>
      <c r="BF88" s="255"/>
      <c r="BG88" s="257">
        <f t="shared" si="10"/>
        <v>0</v>
      </c>
      <c r="BH88" s="255"/>
      <c r="BI88" s="257">
        <f t="shared" si="11"/>
        <v>0</v>
      </c>
      <c r="BJ88" s="1" t="s">
        <v>538</v>
      </c>
      <c r="BL88" s="1" t="s">
        <v>457</v>
      </c>
      <c r="BM88" s="1" t="s">
        <v>539</v>
      </c>
    </row>
    <row r="89" spans="1:65" ht="15" customHeight="1">
      <c r="A89" s="250" t="s">
        <v>951</v>
      </c>
      <c r="C89" s="354"/>
      <c r="D89" s="424"/>
      <c r="E89" s="357"/>
      <c r="F89" s="417"/>
      <c r="G89" s="317"/>
      <c r="H89" s="59"/>
      <c r="I89" s="315"/>
      <c r="J89" s="316"/>
      <c r="K89" s="59"/>
      <c r="L89" s="59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255"/>
      <c r="AM89" s="254">
        <f t="shared" si="0"/>
        <v>0</v>
      </c>
      <c r="AN89" s="255"/>
      <c r="AO89" s="254">
        <f t="shared" si="1"/>
        <v>0</v>
      </c>
      <c r="AP89" s="255"/>
      <c r="AQ89" s="254">
        <f t="shared" si="2"/>
        <v>0</v>
      </c>
      <c r="AR89" s="255"/>
      <c r="AS89" s="257">
        <f t="shared" si="3"/>
        <v>0</v>
      </c>
      <c r="AT89" s="255"/>
      <c r="AU89" s="257">
        <f t="shared" si="4"/>
        <v>0</v>
      </c>
      <c r="AV89" s="388"/>
      <c r="AW89" s="257">
        <f t="shared" si="5"/>
        <v>0</v>
      </c>
      <c r="AX89" s="255"/>
      <c r="AY89" s="257">
        <f t="shared" si="6"/>
        <v>0</v>
      </c>
      <c r="AZ89" s="255"/>
      <c r="BA89" s="257">
        <f t="shared" si="7"/>
        <v>0</v>
      </c>
      <c r="BB89" s="255"/>
      <c r="BC89" s="257">
        <f t="shared" si="8"/>
        <v>0</v>
      </c>
      <c r="BD89" s="255"/>
      <c r="BE89" s="257">
        <f t="shared" si="9"/>
        <v>0</v>
      </c>
      <c r="BF89" s="255"/>
      <c r="BG89" s="257">
        <f t="shared" si="10"/>
        <v>0</v>
      </c>
      <c r="BH89" s="255"/>
      <c r="BI89" s="257">
        <f t="shared" si="11"/>
        <v>0</v>
      </c>
    </row>
    <row r="90" spans="1:65" ht="17.25" customHeight="1">
      <c r="A90" s="250" t="s">
        <v>951</v>
      </c>
      <c r="C90" s="354"/>
      <c r="D90" s="424"/>
      <c r="E90" s="357"/>
      <c r="F90" s="429" t="s">
        <v>181</v>
      </c>
      <c r="G90" s="317"/>
      <c r="H90" s="59"/>
      <c r="I90" s="315"/>
      <c r="J90" s="317"/>
      <c r="K90" s="59"/>
      <c r="L90" s="298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255"/>
      <c r="AM90" s="254">
        <f t="shared" si="0"/>
        <v>0</v>
      </c>
      <c r="AN90" s="255"/>
      <c r="AO90" s="254">
        <f t="shared" si="1"/>
        <v>0</v>
      </c>
      <c r="AP90" s="255"/>
      <c r="AQ90" s="254">
        <f t="shared" si="2"/>
        <v>0</v>
      </c>
      <c r="AR90" s="256"/>
      <c r="AS90" s="257">
        <f t="shared" si="3"/>
        <v>0</v>
      </c>
      <c r="AT90" s="255"/>
      <c r="AU90" s="257">
        <f t="shared" si="4"/>
        <v>0</v>
      </c>
      <c r="AV90" s="388"/>
      <c r="AW90" s="257">
        <f t="shared" si="5"/>
        <v>0</v>
      </c>
      <c r="AX90" s="255"/>
      <c r="AY90" s="257">
        <f t="shared" si="6"/>
        <v>0</v>
      </c>
      <c r="AZ90" s="255"/>
      <c r="BA90" s="257">
        <f t="shared" si="7"/>
        <v>0</v>
      </c>
      <c r="BB90" s="255"/>
      <c r="BC90" s="257">
        <f t="shared" si="8"/>
        <v>0</v>
      </c>
      <c r="BD90" s="59"/>
      <c r="BE90" s="257">
        <f t="shared" si="9"/>
        <v>0</v>
      </c>
      <c r="BF90" s="59"/>
      <c r="BG90" s="257">
        <f t="shared" si="10"/>
        <v>0</v>
      </c>
      <c r="BH90" s="59"/>
      <c r="BI90" s="257">
        <f t="shared" si="11"/>
        <v>0</v>
      </c>
    </row>
    <row r="91" spans="1:65" ht="15" customHeight="1">
      <c r="A91" s="250" t="s">
        <v>951</v>
      </c>
      <c r="C91" s="354"/>
      <c r="D91" s="424"/>
      <c r="E91" s="357"/>
      <c r="F91" s="429"/>
      <c r="G91" s="317"/>
      <c r="H91" s="59"/>
      <c r="I91" s="315"/>
      <c r="J91" s="317"/>
      <c r="K91" s="59"/>
      <c r="L91" s="59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255"/>
      <c r="AM91" s="254">
        <f t="shared" si="0"/>
        <v>0</v>
      </c>
      <c r="AN91" s="255"/>
      <c r="AO91" s="254">
        <f t="shared" si="1"/>
        <v>0</v>
      </c>
      <c r="AP91" s="255"/>
      <c r="AQ91" s="254">
        <f t="shared" si="2"/>
        <v>0</v>
      </c>
      <c r="AR91" s="256"/>
      <c r="AS91" s="257">
        <f t="shared" si="3"/>
        <v>0</v>
      </c>
      <c r="AT91" s="255"/>
      <c r="AU91" s="257">
        <f t="shared" si="4"/>
        <v>0</v>
      </c>
      <c r="AV91" s="388"/>
      <c r="AW91" s="257">
        <f t="shared" si="5"/>
        <v>0</v>
      </c>
      <c r="AX91" s="255"/>
      <c r="AY91" s="257">
        <f t="shared" si="6"/>
        <v>0</v>
      </c>
      <c r="AZ91" s="255"/>
      <c r="BA91" s="257">
        <f t="shared" si="7"/>
        <v>0</v>
      </c>
      <c r="BB91" s="255"/>
      <c r="BC91" s="257">
        <f t="shared" si="8"/>
        <v>0</v>
      </c>
      <c r="BD91" s="59"/>
      <c r="BE91" s="257">
        <f t="shared" si="9"/>
        <v>0</v>
      </c>
      <c r="BF91" s="59"/>
      <c r="BG91" s="257">
        <f t="shared" si="10"/>
        <v>0</v>
      </c>
      <c r="BH91" s="59"/>
      <c r="BI91" s="257">
        <f t="shared" si="11"/>
        <v>0</v>
      </c>
    </row>
    <row r="92" spans="1:65" ht="17.25" customHeight="1">
      <c r="A92" s="250" t="s">
        <v>951</v>
      </c>
      <c r="C92" s="354"/>
      <c r="D92" s="424"/>
      <c r="E92" s="357"/>
      <c r="F92" s="421" t="s">
        <v>68</v>
      </c>
      <c r="G92" s="319"/>
      <c r="H92" s="298"/>
      <c r="I92" s="298"/>
      <c r="J92" s="299"/>
      <c r="K92" s="298"/>
      <c r="L92" s="298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255"/>
      <c r="AM92" s="254">
        <f t="shared" ref="AM92:AM173" si="12">Z92*AL92</f>
        <v>0</v>
      </c>
      <c r="AN92" s="255"/>
      <c r="AO92" s="254">
        <f t="shared" ref="AO92:AO173" si="13">AA92*AN92</f>
        <v>0</v>
      </c>
      <c r="AP92" s="255"/>
      <c r="AQ92" s="254">
        <f t="shared" ref="AQ92:AQ173" si="14">AB92*AP92</f>
        <v>0</v>
      </c>
      <c r="AR92" s="256"/>
      <c r="AS92" s="257">
        <f t="shared" ref="AS92:AS173" si="15">AC92*AR92</f>
        <v>0</v>
      </c>
      <c r="AT92" s="270"/>
      <c r="AU92" s="257">
        <f t="shared" ref="AU92:AU173" si="16">AD92*AT92</f>
        <v>0</v>
      </c>
      <c r="AV92" s="268"/>
      <c r="AW92" s="257">
        <f t="shared" ref="AW92:AW173" si="17">AE92*AV92</f>
        <v>0</v>
      </c>
      <c r="AX92" s="268"/>
      <c r="AY92" s="257">
        <f t="shared" ref="AY92:AY173" si="18">AF92*AX92</f>
        <v>0</v>
      </c>
      <c r="AZ92" s="268"/>
      <c r="BA92" s="257">
        <f t="shared" ref="BA92:BA173" si="19">AG92*AZ92</f>
        <v>0</v>
      </c>
      <c r="BB92" s="268"/>
      <c r="BC92" s="257">
        <f t="shared" ref="BC92:BC173" si="20">AH92*BB92</f>
        <v>0</v>
      </c>
      <c r="BD92" s="59"/>
      <c r="BE92" s="257">
        <f t="shared" ref="BE92:BE173" si="21">AI92*BD92</f>
        <v>0</v>
      </c>
      <c r="BF92" s="59"/>
      <c r="BG92" s="257">
        <f t="shared" ref="BG92:BG173" si="22">AJ92*BF92</f>
        <v>0</v>
      </c>
      <c r="BH92" s="59"/>
      <c r="BI92" s="257">
        <f t="shared" ref="BI92:BI173" si="23">AK92*BH92</f>
        <v>0</v>
      </c>
    </row>
    <row r="93" spans="1:65" ht="17.25" customHeight="1">
      <c r="A93" s="250" t="s">
        <v>951</v>
      </c>
      <c r="C93" s="354"/>
      <c r="D93" s="424"/>
      <c r="E93" s="357"/>
      <c r="F93" s="421"/>
      <c r="G93" s="59"/>
      <c r="H93" s="59"/>
      <c r="I93" s="59"/>
      <c r="J93" s="302"/>
      <c r="K93" s="59"/>
      <c r="L93" s="59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255"/>
      <c r="AM93" s="254">
        <f t="shared" si="12"/>
        <v>0</v>
      </c>
      <c r="AN93" s="255"/>
      <c r="AO93" s="254">
        <f t="shared" si="13"/>
        <v>0</v>
      </c>
      <c r="AP93" s="255"/>
      <c r="AQ93" s="254">
        <f t="shared" si="14"/>
        <v>0</v>
      </c>
      <c r="AR93" s="256"/>
      <c r="AS93" s="257">
        <f t="shared" si="15"/>
        <v>0</v>
      </c>
      <c r="AT93" s="270"/>
      <c r="AU93" s="257">
        <f t="shared" si="16"/>
        <v>0</v>
      </c>
      <c r="AV93" s="268"/>
      <c r="AW93" s="257">
        <f t="shared" si="17"/>
        <v>0</v>
      </c>
      <c r="AX93" s="268"/>
      <c r="AY93" s="257">
        <f t="shared" si="18"/>
        <v>0</v>
      </c>
      <c r="AZ93" s="268"/>
      <c r="BA93" s="257">
        <f t="shared" si="19"/>
        <v>0</v>
      </c>
      <c r="BB93" s="268"/>
      <c r="BC93" s="257">
        <f t="shared" si="20"/>
        <v>0</v>
      </c>
      <c r="BD93" s="59"/>
      <c r="BE93" s="257">
        <f t="shared" si="21"/>
        <v>0</v>
      </c>
      <c r="BF93" s="59"/>
      <c r="BG93" s="257">
        <f t="shared" si="22"/>
        <v>0</v>
      </c>
      <c r="BH93" s="59"/>
      <c r="BI93" s="257">
        <f t="shared" si="23"/>
        <v>0</v>
      </c>
    </row>
    <row r="94" spans="1:65" ht="17.25" customHeight="1">
      <c r="A94" s="250" t="s">
        <v>951</v>
      </c>
      <c r="C94" s="354"/>
      <c r="D94" s="424"/>
      <c r="E94" s="357"/>
      <c r="F94" s="421"/>
      <c r="G94" s="59"/>
      <c r="H94" s="59"/>
      <c r="I94" s="59"/>
      <c r="J94" s="302"/>
      <c r="K94" s="59"/>
      <c r="L94" s="59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255"/>
      <c r="AM94" s="254">
        <f t="shared" si="12"/>
        <v>0</v>
      </c>
      <c r="AN94" s="255"/>
      <c r="AO94" s="254">
        <f t="shared" si="13"/>
        <v>0</v>
      </c>
      <c r="AP94" s="255"/>
      <c r="AQ94" s="254">
        <f t="shared" si="14"/>
        <v>0</v>
      </c>
      <c r="AR94" s="256"/>
      <c r="AS94" s="257">
        <f t="shared" si="15"/>
        <v>0</v>
      </c>
      <c r="AT94" s="270"/>
      <c r="AU94" s="257">
        <f t="shared" si="16"/>
        <v>0</v>
      </c>
      <c r="AV94" s="268"/>
      <c r="AW94" s="257">
        <f t="shared" si="17"/>
        <v>0</v>
      </c>
      <c r="AX94" s="268"/>
      <c r="AY94" s="257">
        <f t="shared" si="18"/>
        <v>0</v>
      </c>
      <c r="AZ94" s="268"/>
      <c r="BA94" s="257">
        <f t="shared" si="19"/>
        <v>0</v>
      </c>
      <c r="BB94" s="268"/>
      <c r="BC94" s="257">
        <f t="shared" si="20"/>
        <v>0</v>
      </c>
      <c r="BD94" s="59"/>
      <c r="BE94" s="257">
        <f t="shared" si="21"/>
        <v>0</v>
      </c>
      <c r="BF94" s="59"/>
      <c r="BG94" s="257">
        <f t="shared" si="22"/>
        <v>0</v>
      </c>
      <c r="BH94" s="59"/>
      <c r="BI94" s="257">
        <f t="shared" si="23"/>
        <v>0</v>
      </c>
    </row>
    <row r="95" spans="1:65" ht="15" customHeight="1">
      <c r="A95" s="250" t="s">
        <v>951</v>
      </c>
      <c r="C95" s="354"/>
      <c r="D95" s="424"/>
      <c r="E95" s="357"/>
      <c r="F95" s="417"/>
      <c r="G95" s="59"/>
      <c r="H95" s="59"/>
      <c r="I95" s="59"/>
      <c r="J95" s="302"/>
      <c r="K95" s="59"/>
      <c r="L95" s="59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255"/>
      <c r="AM95" s="254">
        <f t="shared" si="12"/>
        <v>0</v>
      </c>
      <c r="AN95" s="255"/>
      <c r="AO95" s="254">
        <f t="shared" si="13"/>
        <v>0</v>
      </c>
      <c r="AP95" s="255"/>
      <c r="AQ95" s="254">
        <f t="shared" si="14"/>
        <v>0</v>
      </c>
      <c r="AR95" s="256"/>
      <c r="AS95" s="257">
        <f t="shared" si="15"/>
        <v>0</v>
      </c>
      <c r="AT95" s="270"/>
      <c r="AU95" s="257">
        <f t="shared" si="16"/>
        <v>0</v>
      </c>
      <c r="AV95" s="268"/>
      <c r="AW95" s="257">
        <f t="shared" si="17"/>
        <v>0</v>
      </c>
      <c r="AX95" s="268"/>
      <c r="AY95" s="257">
        <f t="shared" si="18"/>
        <v>0</v>
      </c>
      <c r="AZ95" s="268"/>
      <c r="BA95" s="257">
        <f t="shared" si="19"/>
        <v>0</v>
      </c>
      <c r="BB95" s="268"/>
      <c r="BC95" s="257">
        <f t="shared" si="20"/>
        <v>0</v>
      </c>
      <c r="BD95" s="59"/>
      <c r="BE95" s="257">
        <f t="shared" si="21"/>
        <v>0</v>
      </c>
      <c r="BF95" s="59"/>
      <c r="BG95" s="257">
        <f t="shared" si="22"/>
        <v>0</v>
      </c>
      <c r="BH95" s="59"/>
      <c r="BI95" s="257">
        <f t="shared" si="23"/>
        <v>0</v>
      </c>
    </row>
    <row r="96" spans="1:65" ht="15.75" customHeight="1">
      <c r="A96" s="250" t="s">
        <v>951</v>
      </c>
      <c r="B96" s="59" t="s">
        <v>341</v>
      </c>
      <c r="C96" s="354" t="s">
        <v>172</v>
      </c>
      <c r="D96" s="424"/>
      <c r="E96" s="357" t="s">
        <v>173</v>
      </c>
      <c r="F96" s="421" t="s">
        <v>188</v>
      </c>
      <c r="G96" s="317">
        <v>2020</v>
      </c>
      <c r="H96" s="59" t="s">
        <v>342</v>
      </c>
      <c r="I96" s="315" t="s">
        <v>175</v>
      </c>
      <c r="J96" s="317">
        <v>14</v>
      </c>
      <c r="K96" s="59" t="s">
        <v>540</v>
      </c>
      <c r="L96" s="298" t="s">
        <v>344</v>
      </c>
      <c r="M96" s="300" t="s">
        <v>541</v>
      </c>
      <c r="N96" s="300">
        <v>3.5</v>
      </c>
      <c r="O96" s="300">
        <v>3.5</v>
      </c>
      <c r="P96" s="300">
        <v>3.5</v>
      </c>
      <c r="Q96" s="300">
        <v>3.5</v>
      </c>
      <c r="R96" s="300">
        <v>3.5</v>
      </c>
      <c r="S96" s="300">
        <v>3.5</v>
      </c>
      <c r="T96" s="300">
        <v>3.5</v>
      </c>
      <c r="U96" s="300">
        <v>3.5</v>
      </c>
      <c r="V96" s="300">
        <v>3.5</v>
      </c>
      <c r="W96" s="300">
        <v>3.5</v>
      </c>
      <c r="X96" s="300">
        <v>3.5</v>
      </c>
      <c r="Y96" s="300">
        <v>3.5</v>
      </c>
      <c r="Z96" s="301">
        <v>0.6</v>
      </c>
      <c r="AA96" s="301">
        <v>0.6</v>
      </c>
      <c r="AB96" s="301">
        <v>0.6</v>
      </c>
      <c r="AC96" s="301">
        <v>0</v>
      </c>
      <c r="AD96" s="301">
        <v>0.6</v>
      </c>
      <c r="AE96" s="301">
        <v>0.6</v>
      </c>
      <c r="AF96" s="301">
        <v>0.6</v>
      </c>
      <c r="AG96" s="301">
        <v>0.6</v>
      </c>
      <c r="AH96" s="301">
        <v>0.6</v>
      </c>
      <c r="AI96" s="301">
        <v>0.6</v>
      </c>
      <c r="AJ96" s="301">
        <v>0.6</v>
      </c>
      <c r="AK96" s="301">
        <v>0.6</v>
      </c>
      <c r="AL96" s="255">
        <v>2720</v>
      </c>
      <c r="AM96" s="254">
        <f t="shared" si="12"/>
        <v>1632</v>
      </c>
      <c r="AN96" s="255">
        <v>4240</v>
      </c>
      <c r="AO96" s="254">
        <f t="shared" si="13"/>
        <v>2544</v>
      </c>
      <c r="AP96" s="255">
        <v>680</v>
      </c>
      <c r="AQ96" s="254">
        <f t="shared" si="14"/>
        <v>408</v>
      </c>
      <c r="AR96" s="255">
        <v>920</v>
      </c>
      <c r="AS96" s="257">
        <f t="shared" si="15"/>
        <v>0</v>
      </c>
      <c r="AT96" s="255">
        <v>4600</v>
      </c>
      <c r="AU96" s="257">
        <f t="shared" si="16"/>
        <v>2760</v>
      </c>
      <c r="AV96" s="388">
        <v>6000</v>
      </c>
      <c r="AW96" s="257">
        <f t="shared" si="17"/>
        <v>3600</v>
      </c>
      <c r="AX96" s="388">
        <v>6000</v>
      </c>
      <c r="AY96" s="257">
        <f t="shared" si="18"/>
        <v>3600</v>
      </c>
      <c r="AZ96" s="255">
        <v>8000</v>
      </c>
      <c r="BA96" s="257">
        <f t="shared" si="19"/>
        <v>4800</v>
      </c>
      <c r="BB96" s="255">
        <v>5000</v>
      </c>
      <c r="BC96" s="257">
        <f t="shared" si="20"/>
        <v>3000</v>
      </c>
      <c r="BD96" s="255">
        <v>5000</v>
      </c>
      <c r="BE96" s="257">
        <f t="shared" si="21"/>
        <v>3000</v>
      </c>
      <c r="BF96" s="255">
        <v>10000</v>
      </c>
      <c r="BG96" s="257">
        <f t="shared" si="22"/>
        <v>6000</v>
      </c>
      <c r="BH96" s="255">
        <v>6000</v>
      </c>
      <c r="BI96" s="257">
        <f t="shared" si="23"/>
        <v>3600</v>
      </c>
      <c r="BJ96" s="1" t="s">
        <v>542</v>
      </c>
      <c r="BL96" s="1" t="s">
        <v>457</v>
      </c>
      <c r="BM96" s="1" t="s">
        <v>543</v>
      </c>
    </row>
    <row r="97" spans="1:65" ht="15.75" customHeight="1">
      <c r="A97" s="250" t="s">
        <v>951</v>
      </c>
      <c r="B97" s="59" t="s">
        <v>341</v>
      </c>
      <c r="C97" s="354" t="s">
        <v>172</v>
      </c>
      <c r="D97" s="424"/>
      <c r="E97" s="357" t="s">
        <v>173</v>
      </c>
      <c r="F97" s="421"/>
      <c r="G97" s="317">
        <v>2022</v>
      </c>
      <c r="H97" s="59" t="s">
        <v>350</v>
      </c>
      <c r="I97" s="315" t="s">
        <v>249</v>
      </c>
      <c r="J97" s="317">
        <v>14</v>
      </c>
      <c r="K97" s="59" t="s">
        <v>548</v>
      </c>
      <c r="L97" s="298" t="s">
        <v>344</v>
      </c>
      <c r="M97" s="300" t="s">
        <v>541</v>
      </c>
      <c r="N97" s="300">
        <v>13.45</v>
      </c>
      <c r="O97" s="300">
        <v>13.45</v>
      </c>
      <c r="P97" s="300">
        <v>13.45</v>
      </c>
      <c r="Q97" s="300">
        <v>13.45</v>
      </c>
      <c r="R97" s="300">
        <v>13.45</v>
      </c>
      <c r="S97" s="300">
        <v>13.45</v>
      </c>
      <c r="T97" s="300">
        <v>13.45</v>
      </c>
      <c r="U97" s="300">
        <v>13.45</v>
      </c>
      <c r="V97" s="300">
        <v>13.45</v>
      </c>
      <c r="W97" s="300">
        <v>13.45</v>
      </c>
      <c r="X97" s="300">
        <v>13.45</v>
      </c>
      <c r="Y97" s="300">
        <v>13.45</v>
      </c>
      <c r="Z97" s="301">
        <v>2.0499999999999998</v>
      </c>
      <c r="AA97" s="301">
        <v>2.0499999999999998</v>
      </c>
      <c r="AB97" s="301">
        <v>2.0499999999999998</v>
      </c>
      <c r="AC97" s="301">
        <v>0</v>
      </c>
      <c r="AD97" s="301">
        <v>2.0499999999999998</v>
      </c>
      <c r="AE97" s="301">
        <v>2.0499999999999998</v>
      </c>
      <c r="AF97" s="301">
        <v>2.0499999999999998</v>
      </c>
      <c r="AG97" s="301">
        <v>2.0499999999999998</v>
      </c>
      <c r="AH97" s="301">
        <v>2.0499999999999998</v>
      </c>
      <c r="AI97" s="301">
        <v>2.0499999999999998</v>
      </c>
      <c r="AJ97" s="301">
        <v>2.0499999999999998</v>
      </c>
      <c r="AK97" s="301">
        <v>2.0499999999999998</v>
      </c>
      <c r="AL97" s="255">
        <v>2160</v>
      </c>
      <c r="AM97" s="254">
        <f t="shared" si="12"/>
        <v>4428</v>
      </c>
      <c r="AN97" s="255">
        <v>200</v>
      </c>
      <c r="AO97" s="254">
        <f t="shared" si="13"/>
        <v>409.99999999999994</v>
      </c>
      <c r="AP97" s="255"/>
      <c r="AQ97" s="254">
        <f t="shared" si="14"/>
        <v>0</v>
      </c>
      <c r="AR97" s="255"/>
      <c r="AS97" s="257">
        <f t="shared" si="15"/>
        <v>0</v>
      </c>
      <c r="AT97" s="255"/>
      <c r="AU97" s="257">
        <f t="shared" si="16"/>
        <v>0</v>
      </c>
      <c r="AV97" s="388"/>
      <c r="AW97" s="257">
        <f t="shared" si="17"/>
        <v>0</v>
      </c>
      <c r="AX97" s="255"/>
      <c r="AY97" s="257">
        <f t="shared" si="18"/>
        <v>0</v>
      </c>
      <c r="AZ97" s="255"/>
      <c r="BA97" s="257">
        <f t="shared" si="19"/>
        <v>0</v>
      </c>
      <c r="BB97" s="255"/>
      <c r="BC97" s="257">
        <f t="shared" si="20"/>
        <v>0</v>
      </c>
      <c r="BD97" s="255"/>
      <c r="BE97" s="257">
        <f t="shared" si="21"/>
        <v>0</v>
      </c>
      <c r="BF97" s="255"/>
      <c r="BG97" s="257">
        <f t="shared" si="22"/>
        <v>0</v>
      </c>
      <c r="BH97" s="255"/>
      <c r="BI97" s="257">
        <f t="shared" si="23"/>
        <v>0</v>
      </c>
      <c r="BJ97" s="1" t="s">
        <v>549</v>
      </c>
      <c r="BL97" s="1" t="s">
        <v>457</v>
      </c>
      <c r="BM97" s="1" t="s">
        <v>550</v>
      </c>
    </row>
    <row r="98" spans="1:65" ht="15.75" customHeight="1">
      <c r="A98" s="250" t="s">
        <v>951</v>
      </c>
      <c r="B98" s="59" t="s">
        <v>341</v>
      </c>
      <c r="C98" s="354" t="s">
        <v>172</v>
      </c>
      <c r="D98" s="424"/>
      <c r="E98" s="357" t="s">
        <v>173</v>
      </c>
      <c r="F98" s="421"/>
      <c r="G98" s="317">
        <v>2022</v>
      </c>
      <c r="H98" s="59" t="s">
        <v>350</v>
      </c>
      <c r="I98" s="315" t="s">
        <v>249</v>
      </c>
      <c r="J98" s="317">
        <v>14</v>
      </c>
      <c r="K98" s="59" t="s">
        <v>548</v>
      </c>
      <c r="L98" s="298" t="s">
        <v>344</v>
      </c>
      <c r="M98" s="300" t="s">
        <v>541</v>
      </c>
      <c r="N98" s="300">
        <v>13.45</v>
      </c>
      <c r="O98" s="300">
        <v>13.45</v>
      </c>
      <c r="P98" s="300">
        <v>13.45</v>
      </c>
      <c r="Q98" s="300">
        <v>13.45</v>
      </c>
      <c r="R98" s="300">
        <v>13.45</v>
      </c>
      <c r="S98" s="300">
        <v>13.45</v>
      </c>
      <c r="T98" s="300">
        <v>13.45</v>
      </c>
      <c r="U98" s="300">
        <v>13.45</v>
      </c>
      <c r="V98" s="300">
        <v>13.45</v>
      </c>
      <c r="W98" s="300">
        <v>13.45</v>
      </c>
      <c r="X98" s="300">
        <v>13.45</v>
      </c>
      <c r="Y98" s="300">
        <v>13.45</v>
      </c>
      <c r="Z98" s="301">
        <v>2.0499999999999998</v>
      </c>
      <c r="AA98" s="301">
        <v>2.0499999999999998</v>
      </c>
      <c r="AB98" s="301">
        <v>2.0499999999999998</v>
      </c>
      <c r="AC98" s="301">
        <v>0</v>
      </c>
      <c r="AD98" s="301">
        <v>2.0499999999999998</v>
      </c>
      <c r="AE98" s="301">
        <v>2.0499999999999998</v>
      </c>
      <c r="AF98" s="301">
        <v>2.0499999999999998</v>
      </c>
      <c r="AG98" s="301">
        <v>2.0499999999999998</v>
      </c>
      <c r="AH98" s="301">
        <v>2.0499999999999998</v>
      </c>
      <c r="AI98" s="301">
        <v>2.0499999999999998</v>
      </c>
      <c r="AJ98" s="301">
        <v>2.0499999999999998</v>
      </c>
      <c r="AK98" s="301">
        <v>2.0499999999999998</v>
      </c>
      <c r="AL98" s="255"/>
      <c r="AM98" s="254">
        <f t="shared" si="12"/>
        <v>0</v>
      </c>
      <c r="AN98" s="255"/>
      <c r="AO98" s="254">
        <f t="shared" si="13"/>
        <v>0</v>
      </c>
      <c r="AP98" s="255"/>
      <c r="AQ98" s="254">
        <f t="shared" si="14"/>
        <v>0</v>
      </c>
      <c r="AR98" s="255"/>
      <c r="AS98" s="257">
        <f t="shared" si="15"/>
        <v>0</v>
      </c>
      <c r="AT98" s="255"/>
      <c r="AU98" s="257">
        <f t="shared" si="16"/>
        <v>0</v>
      </c>
      <c r="AV98" s="388"/>
      <c r="AW98" s="257">
        <f t="shared" si="17"/>
        <v>0</v>
      </c>
      <c r="AX98" s="255"/>
      <c r="AY98" s="257">
        <f t="shared" si="18"/>
        <v>0</v>
      </c>
      <c r="AZ98" s="255"/>
      <c r="BA98" s="257">
        <f t="shared" si="19"/>
        <v>0</v>
      </c>
      <c r="BB98" s="255"/>
      <c r="BC98" s="257">
        <f t="shared" si="20"/>
        <v>0</v>
      </c>
      <c r="BD98" s="255"/>
      <c r="BE98" s="257">
        <f t="shared" si="21"/>
        <v>0</v>
      </c>
      <c r="BF98" s="255"/>
      <c r="BG98" s="257">
        <f t="shared" si="22"/>
        <v>0</v>
      </c>
      <c r="BH98" s="255"/>
      <c r="BI98" s="257">
        <f t="shared" si="23"/>
        <v>0</v>
      </c>
      <c r="BJ98" s="1" t="s">
        <v>551</v>
      </c>
      <c r="BL98" s="1" t="s">
        <v>457</v>
      </c>
      <c r="BM98" s="1" t="s">
        <v>552</v>
      </c>
    </row>
    <row r="99" spans="1:65" ht="15.75" customHeight="1">
      <c r="A99" s="250" t="s">
        <v>951</v>
      </c>
      <c r="B99" s="59" t="s">
        <v>341</v>
      </c>
      <c r="C99" s="354" t="s">
        <v>172</v>
      </c>
      <c r="D99" s="424"/>
      <c r="E99" s="357" t="s">
        <v>173</v>
      </c>
      <c r="F99" s="421"/>
      <c r="G99" s="317">
        <v>2022</v>
      </c>
      <c r="H99" s="59" t="s">
        <v>352</v>
      </c>
      <c r="I99" s="315" t="s">
        <v>249</v>
      </c>
      <c r="J99" s="317">
        <v>14</v>
      </c>
      <c r="K99" s="59" t="s">
        <v>351</v>
      </c>
      <c r="L99" s="298" t="s">
        <v>344</v>
      </c>
      <c r="M99" s="300" t="s">
        <v>541</v>
      </c>
      <c r="N99" s="300">
        <v>12.45</v>
      </c>
      <c r="O99" s="300">
        <v>12.45</v>
      </c>
      <c r="P99" s="300">
        <v>12.45</v>
      </c>
      <c r="Q99" s="300">
        <v>12.45</v>
      </c>
      <c r="R99" s="300">
        <v>12.45</v>
      </c>
      <c r="S99" s="300">
        <v>12.45</v>
      </c>
      <c r="T99" s="300">
        <v>12.45</v>
      </c>
      <c r="U99" s="300">
        <v>12.45</v>
      </c>
      <c r="V99" s="300">
        <v>12.45</v>
      </c>
      <c r="W99" s="300">
        <v>12.45</v>
      </c>
      <c r="X99" s="300">
        <v>12.45</v>
      </c>
      <c r="Y99" s="300">
        <v>12.45</v>
      </c>
      <c r="Z99" s="301">
        <v>3.96</v>
      </c>
      <c r="AA99" s="301">
        <v>3.96</v>
      </c>
      <c r="AB99" s="301">
        <v>3.96</v>
      </c>
      <c r="AC99" s="301">
        <v>0</v>
      </c>
      <c r="AD99" s="301">
        <v>3.96</v>
      </c>
      <c r="AE99" s="301">
        <v>3.96</v>
      </c>
      <c r="AF99" s="301">
        <v>3.96</v>
      </c>
      <c r="AG99" s="301">
        <v>3.96</v>
      </c>
      <c r="AH99" s="301">
        <v>3.96</v>
      </c>
      <c r="AI99" s="301">
        <v>3.96</v>
      </c>
      <c r="AJ99" s="301">
        <v>3.96</v>
      </c>
      <c r="AK99" s="301">
        <v>3.96</v>
      </c>
      <c r="AL99" s="255">
        <v>2240</v>
      </c>
      <c r="AM99" s="254">
        <f t="shared" si="12"/>
        <v>8870.4</v>
      </c>
      <c r="AN99" s="255">
        <v>1520</v>
      </c>
      <c r="AO99" s="254">
        <f t="shared" si="13"/>
        <v>6019.2</v>
      </c>
      <c r="AP99" s="255">
        <v>1080</v>
      </c>
      <c r="AQ99" s="254">
        <f t="shared" si="14"/>
        <v>4276.8</v>
      </c>
      <c r="AR99" s="255">
        <v>2120</v>
      </c>
      <c r="AS99" s="257">
        <f t="shared" si="15"/>
        <v>0</v>
      </c>
      <c r="AT99" s="255">
        <v>240</v>
      </c>
      <c r="AU99" s="257">
        <f t="shared" si="16"/>
        <v>950.4</v>
      </c>
      <c r="AV99" s="255">
        <v>3000</v>
      </c>
      <c r="AW99" s="257">
        <f t="shared" si="17"/>
        <v>11880</v>
      </c>
      <c r="AX99" s="255">
        <v>3000</v>
      </c>
      <c r="AY99" s="257">
        <f t="shared" si="18"/>
        <v>11880</v>
      </c>
      <c r="AZ99" s="255">
        <v>3000</v>
      </c>
      <c r="BA99" s="257">
        <f t="shared" si="19"/>
        <v>11880</v>
      </c>
      <c r="BB99" s="255">
        <v>3000</v>
      </c>
      <c r="BC99" s="257">
        <f t="shared" si="20"/>
        <v>11880</v>
      </c>
      <c r="BD99" s="255">
        <v>3000</v>
      </c>
      <c r="BE99" s="257">
        <f t="shared" si="21"/>
        <v>11880</v>
      </c>
      <c r="BF99" s="255">
        <v>3000</v>
      </c>
      <c r="BG99" s="257">
        <f t="shared" si="22"/>
        <v>11880</v>
      </c>
      <c r="BH99" s="255">
        <v>3000</v>
      </c>
      <c r="BI99" s="257">
        <f t="shared" si="23"/>
        <v>11880</v>
      </c>
      <c r="BJ99" s="1" t="s">
        <v>553</v>
      </c>
      <c r="BL99" s="1" t="s">
        <v>457</v>
      </c>
      <c r="BM99" s="1" t="s">
        <v>554</v>
      </c>
    </row>
    <row r="100" spans="1:65" ht="15.75" customHeight="1">
      <c r="A100" s="250" t="s">
        <v>951</v>
      </c>
      <c r="B100" s="59" t="s">
        <v>341</v>
      </c>
      <c r="C100" s="354" t="s">
        <v>172</v>
      </c>
      <c r="D100" s="424"/>
      <c r="E100" s="357" t="s">
        <v>173</v>
      </c>
      <c r="F100" s="421"/>
      <c r="G100" s="317">
        <v>2022</v>
      </c>
      <c r="H100" s="59" t="s">
        <v>352</v>
      </c>
      <c r="I100" s="315" t="s">
        <v>175</v>
      </c>
      <c r="J100" s="317">
        <v>14</v>
      </c>
      <c r="K100" s="59" t="s">
        <v>351</v>
      </c>
      <c r="L100" s="298" t="s">
        <v>344</v>
      </c>
      <c r="M100" s="300" t="s">
        <v>541</v>
      </c>
      <c r="N100" s="300">
        <v>5.83</v>
      </c>
      <c r="O100" s="300">
        <v>5.83</v>
      </c>
      <c r="P100" s="300">
        <v>5.83</v>
      </c>
      <c r="Q100" s="300">
        <v>5.83</v>
      </c>
      <c r="R100" s="300">
        <v>5.83</v>
      </c>
      <c r="S100" s="300">
        <v>5.83</v>
      </c>
      <c r="T100" s="300">
        <v>5.83</v>
      </c>
      <c r="U100" s="300">
        <v>5.83</v>
      </c>
      <c r="V100" s="300">
        <v>5.83</v>
      </c>
      <c r="W100" s="300">
        <v>5.83</v>
      </c>
      <c r="X100" s="300">
        <v>5.83</v>
      </c>
      <c r="Y100" s="300">
        <v>5.83</v>
      </c>
      <c r="Z100" s="301">
        <v>0.35</v>
      </c>
      <c r="AA100" s="301">
        <v>0.35</v>
      </c>
      <c r="AB100" s="301">
        <v>0.35</v>
      </c>
      <c r="AC100" s="301">
        <v>0</v>
      </c>
      <c r="AD100" s="301">
        <v>0.35</v>
      </c>
      <c r="AE100" s="301">
        <v>0.35</v>
      </c>
      <c r="AF100" s="301">
        <v>0.35</v>
      </c>
      <c r="AG100" s="301">
        <v>0.35</v>
      </c>
      <c r="AH100" s="301">
        <v>0.35</v>
      </c>
      <c r="AI100" s="301">
        <v>0.35</v>
      </c>
      <c r="AJ100" s="301">
        <v>0.35</v>
      </c>
      <c r="AK100" s="301">
        <v>0.35</v>
      </c>
      <c r="AL100" s="255">
        <v>800</v>
      </c>
      <c r="AM100" s="254">
        <f t="shared" si="12"/>
        <v>280</v>
      </c>
      <c r="AN100" s="255">
        <v>80</v>
      </c>
      <c r="AO100" s="254">
        <f t="shared" si="13"/>
        <v>28</v>
      </c>
      <c r="AP100" s="255">
        <v>2600</v>
      </c>
      <c r="AQ100" s="254">
        <f t="shared" si="14"/>
        <v>909.99999999999989</v>
      </c>
      <c r="AR100" s="255">
        <v>320</v>
      </c>
      <c r="AS100" s="257">
        <f t="shared" si="15"/>
        <v>0</v>
      </c>
      <c r="AT100" s="255">
        <v>1920</v>
      </c>
      <c r="AU100" s="257">
        <f t="shared" si="16"/>
        <v>672</v>
      </c>
      <c r="AV100" s="255">
        <v>200</v>
      </c>
      <c r="AW100" s="257">
        <f t="shared" si="17"/>
        <v>70</v>
      </c>
      <c r="AX100" s="255">
        <v>200</v>
      </c>
      <c r="AY100" s="257">
        <f t="shared" si="18"/>
        <v>70</v>
      </c>
      <c r="AZ100" s="255">
        <v>200</v>
      </c>
      <c r="BA100" s="257">
        <f t="shared" si="19"/>
        <v>70</v>
      </c>
      <c r="BB100" s="255">
        <v>200</v>
      </c>
      <c r="BC100" s="257">
        <f t="shared" si="20"/>
        <v>70</v>
      </c>
      <c r="BD100" s="255">
        <v>200</v>
      </c>
      <c r="BE100" s="257">
        <f t="shared" si="21"/>
        <v>70</v>
      </c>
      <c r="BF100" s="255">
        <v>200</v>
      </c>
      <c r="BG100" s="257">
        <f t="shared" si="22"/>
        <v>70</v>
      </c>
      <c r="BH100" s="255">
        <v>200</v>
      </c>
      <c r="BI100" s="257">
        <f t="shared" si="23"/>
        <v>70</v>
      </c>
      <c r="BJ100" s="1" t="s">
        <v>555</v>
      </c>
      <c r="BL100" s="1" t="s">
        <v>457</v>
      </c>
      <c r="BM100" s="1" t="s">
        <v>556</v>
      </c>
    </row>
    <row r="101" spans="1:65" ht="15.75" customHeight="1">
      <c r="A101" s="250" t="s">
        <v>951</v>
      </c>
      <c r="B101" s="59" t="s">
        <v>341</v>
      </c>
      <c r="C101" s="354" t="s">
        <v>172</v>
      </c>
      <c r="D101" s="424"/>
      <c r="E101" s="357" t="s">
        <v>173</v>
      </c>
      <c r="F101" s="421"/>
      <c r="G101" s="317">
        <v>2024</v>
      </c>
      <c r="H101" s="59" t="s">
        <v>557</v>
      </c>
      <c r="I101" s="315" t="s">
        <v>357</v>
      </c>
      <c r="J101" s="317">
        <v>14</v>
      </c>
      <c r="K101" s="59" t="s">
        <v>335</v>
      </c>
      <c r="L101" s="298" t="s">
        <v>344</v>
      </c>
      <c r="M101" s="300" t="s">
        <v>558</v>
      </c>
      <c r="N101" s="300">
        <v>3.65</v>
      </c>
      <c r="O101" s="300">
        <v>3.65</v>
      </c>
      <c r="P101" s="300">
        <v>3.65</v>
      </c>
      <c r="Q101" s="300">
        <v>3.65</v>
      </c>
      <c r="R101" s="300">
        <v>3.65</v>
      </c>
      <c r="S101" s="300">
        <v>3.65</v>
      </c>
      <c r="T101" s="300">
        <v>3.65</v>
      </c>
      <c r="U101" s="300">
        <v>3.65</v>
      </c>
      <c r="V101" s="300">
        <v>3.65</v>
      </c>
      <c r="W101" s="300">
        <v>3.65</v>
      </c>
      <c r="X101" s="300">
        <v>3.65</v>
      </c>
      <c r="Y101" s="300">
        <v>3.65</v>
      </c>
      <c r="Z101" s="301">
        <v>0.28000000000000003</v>
      </c>
      <c r="AA101" s="301">
        <v>0.28000000000000003</v>
      </c>
      <c r="AB101" s="301">
        <v>0.28000000000000003</v>
      </c>
      <c r="AC101" s="301">
        <v>0</v>
      </c>
      <c r="AD101" s="301">
        <v>0.28000000000000003</v>
      </c>
      <c r="AE101" s="301">
        <v>0.28000000000000003</v>
      </c>
      <c r="AF101" s="301">
        <v>0.28000000000000003</v>
      </c>
      <c r="AG101" s="301">
        <v>0.28000000000000003</v>
      </c>
      <c r="AH101" s="301">
        <v>0.28000000000000003</v>
      </c>
      <c r="AI101" s="301">
        <v>0.28000000000000003</v>
      </c>
      <c r="AJ101" s="301">
        <v>0.28000000000000003</v>
      </c>
      <c r="AK101" s="301">
        <v>0.28000000000000003</v>
      </c>
      <c r="AL101" s="255">
        <v>600</v>
      </c>
      <c r="AM101" s="254">
        <f t="shared" si="12"/>
        <v>168.00000000000003</v>
      </c>
      <c r="AN101" s="255">
        <v>400</v>
      </c>
      <c r="AO101" s="254">
        <f t="shared" si="13"/>
        <v>112.00000000000001</v>
      </c>
      <c r="AP101" s="255">
        <v>680</v>
      </c>
      <c r="AQ101" s="254">
        <f t="shared" si="14"/>
        <v>190.4</v>
      </c>
      <c r="AR101" s="255">
        <v>480</v>
      </c>
      <c r="AS101" s="257">
        <f t="shared" si="15"/>
        <v>0</v>
      </c>
      <c r="AT101" s="255">
        <v>279</v>
      </c>
      <c r="AU101" s="257">
        <f t="shared" si="16"/>
        <v>78.12</v>
      </c>
      <c r="AV101" s="255">
        <v>1000</v>
      </c>
      <c r="AW101" s="257">
        <f t="shared" si="17"/>
        <v>280</v>
      </c>
      <c r="AX101" s="255">
        <v>1000</v>
      </c>
      <c r="AY101" s="257">
        <f t="shared" si="18"/>
        <v>280</v>
      </c>
      <c r="AZ101" s="255">
        <v>1000</v>
      </c>
      <c r="BA101" s="257">
        <f t="shared" si="19"/>
        <v>280</v>
      </c>
      <c r="BB101" s="255">
        <v>1000</v>
      </c>
      <c r="BC101" s="257">
        <f t="shared" si="20"/>
        <v>280</v>
      </c>
      <c r="BD101" s="255">
        <v>1000</v>
      </c>
      <c r="BE101" s="257">
        <f t="shared" si="21"/>
        <v>280</v>
      </c>
      <c r="BF101" s="255">
        <v>1000</v>
      </c>
      <c r="BG101" s="257">
        <f t="shared" si="22"/>
        <v>280</v>
      </c>
      <c r="BH101" s="255">
        <v>1000</v>
      </c>
      <c r="BI101" s="257">
        <f t="shared" si="23"/>
        <v>280</v>
      </c>
      <c r="BJ101" s="1" t="s">
        <v>559</v>
      </c>
      <c r="BL101" s="1" t="s">
        <v>457</v>
      </c>
      <c r="BM101" s="1" t="s">
        <v>560</v>
      </c>
    </row>
    <row r="102" spans="1:65" ht="15.75" customHeight="1">
      <c r="A102" s="250" t="s">
        <v>951</v>
      </c>
      <c r="B102" s="59" t="s">
        <v>341</v>
      </c>
      <c r="C102" s="354" t="s">
        <v>172</v>
      </c>
      <c r="D102" s="424"/>
      <c r="E102" s="357" t="s">
        <v>173</v>
      </c>
      <c r="F102" s="421"/>
      <c r="G102" s="317">
        <v>2024</v>
      </c>
      <c r="H102" s="59" t="s">
        <v>557</v>
      </c>
      <c r="I102" s="315" t="s">
        <v>359</v>
      </c>
      <c r="J102" s="317">
        <v>14</v>
      </c>
      <c r="K102" s="59" t="s">
        <v>335</v>
      </c>
      <c r="L102" s="298" t="s">
        <v>344</v>
      </c>
      <c r="M102" s="300" t="s">
        <v>558</v>
      </c>
      <c r="N102" s="315">
        <v>10</v>
      </c>
      <c r="O102" s="315">
        <v>10</v>
      </c>
      <c r="P102" s="315">
        <v>10</v>
      </c>
      <c r="Q102" s="315">
        <v>10</v>
      </c>
      <c r="R102" s="315">
        <v>10</v>
      </c>
      <c r="S102" s="315">
        <v>10</v>
      </c>
      <c r="T102" s="315">
        <v>10</v>
      </c>
      <c r="U102" s="315">
        <v>10</v>
      </c>
      <c r="V102" s="315">
        <v>10</v>
      </c>
      <c r="W102" s="315">
        <v>10</v>
      </c>
      <c r="X102" s="315">
        <v>10</v>
      </c>
      <c r="Y102" s="315">
        <v>10</v>
      </c>
      <c r="Z102" s="301">
        <v>1.51</v>
      </c>
      <c r="AA102" s="301">
        <v>1.51</v>
      </c>
      <c r="AB102" s="301">
        <v>1.51</v>
      </c>
      <c r="AC102" s="301">
        <v>0</v>
      </c>
      <c r="AD102" s="301">
        <v>1.51</v>
      </c>
      <c r="AE102" s="301">
        <v>1.51</v>
      </c>
      <c r="AF102" s="301">
        <v>1.51</v>
      </c>
      <c r="AG102" s="301">
        <v>1.51</v>
      </c>
      <c r="AH102" s="301">
        <v>1.51</v>
      </c>
      <c r="AI102" s="301">
        <v>1.51</v>
      </c>
      <c r="AJ102" s="301">
        <v>1.51</v>
      </c>
      <c r="AK102" s="301">
        <v>1.51</v>
      </c>
      <c r="AL102" s="255">
        <v>1320</v>
      </c>
      <c r="AM102" s="254">
        <f t="shared" si="12"/>
        <v>1993.2</v>
      </c>
      <c r="AN102" s="255">
        <v>240</v>
      </c>
      <c r="AO102" s="254">
        <f t="shared" si="13"/>
        <v>362.4</v>
      </c>
      <c r="AP102" s="255">
        <v>440</v>
      </c>
      <c r="AQ102" s="254">
        <f t="shared" si="14"/>
        <v>664.4</v>
      </c>
      <c r="AR102" s="255">
        <v>560</v>
      </c>
      <c r="AS102" s="257">
        <f t="shared" si="15"/>
        <v>0</v>
      </c>
      <c r="AT102" s="255">
        <v>200</v>
      </c>
      <c r="AU102" s="257">
        <f t="shared" si="16"/>
        <v>302</v>
      </c>
      <c r="AV102" s="255">
        <v>200</v>
      </c>
      <c r="AW102" s="257">
        <f t="shared" si="17"/>
        <v>302</v>
      </c>
      <c r="AX102" s="255">
        <v>200</v>
      </c>
      <c r="AY102" s="257">
        <f t="shared" si="18"/>
        <v>302</v>
      </c>
      <c r="AZ102" s="255">
        <v>200</v>
      </c>
      <c r="BA102" s="257">
        <f t="shared" si="19"/>
        <v>302</v>
      </c>
      <c r="BB102" s="255">
        <v>200</v>
      </c>
      <c r="BC102" s="257">
        <f t="shared" si="20"/>
        <v>302</v>
      </c>
      <c r="BD102" s="255">
        <v>200</v>
      </c>
      <c r="BE102" s="257">
        <f t="shared" si="21"/>
        <v>302</v>
      </c>
      <c r="BF102" s="255">
        <v>200</v>
      </c>
      <c r="BG102" s="257">
        <f t="shared" si="22"/>
        <v>302</v>
      </c>
      <c r="BH102" s="255">
        <v>200</v>
      </c>
      <c r="BI102" s="257">
        <f t="shared" si="23"/>
        <v>302</v>
      </c>
      <c r="BJ102" s="1" t="s">
        <v>561</v>
      </c>
      <c r="BL102" s="1" t="s">
        <v>457</v>
      </c>
      <c r="BM102" s="1" t="s">
        <v>562</v>
      </c>
    </row>
    <row r="103" spans="1:65" ht="15.75" customHeight="1">
      <c r="A103" s="250" t="s">
        <v>951</v>
      </c>
      <c r="B103" s="59" t="s">
        <v>341</v>
      </c>
      <c r="C103" s="354" t="s">
        <v>172</v>
      </c>
      <c r="D103" s="424"/>
      <c r="E103" s="357" t="s">
        <v>173</v>
      </c>
      <c r="F103" s="421"/>
      <c r="G103" s="317">
        <v>2024</v>
      </c>
      <c r="H103" s="59" t="s">
        <v>557</v>
      </c>
      <c r="I103" s="315" t="s">
        <v>357</v>
      </c>
      <c r="J103" s="317">
        <v>14</v>
      </c>
      <c r="K103" s="59" t="s">
        <v>384</v>
      </c>
      <c r="L103" s="298" t="s">
        <v>344</v>
      </c>
      <c r="M103" s="300" t="s">
        <v>558</v>
      </c>
      <c r="N103" s="300">
        <v>3.65</v>
      </c>
      <c r="O103" s="300">
        <v>3.65</v>
      </c>
      <c r="P103" s="300">
        <v>3.65</v>
      </c>
      <c r="Q103" s="300">
        <v>3.65</v>
      </c>
      <c r="R103" s="300">
        <v>3.65</v>
      </c>
      <c r="S103" s="300">
        <v>3.65</v>
      </c>
      <c r="T103" s="300">
        <v>3.65</v>
      </c>
      <c r="U103" s="300">
        <v>3.65</v>
      </c>
      <c r="V103" s="300">
        <v>3.65</v>
      </c>
      <c r="W103" s="300">
        <v>3.65</v>
      </c>
      <c r="X103" s="300">
        <v>3.65</v>
      </c>
      <c r="Y103" s="300">
        <v>3.65</v>
      </c>
      <c r="Z103" s="301">
        <v>0.28000000000000003</v>
      </c>
      <c r="AA103" s="301">
        <v>0.28000000000000003</v>
      </c>
      <c r="AB103" s="301">
        <v>0.28000000000000003</v>
      </c>
      <c r="AC103" s="301">
        <v>0</v>
      </c>
      <c r="AD103" s="301">
        <v>0.28000000000000003</v>
      </c>
      <c r="AE103" s="301">
        <v>0.28000000000000003</v>
      </c>
      <c r="AF103" s="301">
        <v>0.28000000000000003</v>
      </c>
      <c r="AG103" s="301">
        <v>0.28000000000000003</v>
      </c>
      <c r="AH103" s="301">
        <v>0.28000000000000003</v>
      </c>
      <c r="AI103" s="301">
        <v>0.28000000000000003</v>
      </c>
      <c r="AJ103" s="301">
        <v>0.28000000000000003</v>
      </c>
      <c r="AK103" s="301">
        <v>0.28000000000000003</v>
      </c>
      <c r="AL103" s="255">
        <v>6720</v>
      </c>
      <c r="AM103" s="254">
        <f t="shared" si="12"/>
        <v>1881.6000000000001</v>
      </c>
      <c r="AN103" s="255">
        <v>2360</v>
      </c>
      <c r="AO103" s="254">
        <f t="shared" si="13"/>
        <v>660.80000000000007</v>
      </c>
      <c r="AP103" s="255">
        <v>480</v>
      </c>
      <c r="AQ103" s="254">
        <f t="shared" si="14"/>
        <v>134.4</v>
      </c>
      <c r="AR103" s="255">
        <v>2800</v>
      </c>
      <c r="AS103" s="257">
        <f t="shared" si="15"/>
        <v>0</v>
      </c>
      <c r="AT103" s="255">
        <v>3600</v>
      </c>
      <c r="AU103" s="257">
        <f t="shared" si="16"/>
        <v>1008.0000000000001</v>
      </c>
      <c r="AV103" s="388"/>
      <c r="AW103" s="257">
        <f t="shared" si="17"/>
        <v>0</v>
      </c>
      <c r="AX103" s="255"/>
      <c r="AY103" s="257">
        <f t="shared" si="18"/>
        <v>0</v>
      </c>
      <c r="AZ103" s="255"/>
      <c r="BA103" s="257">
        <f t="shared" si="19"/>
        <v>0</v>
      </c>
      <c r="BB103" s="255"/>
      <c r="BC103" s="257">
        <f t="shared" si="20"/>
        <v>0</v>
      </c>
      <c r="BD103" s="255"/>
      <c r="BE103" s="257">
        <f t="shared" si="21"/>
        <v>0</v>
      </c>
      <c r="BF103" s="255"/>
      <c r="BG103" s="257">
        <f t="shared" si="22"/>
        <v>0</v>
      </c>
      <c r="BH103" s="255"/>
      <c r="BI103" s="257">
        <f t="shared" si="23"/>
        <v>0</v>
      </c>
      <c r="BJ103" s="1" t="s">
        <v>563</v>
      </c>
      <c r="BL103" s="1" t="s">
        <v>457</v>
      </c>
      <c r="BM103" s="1" t="s">
        <v>564</v>
      </c>
    </row>
    <row r="104" spans="1:65" ht="15.6" customHeight="1">
      <c r="A104" s="250" t="s">
        <v>951</v>
      </c>
      <c r="B104" s="59" t="s">
        <v>341</v>
      </c>
      <c r="C104" s="354" t="s">
        <v>172</v>
      </c>
      <c r="D104" s="424"/>
      <c r="E104" s="357" t="s">
        <v>173</v>
      </c>
      <c r="F104" s="421"/>
      <c r="G104" s="317">
        <v>2024</v>
      </c>
      <c r="H104" s="59" t="s">
        <v>557</v>
      </c>
      <c r="I104" s="315" t="s">
        <v>357</v>
      </c>
      <c r="J104" s="317">
        <v>14</v>
      </c>
      <c r="K104" s="59" t="s">
        <v>565</v>
      </c>
      <c r="L104" s="298" t="s">
        <v>344</v>
      </c>
      <c r="M104" s="300" t="s">
        <v>558</v>
      </c>
      <c r="N104" s="300">
        <v>3.65</v>
      </c>
      <c r="O104" s="300">
        <v>3.65</v>
      </c>
      <c r="P104" s="300">
        <v>3.65</v>
      </c>
      <c r="Q104" s="300">
        <v>3.65</v>
      </c>
      <c r="R104" s="300">
        <v>3.65</v>
      </c>
      <c r="S104" s="300">
        <v>3.65</v>
      </c>
      <c r="T104" s="300">
        <v>3.65</v>
      </c>
      <c r="U104" s="300">
        <v>3.65</v>
      </c>
      <c r="V104" s="300">
        <v>3.65</v>
      </c>
      <c r="W104" s="300">
        <v>3.65</v>
      </c>
      <c r="X104" s="300">
        <v>3.65</v>
      </c>
      <c r="Y104" s="300">
        <v>3.65</v>
      </c>
      <c r="Z104" s="301">
        <v>0.28000000000000003</v>
      </c>
      <c r="AA104" s="301">
        <v>0.28000000000000003</v>
      </c>
      <c r="AB104" s="301">
        <v>0.28000000000000003</v>
      </c>
      <c r="AC104" s="301">
        <v>0</v>
      </c>
      <c r="AD104" s="301">
        <v>0.28000000000000003</v>
      </c>
      <c r="AE104" s="301">
        <v>0.28000000000000003</v>
      </c>
      <c r="AF104" s="301">
        <v>0.28000000000000003</v>
      </c>
      <c r="AG104" s="301">
        <v>0.28000000000000003</v>
      </c>
      <c r="AH104" s="301">
        <v>0.28000000000000003</v>
      </c>
      <c r="AI104" s="301">
        <v>0.28000000000000003</v>
      </c>
      <c r="AJ104" s="301">
        <v>0.28000000000000003</v>
      </c>
      <c r="AK104" s="301">
        <v>0.28000000000000003</v>
      </c>
      <c r="AL104" s="255">
        <v>40</v>
      </c>
      <c r="AM104" s="254">
        <f t="shared" si="12"/>
        <v>11.200000000000001</v>
      </c>
      <c r="AN104" s="255"/>
      <c r="AO104" s="254">
        <f t="shared" si="13"/>
        <v>0</v>
      </c>
      <c r="AP104" s="255">
        <v>360</v>
      </c>
      <c r="AQ104" s="254">
        <f t="shared" si="14"/>
        <v>100.80000000000001</v>
      </c>
      <c r="AR104" s="255"/>
      <c r="AS104" s="257">
        <f t="shared" si="15"/>
        <v>0</v>
      </c>
      <c r="AT104" s="255"/>
      <c r="AU104" s="257">
        <f t="shared" si="16"/>
        <v>0</v>
      </c>
      <c r="AV104" s="255">
        <v>5000</v>
      </c>
      <c r="AW104" s="257">
        <f t="shared" si="17"/>
        <v>1400.0000000000002</v>
      </c>
      <c r="AX104" s="255">
        <v>5000</v>
      </c>
      <c r="AY104" s="257">
        <f t="shared" si="18"/>
        <v>1400.0000000000002</v>
      </c>
      <c r="AZ104" s="255">
        <v>6000</v>
      </c>
      <c r="BA104" s="257">
        <f t="shared" si="19"/>
        <v>1680.0000000000002</v>
      </c>
      <c r="BB104" s="255">
        <v>5000</v>
      </c>
      <c r="BC104" s="257">
        <f t="shared" si="20"/>
        <v>1400.0000000000002</v>
      </c>
      <c r="BD104" s="255">
        <v>5000</v>
      </c>
      <c r="BE104" s="257">
        <f t="shared" si="21"/>
        <v>1400.0000000000002</v>
      </c>
      <c r="BF104" s="255">
        <v>6000</v>
      </c>
      <c r="BG104" s="257">
        <f t="shared" si="22"/>
        <v>1680.0000000000002</v>
      </c>
      <c r="BH104" s="255">
        <v>5000</v>
      </c>
      <c r="BI104" s="257">
        <f t="shared" si="23"/>
        <v>1400.0000000000002</v>
      </c>
      <c r="BJ104" s="1" t="s">
        <v>566</v>
      </c>
      <c r="BL104" s="1" t="s">
        <v>457</v>
      </c>
      <c r="BM104" s="1" t="s">
        <v>567</v>
      </c>
    </row>
    <row r="105" spans="1:65" ht="15.6" customHeight="1">
      <c r="A105" s="250" t="s">
        <v>951</v>
      </c>
      <c r="B105" s="59" t="s">
        <v>341</v>
      </c>
      <c r="C105" s="354" t="s">
        <v>172</v>
      </c>
      <c r="D105" s="424"/>
      <c r="E105" s="357" t="s">
        <v>173</v>
      </c>
      <c r="F105" s="421"/>
      <c r="G105" s="317">
        <v>2024</v>
      </c>
      <c r="H105" s="59" t="s">
        <v>568</v>
      </c>
      <c r="I105" s="315" t="s">
        <v>359</v>
      </c>
      <c r="J105" s="317">
        <v>14</v>
      </c>
      <c r="K105" s="59" t="s">
        <v>335</v>
      </c>
      <c r="L105" s="298" t="s">
        <v>344</v>
      </c>
      <c r="M105" s="300" t="s">
        <v>541</v>
      </c>
      <c r="N105" s="315">
        <v>10</v>
      </c>
      <c r="O105" s="315">
        <v>10</v>
      </c>
      <c r="P105" s="315">
        <v>9</v>
      </c>
      <c r="Q105" s="315">
        <v>9</v>
      </c>
      <c r="R105" s="405">
        <v>9.84</v>
      </c>
      <c r="S105" s="405">
        <v>9.84</v>
      </c>
      <c r="T105" s="405">
        <v>9.84</v>
      </c>
      <c r="U105" s="405">
        <v>9.84</v>
      </c>
      <c r="V105" s="405">
        <v>9.84</v>
      </c>
      <c r="W105" s="405">
        <v>9.84</v>
      </c>
      <c r="X105" s="405">
        <v>9.84</v>
      </c>
      <c r="Y105" s="405">
        <v>9.84</v>
      </c>
      <c r="Z105" s="301">
        <v>1.51</v>
      </c>
      <c r="AA105" s="301">
        <v>1.51</v>
      </c>
      <c r="AB105" s="301">
        <v>0.6</v>
      </c>
      <c r="AC105" s="301">
        <v>0</v>
      </c>
      <c r="AD105" s="406">
        <v>0.9399999999999995</v>
      </c>
      <c r="AE105" s="406">
        <v>0.9399999999999995</v>
      </c>
      <c r="AF105" s="406">
        <v>0.9399999999999995</v>
      </c>
      <c r="AG105" s="406">
        <v>0.9399999999999995</v>
      </c>
      <c r="AH105" s="406">
        <v>0.9399999999999995</v>
      </c>
      <c r="AI105" s="406">
        <v>0.9399999999999995</v>
      </c>
      <c r="AJ105" s="406">
        <v>0.9399999999999995</v>
      </c>
      <c r="AK105" s="406">
        <v>0.9399999999999995</v>
      </c>
      <c r="AL105" s="255"/>
      <c r="AM105" s="254">
        <f t="shared" si="12"/>
        <v>0</v>
      </c>
      <c r="AN105" s="255">
        <v>80</v>
      </c>
      <c r="AO105" s="254">
        <f t="shared" si="13"/>
        <v>120.8</v>
      </c>
      <c r="AP105" s="255"/>
      <c r="AQ105" s="254">
        <f t="shared" si="14"/>
        <v>0</v>
      </c>
      <c r="AR105" s="255"/>
      <c r="AS105" s="257">
        <f t="shared" si="15"/>
        <v>0</v>
      </c>
      <c r="AT105" s="255"/>
      <c r="AU105" s="257">
        <f t="shared" si="16"/>
        <v>0</v>
      </c>
      <c r="AV105" s="388"/>
      <c r="AW105" s="257">
        <f t="shared" si="17"/>
        <v>0</v>
      </c>
      <c r="AX105" s="255"/>
      <c r="AY105" s="257">
        <f t="shared" si="18"/>
        <v>0</v>
      </c>
      <c r="AZ105" s="255"/>
      <c r="BA105" s="257">
        <f t="shared" si="19"/>
        <v>0</v>
      </c>
      <c r="BB105" s="255"/>
      <c r="BC105" s="257">
        <f t="shared" si="20"/>
        <v>0</v>
      </c>
      <c r="BD105" s="255"/>
      <c r="BE105" s="257">
        <f t="shared" si="21"/>
        <v>0</v>
      </c>
      <c r="BF105" s="255"/>
      <c r="BG105" s="257">
        <f t="shared" si="22"/>
        <v>0</v>
      </c>
      <c r="BH105" s="255"/>
      <c r="BI105" s="257">
        <f t="shared" si="23"/>
        <v>0</v>
      </c>
      <c r="BJ105" s="1" t="s">
        <v>569</v>
      </c>
      <c r="BL105" s="1" t="s">
        <v>457</v>
      </c>
      <c r="BM105" s="1" t="s">
        <v>570</v>
      </c>
    </row>
    <row r="106" spans="1:65" ht="15.6" customHeight="1">
      <c r="A106" s="250" t="s">
        <v>951</v>
      </c>
      <c r="B106" s="59" t="s">
        <v>341</v>
      </c>
      <c r="C106" s="354" t="s">
        <v>172</v>
      </c>
      <c r="D106" s="424"/>
      <c r="E106" s="357" t="s">
        <v>173</v>
      </c>
      <c r="F106" s="421"/>
      <c r="G106" s="317">
        <v>2024</v>
      </c>
      <c r="H106" s="59" t="s">
        <v>568</v>
      </c>
      <c r="I106" s="315" t="s">
        <v>357</v>
      </c>
      <c r="J106" s="317">
        <v>14</v>
      </c>
      <c r="K106" s="59" t="s">
        <v>335</v>
      </c>
      <c r="L106" s="298" t="s">
        <v>344</v>
      </c>
      <c r="M106" s="300" t="s">
        <v>541</v>
      </c>
      <c r="N106" s="300">
        <v>3.65</v>
      </c>
      <c r="O106" s="300">
        <v>3.65</v>
      </c>
      <c r="P106" s="300">
        <v>3.55</v>
      </c>
      <c r="Q106" s="300">
        <v>3.55</v>
      </c>
      <c r="R106" s="404">
        <v>4.28</v>
      </c>
      <c r="S106" s="404">
        <v>4.28</v>
      </c>
      <c r="T106" s="404">
        <v>4.28</v>
      </c>
      <c r="U106" s="404">
        <v>4.28</v>
      </c>
      <c r="V106" s="404">
        <v>4.28</v>
      </c>
      <c r="W106" s="404">
        <v>4.28</v>
      </c>
      <c r="X106" s="404">
        <v>4.28</v>
      </c>
      <c r="Y106" s="404">
        <v>4.28</v>
      </c>
      <c r="Z106" s="301">
        <v>0.28000000000000003</v>
      </c>
      <c r="AA106" s="301">
        <v>0.28000000000000003</v>
      </c>
      <c r="AB106" s="301">
        <v>0.25</v>
      </c>
      <c r="AC106" s="301">
        <v>0</v>
      </c>
      <c r="AD106" s="406">
        <v>0.48000000000000043</v>
      </c>
      <c r="AE106" s="406">
        <v>0.48000000000000043</v>
      </c>
      <c r="AF106" s="406">
        <v>0.48000000000000043</v>
      </c>
      <c r="AG106" s="406">
        <v>0.48000000000000043</v>
      </c>
      <c r="AH106" s="406">
        <v>0.48000000000000043</v>
      </c>
      <c r="AI106" s="406">
        <v>0.48000000000000043</v>
      </c>
      <c r="AJ106" s="406">
        <v>0.48000000000000043</v>
      </c>
      <c r="AK106" s="406">
        <v>0.48000000000000043</v>
      </c>
      <c r="AL106" s="255">
        <v>800</v>
      </c>
      <c r="AM106" s="254">
        <f t="shared" si="12"/>
        <v>224.00000000000003</v>
      </c>
      <c r="AN106" s="255">
        <v>1760</v>
      </c>
      <c r="AO106" s="254">
        <f t="shared" si="13"/>
        <v>492.80000000000007</v>
      </c>
      <c r="AP106" s="255"/>
      <c r="AQ106" s="254">
        <f t="shared" si="14"/>
        <v>0</v>
      </c>
      <c r="AR106" s="255">
        <v>5539</v>
      </c>
      <c r="AS106" s="257">
        <f t="shared" si="15"/>
        <v>0</v>
      </c>
      <c r="AT106" s="255">
        <v>2360</v>
      </c>
      <c r="AU106" s="257">
        <f t="shared" si="16"/>
        <v>1132.8000000000011</v>
      </c>
      <c r="AV106" s="255">
        <v>5000</v>
      </c>
      <c r="AW106" s="257">
        <f t="shared" si="17"/>
        <v>2400.0000000000023</v>
      </c>
      <c r="AX106" s="255">
        <v>5000</v>
      </c>
      <c r="AY106" s="257">
        <f t="shared" si="18"/>
        <v>2400.0000000000023</v>
      </c>
      <c r="AZ106" s="255">
        <v>5000</v>
      </c>
      <c r="BA106" s="257">
        <f t="shared" si="19"/>
        <v>2400.0000000000023</v>
      </c>
      <c r="BB106" s="255">
        <v>5000</v>
      </c>
      <c r="BC106" s="257">
        <f t="shared" si="20"/>
        <v>2400.0000000000023</v>
      </c>
      <c r="BD106" s="255">
        <v>5000</v>
      </c>
      <c r="BE106" s="257">
        <f t="shared" si="21"/>
        <v>2400.0000000000023</v>
      </c>
      <c r="BF106" s="255">
        <v>5000</v>
      </c>
      <c r="BG106" s="257">
        <f t="shared" si="22"/>
        <v>2400.0000000000023</v>
      </c>
      <c r="BH106" s="255">
        <v>5000</v>
      </c>
      <c r="BI106" s="257">
        <f t="shared" si="23"/>
        <v>2400.0000000000023</v>
      </c>
      <c r="BJ106" s="1" t="s">
        <v>571</v>
      </c>
      <c r="BL106" s="1" t="s">
        <v>457</v>
      </c>
      <c r="BM106" s="1" t="s">
        <v>572</v>
      </c>
    </row>
    <row r="107" spans="1:65" ht="15.6" customHeight="1">
      <c r="A107" s="250" t="s">
        <v>951</v>
      </c>
      <c r="B107" s="59" t="s">
        <v>341</v>
      </c>
      <c r="C107" s="354" t="s">
        <v>172</v>
      </c>
      <c r="D107" s="424"/>
      <c r="E107" s="357" t="s">
        <v>173</v>
      </c>
      <c r="F107" s="421"/>
      <c r="G107" s="317">
        <v>2024</v>
      </c>
      <c r="H107" s="59" t="s">
        <v>568</v>
      </c>
      <c r="I107" s="315" t="s">
        <v>359</v>
      </c>
      <c r="J107" s="317">
        <v>14</v>
      </c>
      <c r="K107" s="59" t="s">
        <v>515</v>
      </c>
      <c r="L107" s="298" t="s">
        <v>344</v>
      </c>
      <c r="M107" s="300" t="s">
        <v>541</v>
      </c>
      <c r="N107" s="315">
        <v>10</v>
      </c>
      <c r="O107" s="315">
        <v>10</v>
      </c>
      <c r="P107" s="315">
        <v>9</v>
      </c>
      <c r="Q107" s="315">
        <v>9</v>
      </c>
      <c r="R107" s="405">
        <v>9.84</v>
      </c>
      <c r="S107" s="405">
        <v>9.84</v>
      </c>
      <c r="T107" s="405">
        <v>9.84</v>
      </c>
      <c r="U107" s="405">
        <v>9.84</v>
      </c>
      <c r="V107" s="405">
        <v>9.84</v>
      </c>
      <c r="W107" s="405">
        <v>9.84</v>
      </c>
      <c r="X107" s="405">
        <v>9.84</v>
      </c>
      <c r="Y107" s="405">
        <v>9.84</v>
      </c>
      <c r="Z107" s="301">
        <v>1.51</v>
      </c>
      <c r="AA107" s="301">
        <v>1.51</v>
      </c>
      <c r="AB107" s="301">
        <v>0.6</v>
      </c>
      <c r="AC107" s="301">
        <v>0</v>
      </c>
      <c r="AD107" s="406">
        <v>0.9399999999999995</v>
      </c>
      <c r="AE107" s="406">
        <v>0.9399999999999995</v>
      </c>
      <c r="AF107" s="406">
        <v>0.9399999999999995</v>
      </c>
      <c r="AG107" s="406">
        <v>0.9399999999999995</v>
      </c>
      <c r="AH107" s="406">
        <v>0.9399999999999995</v>
      </c>
      <c r="AI107" s="406">
        <v>0.9399999999999995</v>
      </c>
      <c r="AJ107" s="406">
        <v>0.9399999999999995</v>
      </c>
      <c r="AK107" s="406">
        <v>0.9399999999999995</v>
      </c>
      <c r="AL107" s="255"/>
      <c r="AM107" s="254">
        <f t="shared" si="12"/>
        <v>0</v>
      </c>
      <c r="AN107" s="255"/>
      <c r="AO107" s="254">
        <f t="shared" si="13"/>
        <v>0</v>
      </c>
      <c r="AP107" s="255"/>
      <c r="AQ107" s="254">
        <f t="shared" si="14"/>
        <v>0</v>
      </c>
      <c r="AR107" s="255"/>
      <c r="AS107" s="257">
        <f t="shared" si="15"/>
        <v>0</v>
      </c>
      <c r="AT107" s="255"/>
      <c r="AU107" s="257">
        <f t="shared" si="16"/>
        <v>0</v>
      </c>
      <c r="AV107" s="388"/>
      <c r="AW107" s="257">
        <f t="shared" si="17"/>
        <v>0</v>
      </c>
      <c r="AX107" s="255"/>
      <c r="AY107" s="257">
        <f t="shared" si="18"/>
        <v>0</v>
      </c>
      <c r="AZ107" s="255"/>
      <c r="BA107" s="257">
        <f t="shared" si="19"/>
        <v>0</v>
      </c>
      <c r="BB107" s="255"/>
      <c r="BC107" s="257">
        <f t="shared" si="20"/>
        <v>0</v>
      </c>
      <c r="BD107" s="255"/>
      <c r="BE107" s="257">
        <f t="shared" si="21"/>
        <v>0</v>
      </c>
      <c r="BF107" s="255"/>
      <c r="BG107" s="257">
        <f t="shared" si="22"/>
        <v>0</v>
      </c>
      <c r="BH107" s="255"/>
      <c r="BI107" s="257">
        <f t="shared" si="23"/>
        <v>0</v>
      </c>
      <c r="BJ107" s="1" t="s">
        <v>573</v>
      </c>
      <c r="BL107" s="1" t="s">
        <v>457</v>
      </c>
      <c r="BM107" s="1" t="s">
        <v>574</v>
      </c>
    </row>
    <row r="108" spans="1:65" ht="15.6" customHeight="1">
      <c r="A108" s="250" t="s">
        <v>951</v>
      </c>
      <c r="B108" s="59" t="s">
        <v>341</v>
      </c>
      <c r="C108" s="354" t="s">
        <v>172</v>
      </c>
      <c r="D108" s="424"/>
      <c r="E108" s="357" t="s">
        <v>173</v>
      </c>
      <c r="F108" s="421"/>
      <c r="G108" s="317">
        <v>2024</v>
      </c>
      <c r="H108" s="59" t="s">
        <v>568</v>
      </c>
      <c r="I108" s="315" t="s">
        <v>357</v>
      </c>
      <c r="J108" s="317">
        <v>14</v>
      </c>
      <c r="K108" s="59" t="s">
        <v>515</v>
      </c>
      <c r="L108" s="298" t="s">
        <v>344</v>
      </c>
      <c r="M108" s="300" t="s">
        <v>541</v>
      </c>
      <c r="N108" s="300">
        <v>3.65</v>
      </c>
      <c r="O108" s="300">
        <v>3.65</v>
      </c>
      <c r="P108" s="300">
        <v>3.55</v>
      </c>
      <c r="Q108" s="300">
        <v>3.55</v>
      </c>
      <c r="R108" s="404">
        <v>4.28</v>
      </c>
      <c r="S108" s="404">
        <v>4.28</v>
      </c>
      <c r="T108" s="404">
        <v>4.28</v>
      </c>
      <c r="U108" s="404">
        <v>4.28</v>
      </c>
      <c r="V108" s="404">
        <v>4.28</v>
      </c>
      <c r="W108" s="404">
        <v>4.28</v>
      </c>
      <c r="X108" s="404">
        <v>4.28</v>
      </c>
      <c r="Y108" s="404">
        <v>4.28</v>
      </c>
      <c r="Z108" s="301">
        <v>0.28000000000000003</v>
      </c>
      <c r="AA108" s="301">
        <v>0.28000000000000003</v>
      </c>
      <c r="AB108" s="301">
        <v>0.25</v>
      </c>
      <c r="AC108" s="301">
        <v>0</v>
      </c>
      <c r="AD108" s="406">
        <v>0.48000000000000043</v>
      </c>
      <c r="AE108" s="406">
        <v>0.48000000000000043</v>
      </c>
      <c r="AF108" s="406">
        <v>0.48000000000000043</v>
      </c>
      <c r="AG108" s="406">
        <v>0.48000000000000043</v>
      </c>
      <c r="AH108" s="406">
        <v>0.48000000000000043</v>
      </c>
      <c r="AI108" s="406">
        <v>0.48000000000000043</v>
      </c>
      <c r="AJ108" s="406">
        <v>0.48000000000000043</v>
      </c>
      <c r="AK108" s="406">
        <v>0.48000000000000043</v>
      </c>
      <c r="AL108" s="255"/>
      <c r="AM108" s="254">
        <f t="shared" si="12"/>
        <v>0</v>
      </c>
      <c r="AN108" s="255"/>
      <c r="AO108" s="254">
        <f t="shared" si="13"/>
        <v>0</v>
      </c>
      <c r="AP108" s="255"/>
      <c r="AQ108" s="254">
        <f t="shared" si="14"/>
        <v>0</v>
      </c>
      <c r="AR108" s="255"/>
      <c r="AS108" s="257">
        <f t="shared" si="15"/>
        <v>0</v>
      </c>
      <c r="AT108" s="255"/>
      <c r="AU108" s="257">
        <f t="shared" si="16"/>
        <v>0</v>
      </c>
      <c r="AV108" s="388"/>
      <c r="AW108" s="257">
        <f t="shared" si="17"/>
        <v>0</v>
      </c>
      <c r="AX108" s="255"/>
      <c r="AY108" s="257">
        <f t="shared" si="18"/>
        <v>0</v>
      </c>
      <c r="AZ108" s="255"/>
      <c r="BA108" s="257">
        <f t="shared" si="19"/>
        <v>0</v>
      </c>
      <c r="BB108" s="255"/>
      <c r="BC108" s="257">
        <f t="shared" si="20"/>
        <v>0</v>
      </c>
      <c r="BD108" s="255"/>
      <c r="BE108" s="257">
        <f t="shared" si="21"/>
        <v>0</v>
      </c>
      <c r="BF108" s="255"/>
      <c r="BG108" s="257">
        <f t="shared" si="22"/>
        <v>0</v>
      </c>
      <c r="BH108" s="255"/>
      <c r="BI108" s="257">
        <f t="shared" si="23"/>
        <v>0</v>
      </c>
      <c r="BJ108" s="1" t="s">
        <v>575</v>
      </c>
      <c r="BL108" s="1" t="s">
        <v>457</v>
      </c>
      <c r="BM108" s="1" t="s">
        <v>576</v>
      </c>
    </row>
    <row r="109" spans="1:65" ht="15.6" customHeight="1">
      <c r="A109" s="250" t="s">
        <v>951</v>
      </c>
      <c r="B109" s="59" t="s">
        <v>341</v>
      </c>
      <c r="C109" s="354" t="s">
        <v>172</v>
      </c>
      <c r="D109" s="424"/>
      <c r="E109" s="357" t="s">
        <v>173</v>
      </c>
      <c r="F109" s="421"/>
      <c r="G109" s="317">
        <v>2024</v>
      </c>
      <c r="H109" s="59" t="s">
        <v>568</v>
      </c>
      <c r="I109" s="315" t="s">
        <v>357</v>
      </c>
      <c r="J109" s="317">
        <v>14</v>
      </c>
      <c r="K109" s="59" t="s">
        <v>577</v>
      </c>
      <c r="L109" s="298" t="s">
        <v>344</v>
      </c>
      <c r="M109" s="300" t="s">
        <v>541</v>
      </c>
      <c r="N109" s="300">
        <v>3.65</v>
      </c>
      <c r="O109" s="300">
        <v>3.65</v>
      </c>
      <c r="P109" s="300">
        <v>3.55</v>
      </c>
      <c r="Q109" s="300">
        <v>3.55</v>
      </c>
      <c r="R109" s="404">
        <v>4.28</v>
      </c>
      <c r="S109" s="404">
        <v>4.28</v>
      </c>
      <c r="T109" s="404">
        <v>4.28</v>
      </c>
      <c r="U109" s="404">
        <v>4.28</v>
      </c>
      <c r="V109" s="404">
        <v>4.28</v>
      </c>
      <c r="W109" s="404">
        <v>4.28</v>
      </c>
      <c r="X109" s="404">
        <v>4.28</v>
      </c>
      <c r="Y109" s="404">
        <v>4.28</v>
      </c>
      <c r="Z109" s="301">
        <v>0.28000000000000003</v>
      </c>
      <c r="AA109" s="301">
        <v>0.28000000000000003</v>
      </c>
      <c r="AB109" s="301">
        <v>0.25</v>
      </c>
      <c r="AC109" s="301">
        <v>0</v>
      </c>
      <c r="AD109" s="406">
        <v>0.48000000000000043</v>
      </c>
      <c r="AE109" s="406">
        <v>0.48000000000000043</v>
      </c>
      <c r="AF109" s="406">
        <v>0.48000000000000043</v>
      </c>
      <c r="AG109" s="406">
        <v>0.48000000000000043</v>
      </c>
      <c r="AH109" s="406">
        <v>0.48000000000000043</v>
      </c>
      <c r="AI109" s="406">
        <v>0.48000000000000043</v>
      </c>
      <c r="AJ109" s="406">
        <v>0.48000000000000043</v>
      </c>
      <c r="AK109" s="406">
        <v>0.48000000000000043</v>
      </c>
      <c r="AL109" s="255"/>
      <c r="AM109" s="254">
        <f t="shared" si="12"/>
        <v>0</v>
      </c>
      <c r="AN109" s="255"/>
      <c r="AO109" s="254">
        <f t="shared" si="13"/>
        <v>0</v>
      </c>
      <c r="AP109" s="255"/>
      <c r="AQ109" s="254">
        <f t="shared" si="14"/>
        <v>0</v>
      </c>
      <c r="AR109" s="256"/>
      <c r="AS109" s="257">
        <f t="shared" si="15"/>
        <v>0</v>
      </c>
      <c r="AT109" s="255"/>
      <c r="AU109" s="257">
        <f t="shared" si="16"/>
        <v>0</v>
      </c>
      <c r="AV109" s="388"/>
      <c r="AW109" s="257">
        <f t="shared" si="17"/>
        <v>0</v>
      </c>
      <c r="AX109" s="255"/>
      <c r="AY109" s="257">
        <f t="shared" si="18"/>
        <v>0</v>
      </c>
      <c r="AZ109" s="255"/>
      <c r="BA109" s="257">
        <f t="shared" si="19"/>
        <v>0</v>
      </c>
      <c r="BB109" s="255"/>
      <c r="BC109" s="257">
        <f t="shared" si="20"/>
        <v>0</v>
      </c>
      <c r="BD109" s="255"/>
      <c r="BE109" s="257">
        <f t="shared" si="21"/>
        <v>0</v>
      </c>
      <c r="BF109" s="255"/>
      <c r="BG109" s="257">
        <f t="shared" si="22"/>
        <v>0</v>
      </c>
      <c r="BH109" s="255"/>
      <c r="BI109" s="257">
        <f t="shared" si="23"/>
        <v>0</v>
      </c>
      <c r="BJ109" s="1" t="s">
        <v>578</v>
      </c>
      <c r="BL109" s="1" t="s">
        <v>457</v>
      </c>
      <c r="BM109" s="1" t="s">
        <v>579</v>
      </c>
    </row>
    <row r="110" spans="1:65" ht="15.6" customHeight="1">
      <c r="A110" s="250" t="s">
        <v>951</v>
      </c>
      <c r="B110" s="59" t="s">
        <v>341</v>
      </c>
      <c r="C110" s="354" t="s">
        <v>172</v>
      </c>
      <c r="D110" s="424"/>
      <c r="E110" s="357" t="s">
        <v>173</v>
      </c>
      <c r="F110" s="421"/>
      <c r="G110" s="317">
        <v>2024</v>
      </c>
      <c r="H110" s="59" t="s">
        <v>568</v>
      </c>
      <c r="I110" s="315" t="s">
        <v>357</v>
      </c>
      <c r="J110" s="317">
        <v>14</v>
      </c>
      <c r="K110" s="59" t="s">
        <v>565</v>
      </c>
      <c r="L110" s="298" t="s">
        <v>344</v>
      </c>
      <c r="M110" s="300" t="s">
        <v>541</v>
      </c>
      <c r="N110" s="300">
        <v>3.65</v>
      </c>
      <c r="O110" s="300">
        <v>3.65</v>
      </c>
      <c r="P110" s="300">
        <v>3.55</v>
      </c>
      <c r="Q110" s="300">
        <v>3.55</v>
      </c>
      <c r="R110" s="404">
        <v>4.28</v>
      </c>
      <c r="S110" s="404">
        <v>4.28</v>
      </c>
      <c r="T110" s="404">
        <v>4.28</v>
      </c>
      <c r="U110" s="404">
        <v>4.28</v>
      </c>
      <c r="V110" s="404">
        <v>4.28</v>
      </c>
      <c r="W110" s="404">
        <v>4.28</v>
      </c>
      <c r="X110" s="404">
        <v>4.28</v>
      </c>
      <c r="Y110" s="404">
        <v>4.28</v>
      </c>
      <c r="Z110" s="301">
        <v>0.28000000000000003</v>
      </c>
      <c r="AA110" s="301">
        <v>0.28000000000000003</v>
      </c>
      <c r="AB110" s="301">
        <v>0.25</v>
      </c>
      <c r="AC110" s="301">
        <v>0</v>
      </c>
      <c r="AD110" s="406">
        <v>0.48000000000000043</v>
      </c>
      <c r="AE110" s="406">
        <v>0.48000000000000043</v>
      </c>
      <c r="AF110" s="406">
        <v>0.48000000000000043</v>
      </c>
      <c r="AG110" s="406">
        <v>0.48000000000000043</v>
      </c>
      <c r="AH110" s="406">
        <v>0.48000000000000043</v>
      </c>
      <c r="AI110" s="406">
        <v>0.48000000000000043</v>
      </c>
      <c r="AJ110" s="406">
        <v>0.48000000000000043</v>
      </c>
      <c r="AK110" s="406">
        <v>0.48000000000000043</v>
      </c>
      <c r="AL110" s="255"/>
      <c r="AM110" s="254">
        <f t="shared" si="12"/>
        <v>0</v>
      </c>
      <c r="AN110" s="255"/>
      <c r="AO110" s="254">
        <f t="shared" si="13"/>
        <v>0</v>
      </c>
      <c r="AP110" s="255"/>
      <c r="AQ110" s="254">
        <f t="shared" si="14"/>
        <v>0</v>
      </c>
      <c r="AR110" s="255"/>
      <c r="AS110" s="257">
        <f t="shared" si="15"/>
        <v>0</v>
      </c>
      <c r="AT110" s="255"/>
      <c r="AU110" s="257">
        <f t="shared" si="16"/>
        <v>0</v>
      </c>
      <c r="AV110" s="388"/>
      <c r="AW110" s="257">
        <f t="shared" si="17"/>
        <v>0</v>
      </c>
      <c r="AX110" s="255"/>
      <c r="AY110" s="257">
        <f t="shared" si="18"/>
        <v>0</v>
      </c>
      <c r="AZ110" s="255"/>
      <c r="BA110" s="257">
        <f t="shared" si="19"/>
        <v>0</v>
      </c>
      <c r="BB110" s="255"/>
      <c r="BC110" s="257">
        <f t="shared" si="20"/>
        <v>0</v>
      </c>
      <c r="BD110" s="255"/>
      <c r="BE110" s="257">
        <f t="shared" si="21"/>
        <v>0</v>
      </c>
      <c r="BF110" s="255"/>
      <c r="BG110" s="257">
        <f t="shared" si="22"/>
        <v>0</v>
      </c>
      <c r="BH110" s="255"/>
      <c r="BI110" s="257">
        <f t="shared" si="23"/>
        <v>0</v>
      </c>
      <c r="BJ110" s="1" t="s">
        <v>580</v>
      </c>
      <c r="BL110" s="1" t="s">
        <v>457</v>
      </c>
      <c r="BM110" s="1" t="s">
        <v>581</v>
      </c>
    </row>
    <row r="111" spans="1:65" ht="15.6" customHeight="1">
      <c r="A111" s="250" t="s">
        <v>951</v>
      </c>
      <c r="B111" s="59" t="s">
        <v>341</v>
      </c>
      <c r="C111" s="354" t="s">
        <v>172</v>
      </c>
      <c r="D111" s="424"/>
      <c r="E111" s="357" t="s">
        <v>173</v>
      </c>
      <c r="F111" s="421"/>
      <c r="G111" s="317">
        <v>2024</v>
      </c>
      <c r="H111" s="59" t="s">
        <v>568</v>
      </c>
      <c r="I111" s="315" t="s">
        <v>359</v>
      </c>
      <c r="J111" s="317">
        <v>14</v>
      </c>
      <c r="K111" s="59" t="s">
        <v>577</v>
      </c>
      <c r="L111" s="298" t="s">
        <v>344</v>
      </c>
      <c r="M111" s="300" t="s">
        <v>541</v>
      </c>
      <c r="N111" s="300">
        <v>11</v>
      </c>
      <c r="O111" s="300">
        <v>11</v>
      </c>
      <c r="P111" s="300">
        <v>11</v>
      </c>
      <c r="Q111" s="300">
        <v>11</v>
      </c>
      <c r="R111" s="300">
        <v>11</v>
      </c>
      <c r="S111" s="300">
        <v>11</v>
      </c>
      <c r="T111" s="300">
        <v>11</v>
      </c>
      <c r="U111" s="300">
        <v>11</v>
      </c>
      <c r="V111" s="300">
        <v>11</v>
      </c>
      <c r="W111" s="300">
        <v>11</v>
      </c>
      <c r="X111" s="300">
        <v>11</v>
      </c>
      <c r="Y111" s="300">
        <v>11</v>
      </c>
      <c r="Z111" s="59">
        <v>2.33</v>
      </c>
      <c r="AA111" s="59">
        <v>2.33</v>
      </c>
      <c r="AB111" s="59">
        <v>2.4</v>
      </c>
      <c r="AC111" s="301">
        <v>0</v>
      </c>
      <c r="AD111" s="59">
        <v>2.4</v>
      </c>
      <c r="AE111" s="59">
        <v>2.4</v>
      </c>
      <c r="AF111" s="59">
        <v>2.4</v>
      </c>
      <c r="AG111" s="59">
        <v>2.4</v>
      </c>
      <c r="AH111" s="59">
        <v>2.4</v>
      </c>
      <c r="AI111" s="59">
        <v>2.4</v>
      </c>
      <c r="AJ111" s="59">
        <v>2.4</v>
      </c>
      <c r="AK111" s="59">
        <v>2.4</v>
      </c>
      <c r="AL111" s="255"/>
      <c r="AM111" s="254">
        <f t="shared" si="12"/>
        <v>0</v>
      </c>
      <c r="AN111" s="255"/>
      <c r="AO111" s="254">
        <f t="shared" si="13"/>
        <v>0</v>
      </c>
      <c r="AP111" s="255"/>
      <c r="AQ111" s="254">
        <f t="shared" si="14"/>
        <v>0</v>
      </c>
      <c r="AR111" s="256"/>
      <c r="AS111" s="257">
        <f t="shared" si="15"/>
        <v>0</v>
      </c>
      <c r="AT111" s="270"/>
      <c r="AU111" s="257">
        <f t="shared" si="16"/>
        <v>0</v>
      </c>
      <c r="AV111" s="268"/>
      <c r="AW111" s="257">
        <f t="shared" si="17"/>
        <v>0</v>
      </c>
      <c r="AX111" s="268"/>
      <c r="AY111" s="257">
        <f t="shared" si="18"/>
        <v>0</v>
      </c>
      <c r="AZ111" s="268"/>
      <c r="BA111" s="257">
        <f t="shared" si="19"/>
        <v>0</v>
      </c>
      <c r="BB111" s="268"/>
      <c r="BC111" s="257">
        <f t="shared" si="20"/>
        <v>0</v>
      </c>
      <c r="BD111" s="59"/>
      <c r="BE111" s="257">
        <f t="shared" si="21"/>
        <v>0</v>
      </c>
      <c r="BF111" s="59"/>
      <c r="BG111" s="257">
        <f t="shared" si="22"/>
        <v>0</v>
      </c>
      <c r="BH111" s="59"/>
      <c r="BI111" s="257">
        <f t="shared" si="23"/>
        <v>0</v>
      </c>
      <c r="BJ111" s="1" t="s">
        <v>582</v>
      </c>
      <c r="BL111" s="1" t="s">
        <v>457</v>
      </c>
      <c r="BM111" s="1" t="s">
        <v>583</v>
      </c>
    </row>
    <row r="112" spans="1:65" ht="15.75" customHeight="1">
      <c r="A112" s="250" t="s">
        <v>951</v>
      </c>
      <c r="B112" s="59" t="s">
        <v>341</v>
      </c>
      <c r="C112" s="354" t="s">
        <v>172</v>
      </c>
      <c r="D112" s="424"/>
      <c r="E112" s="357" t="s">
        <v>173</v>
      </c>
      <c r="F112" s="421"/>
      <c r="G112" s="317">
        <v>2024</v>
      </c>
      <c r="H112" s="59" t="s">
        <v>568</v>
      </c>
      <c r="I112" s="315" t="s">
        <v>359</v>
      </c>
      <c r="J112" s="317">
        <v>14</v>
      </c>
      <c r="K112" s="59" t="s">
        <v>565</v>
      </c>
      <c r="L112" s="298" t="s">
        <v>344</v>
      </c>
      <c r="M112" s="300" t="s">
        <v>541</v>
      </c>
      <c r="N112" s="300">
        <v>11</v>
      </c>
      <c r="O112" s="300">
        <v>11</v>
      </c>
      <c r="P112" s="300">
        <v>11</v>
      </c>
      <c r="Q112" s="300">
        <v>11</v>
      </c>
      <c r="R112" s="300">
        <v>11</v>
      </c>
      <c r="S112" s="300">
        <v>11</v>
      </c>
      <c r="T112" s="300">
        <v>11</v>
      </c>
      <c r="U112" s="300">
        <v>11</v>
      </c>
      <c r="V112" s="300">
        <v>11</v>
      </c>
      <c r="W112" s="300">
        <v>11</v>
      </c>
      <c r="X112" s="300">
        <v>11</v>
      </c>
      <c r="Y112" s="300">
        <v>11</v>
      </c>
      <c r="Z112" s="59">
        <v>2.33</v>
      </c>
      <c r="AA112" s="59">
        <v>2.33</v>
      </c>
      <c r="AB112" s="59">
        <v>2.4</v>
      </c>
      <c r="AC112" s="301">
        <v>0</v>
      </c>
      <c r="AD112" s="59">
        <v>2.4</v>
      </c>
      <c r="AE112" s="59">
        <v>2.4</v>
      </c>
      <c r="AF112" s="59">
        <v>2.4</v>
      </c>
      <c r="AG112" s="59">
        <v>2.4</v>
      </c>
      <c r="AH112" s="59">
        <v>2.4</v>
      </c>
      <c r="AI112" s="59">
        <v>2.4</v>
      </c>
      <c r="AJ112" s="59">
        <v>2.4</v>
      </c>
      <c r="AK112" s="59">
        <v>2.4</v>
      </c>
      <c r="AL112" s="255"/>
      <c r="AM112" s="254">
        <f t="shared" si="12"/>
        <v>0</v>
      </c>
      <c r="AN112" s="255"/>
      <c r="AO112" s="254">
        <f t="shared" si="13"/>
        <v>0</v>
      </c>
      <c r="AP112" s="255"/>
      <c r="AQ112" s="254">
        <f t="shared" si="14"/>
        <v>0</v>
      </c>
      <c r="AR112" s="255"/>
      <c r="AS112" s="257">
        <f t="shared" si="15"/>
        <v>0</v>
      </c>
      <c r="AT112" s="255"/>
      <c r="AU112" s="257">
        <f t="shared" si="16"/>
        <v>0</v>
      </c>
      <c r="AV112" s="388"/>
      <c r="AW112" s="257">
        <f t="shared" si="17"/>
        <v>0</v>
      </c>
      <c r="AX112" s="255"/>
      <c r="AY112" s="257">
        <f t="shared" si="18"/>
        <v>0</v>
      </c>
      <c r="AZ112" s="255"/>
      <c r="BA112" s="257">
        <f t="shared" si="19"/>
        <v>0</v>
      </c>
      <c r="BB112" s="255"/>
      <c r="BC112" s="257">
        <f t="shared" si="20"/>
        <v>0</v>
      </c>
      <c r="BD112" s="255"/>
      <c r="BE112" s="257">
        <f t="shared" si="21"/>
        <v>0</v>
      </c>
      <c r="BF112" s="255"/>
      <c r="BG112" s="257">
        <f t="shared" si="22"/>
        <v>0</v>
      </c>
      <c r="BH112" s="255"/>
      <c r="BI112" s="257">
        <f t="shared" si="23"/>
        <v>0</v>
      </c>
      <c r="BJ112" s="1" t="s">
        <v>584</v>
      </c>
      <c r="BL112" s="1" t="s">
        <v>457</v>
      </c>
      <c r="BM112" s="1" t="s">
        <v>585</v>
      </c>
    </row>
    <row r="113" spans="1:65" ht="15.75" customHeight="1">
      <c r="A113" s="250" t="s">
        <v>951</v>
      </c>
      <c r="B113" s="59" t="s">
        <v>341</v>
      </c>
      <c r="C113" s="354" t="s">
        <v>172</v>
      </c>
      <c r="D113" s="424"/>
      <c r="E113" s="357" t="s">
        <v>173</v>
      </c>
      <c r="F113" s="421"/>
      <c r="G113" s="317">
        <v>2024</v>
      </c>
      <c r="H113" s="59" t="s">
        <v>568</v>
      </c>
      <c r="I113" s="315" t="s">
        <v>359</v>
      </c>
      <c r="J113" s="317">
        <v>14</v>
      </c>
      <c r="K113" s="59" t="s">
        <v>586</v>
      </c>
      <c r="L113" s="298" t="s">
        <v>344</v>
      </c>
      <c r="M113" s="300" t="s">
        <v>541</v>
      </c>
      <c r="N113" s="300">
        <v>11</v>
      </c>
      <c r="O113" s="300">
        <v>11</v>
      </c>
      <c r="P113" s="300">
        <v>11</v>
      </c>
      <c r="Q113" s="300">
        <v>11</v>
      </c>
      <c r="R113" s="300">
        <v>11</v>
      </c>
      <c r="S113" s="300">
        <v>11</v>
      </c>
      <c r="T113" s="300">
        <v>11</v>
      </c>
      <c r="U113" s="300">
        <v>11</v>
      </c>
      <c r="V113" s="300">
        <v>11</v>
      </c>
      <c r="W113" s="300">
        <v>11</v>
      </c>
      <c r="X113" s="300">
        <v>11</v>
      </c>
      <c r="Y113" s="300">
        <v>11</v>
      </c>
      <c r="Z113" s="59">
        <v>2.33</v>
      </c>
      <c r="AA113" s="59">
        <v>2.33</v>
      </c>
      <c r="AB113" s="59">
        <v>2.4</v>
      </c>
      <c r="AC113" s="301">
        <v>0</v>
      </c>
      <c r="AD113" s="59">
        <v>2.4</v>
      </c>
      <c r="AE113" s="59">
        <v>2.4</v>
      </c>
      <c r="AF113" s="59">
        <v>2.4</v>
      </c>
      <c r="AG113" s="59">
        <v>2.4</v>
      </c>
      <c r="AH113" s="59">
        <v>2.4</v>
      </c>
      <c r="AI113" s="59">
        <v>2.4</v>
      </c>
      <c r="AJ113" s="59">
        <v>2.4</v>
      </c>
      <c r="AK113" s="59">
        <v>2.4</v>
      </c>
      <c r="AL113" s="255"/>
      <c r="AM113" s="254">
        <f t="shared" si="12"/>
        <v>0</v>
      </c>
      <c r="AN113" s="255"/>
      <c r="AO113" s="254">
        <f t="shared" si="13"/>
        <v>0</v>
      </c>
      <c r="AP113" s="255"/>
      <c r="AQ113" s="254">
        <f t="shared" si="14"/>
        <v>0</v>
      </c>
      <c r="AR113" s="255"/>
      <c r="AS113" s="257">
        <f t="shared" si="15"/>
        <v>0</v>
      </c>
      <c r="AT113" s="255"/>
      <c r="AU113" s="257">
        <f t="shared" si="16"/>
        <v>0</v>
      </c>
      <c r="AV113" s="388"/>
      <c r="AW113" s="257">
        <f t="shared" si="17"/>
        <v>0</v>
      </c>
      <c r="AX113" s="255"/>
      <c r="AY113" s="257">
        <f t="shared" si="18"/>
        <v>0</v>
      </c>
      <c r="AZ113" s="255"/>
      <c r="BA113" s="257">
        <f t="shared" si="19"/>
        <v>0</v>
      </c>
      <c r="BB113" s="255"/>
      <c r="BC113" s="257">
        <f t="shared" si="20"/>
        <v>0</v>
      </c>
      <c r="BD113" s="255"/>
      <c r="BE113" s="257">
        <f t="shared" si="21"/>
        <v>0</v>
      </c>
      <c r="BF113" s="255"/>
      <c r="BG113" s="257">
        <f t="shared" si="22"/>
        <v>0</v>
      </c>
      <c r="BH113" s="255"/>
      <c r="BI113" s="257">
        <f t="shared" si="23"/>
        <v>0</v>
      </c>
      <c r="BJ113" s="1" t="s">
        <v>587</v>
      </c>
      <c r="BL113" s="1" t="s">
        <v>457</v>
      </c>
      <c r="BM113" s="1" t="s">
        <v>588</v>
      </c>
    </row>
    <row r="114" spans="1:65" ht="15.75" customHeight="1">
      <c r="A114" s="250" t="s">
        <v>951</v>
      </c>
      <c r="B114" s="59" t="s">
        <v>341</v>
      </c>
      <c r="C114" s="354" t="s">
        <v>172</v>
      </c>
      <c r="D114" s="424"/>
      <c r="E114" s="357" t="s">
        <v>173</v>
      </c>
      <c r="F114" s="421"/>
      <c r="G114" s="317">
        <v>2020</v>
      </c>
      <c r="H114" s="59" t="s">
        <v>342</v>
      </c>
      <c r="I114" s="315" t="s">
        <v>175</v>
      </c>
      <c r="J114" s="317">
        <v>14</v>
      </c>
      <c r="K114" s="59" t="s">
        <v>540</v>
      </c>
      <c r="L114" s="298" t="s">
        <v>464</v>
      </c>
      <c r="M114" s="300" t="s">
        <v>465</v>
      </c>
      <c r="N114" s="300">
        <v>3.5</v>
      </c>
      <c r="O114" s="300">
        <v>3.5</v>
      </c>
      <c r="P114" s="300">
        <v>3.5</v>
      </c>
      <c r="Q114" s="300">
        <v>3.5</v>
      </c>
      <c r="R114" s="300">
        <v>3.5</v>
      </c>
      <c r="S114" s="300">
        <v>3.5</v>
      </c>
      <c r="T114" s="300">
        <v>3.5</v>
      </c>
      <c r="U114" s="300">
        <v>3.5</v>
      </c>
      <c r="V114" s="300">
        <v>3.5</v>
      </c>
      <c r="W114" s="300">
        <v>3.5</v>
      </c>
      <c r="X114" s="300">
        <v>3.5</v>
      </c>
      <c r="Y114" s="300">
        <v>3.5</v>
      </c>
      <c r="Z114" s="301">
        <v>0.6</v>
      </c>
      <c r="AA114" s="301">
        <v>0.6</v>
      </c>
      <c r="AB114" s="301">
        <v>0.6</v>
      </c>
      <c r="AC114" s="301">
        <v>0</v>
      </c>
      <c r="AD114" s="301">
        <v>0.6</v>
      </c>
      <c r="AE114" s="301">
        <v>0.6</v>
      </c>
      <c r="AF114" s="301">
        <v>0.6</v>
      </c>
      <c r="AG114" s="301">
        <v>0.6</v>
      </c>
      <c r="AH114" s="301">
        <v>0.6</v>
      </c>
      <c r="AI114" s="301">
        <v>0.6</v>
      </c>
      <c r="AJ114" s="301">
        <v>0.6</v>
      </c>
      <c r="AK114" s="301">
        <v>0.6</v>
      </c>
      <c r="AL114" s="255">
        <v>3480</v>
      </c>
      <c r="AM114" s="254">
        <f t="shared" si="12"/>
        <v>2088</v>
      </c>
      <c r="AN114" s="255">
        <v>14595</v>
      </c>
      <c r="AO114" s="254">
        <f t="shared" si="13"/>
        <v>8757</v>
      </c>
      <c r="AP114" s="255">
        <v>25440</v>
      </c>
      <c r="AQ114" s="254">
        <f t="shared" si="14"/>
        <v>15264</v>
      </c>
      <c r="AR114" s="255">
        <v>17552</v>
      </c>
      <c r="AS114" s="257">
        <f t="shared" si="15"/>
        <v>0</v>
      </c>
      <c r="AT114" s="255">
        <v>7993</v>
      </c>
      <c r="AU114" s="257">
        <f t="shared" si="16"/>
        <v>4795.8</v>
      </c>
      <c r="AV114" s="388">
        <v>6000</v>
      </c>
      <c r="AW114" s="257">
        <f t="shared" si="17"/>
        <v>3600</v>
      </c>
      <c r="AX114" s="388">
        <v>6000</v>
      </c>
      <c r="AY114" s="257">
        <f t="shared" si="18"/>
        <v>3600</v>
      </c>
      <c r="AZ114" s="255">
        <v>8000</v>
      </c>
      <c r="BA114" s="257">
        <f t="shared" si="19"/>
        <v>4800</v>
      </c>
      <c r="BB114" s="255">
        <v>6000</v>
      </c>
      <c r="BC114" s="257">
        <f t="shared" si="20"/>
        <v>3600</v>
      </c>
      <c r="BD114" s="255">
        <v>8000</v>
      </c>
      <c r="BE114" s="257">
        <f t="shared" si="21"/>
        <v>4800</v>
      </c>
      <c r="BF114" s="255">
        <v>10000</v>
      </c>
      <c r="BG114" s="257">
        <f t="shared" si="22"/>
        <v>6000</v>
      </c>
      <c r="BH114" s="255">
        <v>8000</v>
      </c>
      <c r="BI114" s="257">
        <f t="shared" si="23"/>
        <v>4800</v>
      </c>
      <c r="BJ114" s="1" t="s">
        <v>542</v>
      </c>
      <c r="BL114" s="1" t="s">
        <v>457</v>
      </c>
      <c r="BM114" s="1" t="s">
        <v>543</v>
      </c>
    </row>
    <row r="115" spans="1:65" ht="15.75" customHeight="1">
      <c r="A115" s="250" t="s">
        <v>951</v>
      </c>
      <c r="B115" s="59" t="s">
        <v>341</v>
      </c>
      <c r="C115" s="354" t="s">
        <v>172</v>
      </c>
      <c r="D115" s="424"/>
      <c r="E115" s="357" t="s">
        <v>173</v>
      </c>
      <c r="F115" s="421"/>
      <c r="G115" s="317">
        <v>2024</v>
      </c>
      <c r="H115" s="59" t="s">
        <v>568</v>
      </c>
      <c r="I115" s="315" t="s">
        <v>359</v>
      </c>
      <c r="J115" s="317">
        <v>14</v>
      </c>
      <c r="K115" s="59" t="s">
        <v>335</v>
      </c>
      <c r="L115" s="298" t="s">
        <v>464</v>
      </c>
      <c r="M115" s="300" t="s">
        <v>465</v>
      </c>
      <c r="N115" s="315">
        <v>10</v>
      </c>
      <c r="O115" s="315">
        <v>10</v>
      </c>
      <c r="P115" s="315">
        <v>9</v>
      </c>
      <c r="Q115" s="315">
        <v>9</v>
      </c>
      <c r="R115" s="405">
        <v>9.84</v>
      </c>
      <c r="S115" s="405">
        <v>9.84</v>
      </c>
      <c r="T115" s="405">
        <v>9.84</v>
      </c>
      <c r="U115" s="405">
        <v>9.84</v>
      </c>
      <c r="V115" s="405">
        <v>9.84</v>
      </c>
      <c r="W115" s="405">
        <v>9.84</v>
      </c>
      <c r="X115" s="405">
        <v>9.84</v>
      </c>
      <c r="Y115" s="405">
        <v>9.84</v>
      </c>
      <c r="Z115" s="301">
        <v>1.51</v>
      </c>
      <c r="AA115" s="301">
        <v>1.51</v>
      </c>
      <c r="AB115" s="301">
        <v>0.6</v>
      </c>
      <c r="AC115" s="301">
        <v>0</v>
      </c>
      <c r="AD115" s="406">
        <v>0.9399999999999995</v>
      </c>
      <c r="AE115" s="406">
        <v>0.9399999999999995</v>
      </c>
      <c r="AF115" s="406">
        <v>0.9399999999999995</v>
      </c>
      <c r="AG115" s="406">
        <v>0.9399999999999995</v>
      </c>
      <c r="AH115" s="406">
        <v>0.9399999999999995</v>
      </c>
      <c r="AI115" s="406">
        <v>0.9399999999999995</v>
      </c>
      <c r="AJ115" s="406">
        <v>0.9399999999999995</v>
      </c>
      <c r="AK115" s="406">
        <v>0.9399999999999995</v>
      </c>
      <c r="AL115" s="255">
        <v>200</v>
      </c>
      <c r="AM115" s="254">
        <f t="shared" si="12"/>
        <v>302</v>
      </c>
      <c r="AN115" s="255">
        <v>80</v>
      </c>
      <c r="AO115" s="254">
        <f t="shared" si="13"/>
        <v>120.8</v>
      </c>
      <c r="AP115" s="255">
        <v>240</v>
      </c>
      <c r="AQ115" s="254">
        <f t="shared" si="14"/>
        <v>144</v>
      </c>
      <c r="AR115" s="255"/>
      <c r="AS115" s="257">
        <f t="shared" si="15"/>
        <v>0</v>
      </c>
      <c r="AT115" s="255">
        <v>400</v>
      </c>
      <c r="AU115" s="257">
        <f t="shared" si="16"/>
        <v>375.99999999999977</v>
      </c>
      <c r="AV115" s="255">
        <v>200</v>
      </c>
      <c r="AW115" s="257">
        <f t="shared" si="17"/>
        <v>187.99999999999989</v>
      </c>
      <c r="AX115" s="255">
        <v>200</v>
      </c>
      <c r="AY115" s="257">
        <f t="shared" si="18"/>
        <v>187.99999999999989</v>
      </c>
      <c r="AZ115" s="255">
        <v>200</v>
      </c>
      <c r="BA115" s="257">
        <f t="shared" si="19"/>
        <v>187.99999999999989</v>
      </c>
      <c r="BB115" s="255">
        <v>200</v>
      </c>
      <c r="BC115" s="257">
        <f t="shared" si="20"/>
        <v>187.99999999999989</v>
      </c>
      <c r="BD115" s="255">
        <v>200</v>
      </c>
      <c r="BE115" s="257">
        <f t="shared" si="21"/>
        <v>187.99999999999989</v>
      </c>
      <c r="BF115" s="255">
        <v>200</v>
      </c>
      <c r="BG115" s="257">
        <f t="shared" si="22"/>
        <v>187.99999999999989</v>
      </c>
      <c r="BH115" s="255">
        <v>200</v>
      </c>
      <c r="BI115" s="257">
        <f t="shared" si="23"/>
        <v>187.99999999999989</v>
      </c>
      <c r="BJ115" s="1" t="s">
        <v>569</v>
      </c>
      <c r="BL115" s="1" t="s">
        <v>457</v>
      </c>
      <c r="BM115" s="1" t="s">
        <v>570</v>
      </c>
    </row>
    <row r="116" spans="1:65" ht="15.75" customHeight="1">
      <c r="A116" s="250" t="s">
        <v>951</v>
      </c>
      <c r="B116" s="59" t="s">
        <v>341</v>
      </c>
      <c r="C116" s="354" t="s">
        <v>172</v>
      </c>
      <c r="D116" s="424"/>
      <c r="E116" s="357" t="s">
        <v>173</v>
      </c>
      <c r="F116" s="421"/>
      <c r="G116" s="317">
        <v>2024</v>
      </c>
      <c r="H116" s="59" t="s">
        <v>568</v>
      </c>
      <c r="I116" s="315" t="s">
        <v>357</v>
      </c>
      <c r="J116" s="317">
        <v>14</v>
      </c>
      <c r="K116" s="59" t="s">
        <v>335</v>
      </c>
      <c r="L116" s="298" t="s">
        <v>464</v>
      </c>
      <c r="M116" s="300" t="s">
        <v>465</v>
      </c>
      <c r="N116" s="300">
        <v>3.65</v>
      </c>
      <c r="O116" s="300">
        <v>3.65</v>
      </c>
      <c r="P116" s="300">
        <v>3.55</v>
      </c>
      <c r="Q116" s="300">
        <v>3.55</v>
      </c>
      <c r="R116" s="404">
        <v>4.28</v>
      </c>
      <c r="S116" s="404">
        <v>4.28</v>
      </c>
      <c r="T116" s="404">
        <v>4.28</v>
      </c>
      <c r="U116" s="404">
        <v>4.28</v>
      </c>
      <c r="V116" s="404">
        <v>4.28</v>
      </c>
      <c r="W116" s="404">
        <v>4.28</v>
      </c>
      <c r="X116" s="404">
        <v>4.28</v>
      </c>
      <c r="Y116" s="404">
        <v>4.28</v>
      </c>
      <c r="Z116" s="301">
        <v>0.28000000000000003</v>
      </c>
      <c r="AA116" s="301">
        <v>0.28000000000000003</v>
      </c>
      <c r="AB116" s="301">
        <v>0.25</v>
      </c>
      <c r="AC116" s="301">
        <v>0</v>
      </c>
      <c r="AD116" s="406">
        <v>0.48000000000000043</v>
      </c>
      <c r="AE116" s="406">
        <v>0.48000000000000043</v>
      </c>
      <c r="AF116" s="406">
        <v>0.48000000000000043</v>
      </c>
      <c r="AG116" s="406">
        <v>0.48000000000000043</v>
      </c>
      <c r="AH116" s="406">
        <v>0.48000000000000043</v>
      </c>
      <c r="AI116" s="406">
        <v>0.48000000000000043</v>
      </c>
      <c r="AJ116" s="406">
        <v>0.48000000000000043</v>
      </c>
      <c r="AK116" s="406">
        <v>0.48000000000000043</v>
      </c>
      <c r="AL116" s="255">
        <v>1920</v>
      </c>
      <c r="AM116" s="254">
        <f t="shared" si="12"/>
        <v>537.6</v>
      </c>
      <c r="AN116" s="255">
        <v>80</v>
      </c>
      <c r="AO116" s="254">
        <f t="shared" si="13"/>
        <v>22.400000000000002</v>
      </c>
      <c r="AP116" s="255">
        <v>1236</v>
      </c>
      <c r="AQ116" s="254">
        <f t="shared" si="14"/>
        <v>309</v>
      </c>
      <c r="AR116" s="255"/>
      <c r="AS116" s="257">
        <f t="shared" si="15"/>
        <v>0</v>
      </c>
      <c r="AT116" s="255">
        <v>4760</v>
      </c>
      <c r="AU116" s="257">
        <f t="shared" si="16"/>
        <v>2284.800000000002</v>
      </c>
      <c r="AV116" s="381">
        <v>10000</v>
      </c>
      <c r="AW116" s="257">
        <f t="shared" si="17"/>
        <v>4800.0000000000045</v>
      </c>
      <c r="AX116" s="381">
        <v>10000</v>
      </c>
      <c r="AY116" s="257">
        <f t="shared" si="18"/>
        <v>4800.0000000000045</v>
      </c>
      <c r="AZ116" s="255">
        <v>12000</v>
      </c>
      <c r="BA116" s="257">
        <f t="shared" si="19"/>
        <v>5760.0000000000055</v>
      </c>
      <c r="BB116" s="381">
        <v>10000</v>
      </c>
      <c r="BC116" s="257">
        <f t="shared" si="20"/>
        <v>4800.0000000000045</v>
      </c>
      <c r="BD116" s="381">
        <v>10000</v>
      </c>
      <c r="BE116" s="257">
        <f t="shared" si="21"/>
        <v>4800.0000000000045</v>
      </c>
      <c r="BF116" s="255">
        <v>12000</v>
      </c>
      <c r="BG116" s="257">
        <f t="shared" si="22"/>
        <v>5760.0000000000055</v>
      </c>
      <c r="BH116" s="381">
        <v>10000</v>
      </c>
      <c r="BI116" s="257">
        <f t="shared" si="23"/>
        <v>4800.0000000000045</v>
      </c>
      <c r="BJ116" s="1" t="s">
        <v>571</v>
      </c>
      <c r="BL116" s="1" t="s">
        <v>457</v>
      </c>
      <c r="BM116" s="1" t="s">
        <v>572</v>
      </c>
    </row>
    <row r="117" spans="1:65" ht="15.75" customHeight="1">
      <c r="A117" s="250" t="s">
        <v>951</v>
      </c>
      <c r="B117" s="59" t="s">
        <v>341</v>
      </c>
      <c r="C117" s="354" t="s">
        <v>172</v>
      </c>
      <c r="D117" s="424"/>
      <c r="E117" s="357" t="s">
        <v>173</v>
      </c>
      <c r="F117" s="421"/>
      <c r="G117" s="317">
        <v>2024</v>
      </c>
      <c r="H117" s="59" t="s">
        <v>568</v>
      </c>
      <c r="I117" s="315" t="s">
        <v>359</v>
      </c>
      <c r="J117" s="317">
        <v>14</v>
      </c>
      <c r="K117" s="59" t="s">
        <v>515</v>
      </c>
      <c r="L117" s="298" t="s">
        <v>464</v>
      </c>
      <c r="M117" s="300" t="s">
        <v>465</v>
      </c>
      <c r="N117" s="315">
        <v>10</v>
      </c>
      <c r="O117" s="315">
        <v>10</v>
      </c>
      <c r="P117" s="315">
        <v>9</v>
      </c>
      <c r="Q117" s="315">
        <v>9</v>
      </c>
      <c r="R117" s="405">
        <v>9.84</v>
      </c>
      <c r="S117" s="405">
        <v>9.84</v>
      </c>
      <c r="T117" s="405">
        <v>9.84</v>
      </c>
      <c r="U117" s="405">
        <v>9.84</v>
      </c>
      <c r="V117" s="405">
        <v>9.84</v>
      </c>
      <c r="W117" s="405">
        <v>9.84</v>
      </c>
      <c r="X117" s="405">
        <v>9.84</v>
      </c>
      <c r="Y117" s="405">
        <v>9.84</v>
      </c>
      <c r="Z117" s="301">
        <v>1.51</v>
      </c>
      <c r="AA117" s="301">
        <v>1.51</v>
      </c>
      <c r="AB117" s="301">
        <v>0.6</v>
      </c>
      <c r="AC117" s="301">
        <v>0</v>
      </c>
      <c r="AD117" s="406">
        <v>0.9399999999999995</v>
      </c>
      <c r="AE117" s="406">
        <v>0.9399999999999995</v>
      </c>
      <c r="AF117" s="406">
        <v>0.9399999999999995</v>
      </c>
      <c r="AG117" s="406">
        <v>0.9399999999999995</v>
      </c>
      <c r="AH117" s="406">
        <v>0.9399999999999995</v>
      </c>
      <c r="AI117" s="406">
        <v>0.9399999999999995</v>
      </c>
      <c r="AJ117" s="406">
        <v>0.9399999999999995</v>
      </c>
      <c r="AK117" s="406">
        <v>0.9399999999999995</v>
      </c>
      <c r="AL117" s="255"/>
      <c r="AM117" s="254">
        <f t="shared" si="12"/>
        <v>0</v>
      </c>
      <c r="AN117" s="255"/>
      <c r="AO117" s="254">
        <f t="shared" si="13"/>
        <v>0</v>
      </c>
      <c r="AP117" s="255"/>
      <c r="AQ117" s="254">
        <f t="shared" si="14"/>
        <v>0</v>
      </c>
      <c r="AR117" s="255"/>
      <c r="AS117" s="257">
        <f t="shared" si="15"/>
        <v>0</v>
      </c>
      <c r="AT117" s="255"/>
      <c r="AU117" s="257">
        <f t="shared" si="16"/>
        <v>0</v>
      </c>
      <c r="AV117" s="388"/>
      <c r="AW117" s="257">
        <f t="shared" si="17"/>
        <v>0</v>
      </c>
      <c r="AX117" s="255"/>
      <c r="AY117" s="257">
        <f t="shared" si="18"/>
        <v>0</v>
      </c>
      <c r="AZ117" s="255"/>
      <c r="BA117" s="257">
        <f t="shared" si="19"/>
        <v>0</v>
      </c>
      <c r="BB117" s="255"/>
      <c r="BC117" s="257">
        <f t="shared" si="20"/>
        <v>0</v>
      </c>
      <c r="BD117" s="255"/>
      <c r="BE117" s="257">
        <f t="shared" si="21"/>
        <v>0</v>
      </c>
      <c r="BF117" s="255"/>
      <c r="BG117" s="257">
        <f t="shared" si="22"/>
        <v>0</v>
      </c>
      <c r="BH117" s="255"/>
      <c r="BI117" s="257">
        <f t="shared" si="23"/>
        <v>0</v>
      </c>
      <c r="BJ117" s="1" t="s">
        <v>573</v>
      </c>
      <c r="BL117" s="1" t="s">
        <v>457</v>
      </c>
      <c r="BM117" s="1" t="s">
        <v>574</v>
      </c>
    </row>
    <row r="118" spans="1:65" ht="15.75" customHeight="1">
      <c r="A118" s="250" t="s">
        <v>951</v>
      </c>
      <c r="B118" s="59" t="s">
        <v>341</v>
      </c>
      <c r="C118" s="354" t="s">
        <v>172</v>
      </c>
      <c r="D118" s="424"/>
      <c r="E118" s="357" t="s">
        <v>173</v>
      </c>
      <c r="F118" s="421"/>
      <c r="G118" s="317">
        <v>2024</v>
      </c>
      <c r="H118" s="59" t="s">
        <v>568</v>
      </c>
      <c r="I118" s="315" t="s">
        <v>357</v>
      </c>
      <c r="J118" s="317">
        <v>14</v>
      </c>
      <c r="K118" s="59" t="s">
        <v>515</v>
      </c>
      <c r="L118" s="298" t="s">
        <v>464</v>
      </c>
      <c r="M118" s="300" t="s">
        <v>465</v>
      </c>
      <c r="N118" s="300">
        <v>3.65</v>
      </c>
      <c r="O118" s="300">
        <v>3.65</v>
      </c>
      <c r="P118" s="300">
        <v>3.55</v>
      </c>
      <c r="Q118" s="300">
        <v>3.55</v>
      </c>
      <c r="R118" s="404">
        <v>4.28</v>
      </c>
      <c r="S118" s="404">
        <v>4.28</v>
      </c>
      <c r="T118" s="404">
        <v>4.28</v>
      </c>
      <c r="U118" s="404">
        <v>4.28</v>
      </c>
      <c r="V118" s="404">
        <v>4.28</v>
      </c>
      <c r="W118" s="404">
        <v>4.28</v>
      </c>
      <c r="X118" s="404">
        <v>4.28</v>
      </c>
      <c r="Y118" s="404">
        <v>4.28</v>
      </c>
      <c r="Z118" s="301">
        <v>0.28000000000000003</v>
      </c>
      <c r="AA118" s="301">
        <v>0.28000000000000003</v>
      </c>
      <c r="AB118" s="301">
        <v>0.25</v>
      </c>
      <c r="AC118" s="301">
        <v>0</v>
      </c>
      <c r="AD118" s="406">
        <v>0.48000000000000043</v>
      </c>
      <c r="AE118" s="406">
        <v>0.48000000000000043</v>
      </c>
      <c r="AF118" s="406">
        <v>0.48000000000000043</v>
      </c>
      <c r="AG118" s="406">
        <v>0.48000000000000043</v>
      </c>
      <c r="AH118" s="406">
        <v>0.48000000000000043</v>
      </c>
      <c r="AI118" s="406">
        <v>0.48000000000000043</v>
      </c>
      <c r="AJ118" s="406">
        <v>0.48000000000000043</v>
      </c>
      <c r="AK118" s="406">
        <v>0.48000000000000043</v>
      </c>
      <c r="AL118" s="255">
        <v>360</v>
      </c>
      <c r="AM118" s="254">
        <f t="shared" si="12"/>
        <v>100.80000000000001</v>
      </c>
      <c r="AN118" s="255">
        <v>360</v>
      </c>
      <c r="AO118" s="254">
        <f t="shared" si="13"/>
        <v>100.80000000000001</v>
      </c>
      <c r="AP118" s="255">
        <v>320</v>
      </c>
      <c r="AQ118" s="254">
        <f t="shared" si="14"/>
        <v>80</v>
      </c>
      <c r="AR118" s="255">
        <v>240</v>
      </c>
      <c r="AS118" s="257">
        <f t="shared" si="15"/>
        <v>0</v>
      </c>
      <c r="AT118" s="255">
        <v>280</v>
      </c>
      <c r="AU118" s="257">
        <f t="shared" si="16"/>
        <v>134.40000000000012</v>
      </c>
      <c r="AV118" s="255">
        <v>1000</v>
      </c>
      <c r="AW118" s="257">
        <f t="shared" si="17"/>
        <v>480.00000000000045</v>
      </c>
      <c r="AX118" s="255">
        <v>1000</v>
      </c>
      <c r="AY118" s="257">
        <f t="shared" si="18"/>
        <v>480.00000000000045</v>
      </c>
      <c r="AZ118" s="255">
        <v>1000</v>
      </c>
      <c r="BA118" s="257">
        <f t="shared" si="19"/>
        <v>480.00000000000045</v>
      </c>
      <c r="BB118" s="255">
        <v>1000</v>
      </c>
      <c r="BC118" s="257">
        <f t="shared" si="20"/>
        <v>480.00000000000045</v>
      </c>
      <c r="BD118" s="255">
        <v>1000</v>
      </c>
      <c r="BE118" s="257">
        <f t="shared" si="21"/>
        <v>480.00000000000045</v>
      </c>
      <c r="BF118" s="255">
        <v>1000</v>
      </c>
      <c r="BG118" s="257">
        <f t="shared" si="22"/>
        <v>480.00000000000045</v>
      </c>
      <c r="BH118" s="255">
        <v>1000</v>
      </c>
      <c r="BI118" s="257">
        <f t="shared" si="23"/>
        <v>480.00000000000045</v>
      </c>
      <c r="BJ118" s="1" t="s">
        <v>575</v>
      </c>
      <c r="BL118" s="1" t="s">
        <v>457</v>
      </c>
      <c r="BM118" s="1" t="s">
        <v>576</v>
      </c>
    </row>
    <row r="119" spans="1:65" ht="15.75" customHeight="1">
      <c r="A119" s="250" t="s">
        <v>951</v>
      </c>
      <c r="B119" s="59" t="s">
        <v>341</v>
      </c>
      <c r="C119" s="354" t="s">
        <v>172</v>
      </c>
      <c r="D119" s="424"/>
      <c r="E119" s="357" t="s">
        <v>173</v>
      </c>
      <c r="F119" s="421"/>
      <c r="G119" s="317">
        <v>2024</v>
      </c>
      <c r="H119" s="59" t="s">
        <v>568</v>
      </c>
      <c r="I119" s="315" t="s">
        <v>357</v>
      </c>
      <c r="J119" s="317">
        <v>14</v>
      </c>
      <c r="K119" s="59" t="s">
        <v>577</v>
      </c>
      <c r="L119" s="298" t="s">
        <v>464</v>
      </c>
      <c r="M119" s="300" t="s">
        <v>465</v>
      </c>
      <c r="N119" s="300">
        <v>3.65</v>
      </c>
      <c r="O119" s="300">
        <v>3.65</v>
      </c>
      <c r="P119" s="300">
        <v>3.55</v>
      </c>
      <c r="Q119" s="300">
        <v>3.55</v>
      </c>
      <c r="R119" s="404">
        <v>4.28</v>
      </c>
      <c r="S119" s="404">
        <v>4.28</v>
      </c>
      <c r="T119" s="404">
        <v>4.28</v>
      </c>
      <c r="U119" s="404">
        <v>4.28</v>
      </c>
      <c r="V119" s="404">
        <v>4.28</v>
      </c>
      <c r="W119" s="404">
        <v>4.28</v>
      </c>
      <c r="X119" s="404">
        <v>4.28</v>
      </c>
      <c r="Y119" s="404">
        <v>4.28</v>
      </c>
      <c r="Z119" s="301">
        <v>0.28000000000000003</v>
      </c>
      <c r="AA119" s="301">
        <v>0.28000000000000003</v>
      </c>
      <c r="AB119" s="301">
        <v>0.25</v>
      </c>
      <c r="AC119" s="301">
        <v>0</v>
      </c>
      <c r="AD119" s="406">
        <v>0.48000000000000043</v>
      </c>
      <c r="AE119" s="406">
        <v>0.48000000000000043</v>
      </c>
      <c r="AF119" s="406">
        <v>0.48000000000000043</v>
      </c>
      <c r="AG119" s="406">
        <v>0.48000000000000043</v>
      </c>
      <c r="AH119" s="406">
        <v>0.48000000000000043</v>
      </c>
      <c r="AI119" s="406">
        <v>0.48000000000000043</v>
      </c>
      <c r="AJ119" s="406">
        <v>0.48000000000000043</v>
      </c>
      <c r="AK119" s="406">
        <v>0.48000000000000043</v>
      </c>
      <c r="AL119" s="255">
        <v>40</v>
      </c>
      <c r="AM119" s="254">
        <f t="shared" si="12"/>
        <v>11.200000000000001</v>
      </c>
      <c r="AN119" s="255"/>
      <c r="AO119" s="254">
        <f t="shared" si="13"/>
        <v>0</v>
      </c>
      <c r="AP119" s="255"/>
      <c r="AQ119" s="254">
        <f t="shared" si="14"/>
        <v>0</v>
      </c>
      <c r="AR119" s="255"/>
      <c r="AS119" s="257">
        <f t="shared" si="15"/>
        <v>0</v>
      </c>
      <c r="AT119" s="255"/>
      <c r="AU119" s="257">
        <f t="shared" si="16"/>
        <v>0</v>
      </c>
      <c r="AV119" s="255">
        <v>200</v>
      </c>
      <c r="AW119" s="257">
        <f t="shared" si="17"/>
        <v>96.000000000000085</v>
      </c>
      <c r="AX119" s="255">
        <v>200</v>
      </c>
      <c r="AY119" s="257">
        <f t="shared" si="18"/>
        <v>96.000000000000085</v>
      </c>
      <c r="AZ119" s="255">
        <v>200</v>
      </c>
      <c r="BA119" s="257">
        <f t="shared" si="19"/>
        <v>96.000000000000085</v>
      </c>
      <c r="BB119" s="255">
        <v>200</v>
      </c>
      <c r="BC119" s="257">
        <f t="shared" si="20"/>
        <v>96.000000000000085</v>
      </c>
      <c r="BD119" s="255">
        <v>200</v>
      </c>
      <c r="BE119" s="257">
        <f t="shared" si="21"/>
        <v>96.000000000000085</v>
      </c>
      <c r="BF119" s="255">
        <v>200</v>
      </c>
      <c r="BG119" s="257">
        <f t="shared" si="22"/>
        <v>96.000000000000085</v>
      </c>
      <c r="BH119" s="255">
        <v>200</v>
      </c>
      <c r="BI119" s="257">
        <f t="shared" si="23"/>
        <v>96.000000000000085</v>
      </c>
      <c r="BJ119" s="1" t="s">
        <v>578</v>
      </c>
      <c r="BL119" s="1" t="s">
        <v>457</v>
      </c>
      <c r="BM119" s="1" t="s">
        <v>579</v>
      </c>
    </row>
    <row r="120" spans="1:65" ht="15.75" customHeight="1">
      <c r="A120" s="250" t="s">
        <v>951</v>
      </c>
      <c r="B120" s="59" t="s">
        <v>341</v>
      </c>
      <c r="C120" s="354" t="s">
        <v>172</v>
      </c>
      <c r="D120" s="424"/>
      <c r="E120" s="357" t="s">
        <v>173</v>
      </c>
      <c r="F120" s="421"/>
      <c r="G120" s="317">
        <v>2024</v>
      </c>
      <c r="H120" s="59" t="s">
        <v>568</v>
      </c>
      <c r="I120" s="315" t="s">
        <v>357</v>
      </c>
      <c r="J120" s="317">
        <v>14</v>
      </c>
      <c r="K120" s="59" t="s">
        <v>565</v>
      </c>
      <c r="L120" s="298" t="s">
        <v>464</v>
      </c>
      <c r="M120" s="300" t="s">
        <v>465</v>
      </c>
      <c r="N120" s="300">
        <v>3.65</v>
      </c>
      <c r="O120" s="300">
        <v>3.65</v>
      </c>
      <c r="P120" s="300">
        <v>3.55</v>
      </c>
      <c r="Q120" s="300">
        <v>3.55</v>
      </c>
      <c r="R120" s="404">
        <v>4.28</v>
      </c>
      <c r="S120" s="404">
        <v>4.28</v>
      </c>
      <c r="T120" s="404">
        <v>4.28</v>
      </c>
      <c r="U120" s="404">
        <v>4.28</v>
      </c>
      <c r="V120" s="404">
        <v>4.28</v>
      </c>
      <c r="W120" s="404">
        <v>4.28</v>
      </c>
      <c r="X120" s="404">
        <v>4.28</v>
      </c>
      <c r="Y120" s="404">
        <v>4.28</v>
      </c>
      <c r="Z120" s="301">
        <v>0.28000000000000003</v>
      </c>
      <c r="AA120" s="301">
        <v>0.28000000000000003</v>
      </c>
      <c r="AB120" s="301">
        <v>0.25</v>
      </c>
      <c r="AC120" s="301">
        <v>0</v>
      </c>
      <c r="AD120" s="406">
        <v>0.48000000000000043</v>
      </c>
      <c r="AE120" s="406">
        <v>0.48000000000000043</v>
      </c>
      <c r="AF120" s="406">
        <v>0.48000000000000043</v>
      </c>
      <c r="AG120" s="406">
        <v>0.48000000000000043</v>
      </c>
      <c r="AH120" s="406">
        <v>0.48000000000000043</v>
      </c>
      <c r="AI120" s="406">
        <v>0.48000000000000043</v>
      </c>
      <c r="AJ120" s="406">
        <v>0.48000000000000043</v>
      </c>
      <c r="AK120" s="406">
        <v>0.48000000000000043</v>
      </c>
      <c r="AL120" s="255"/>
      <c r="AM120" s="254">
        <f t="shared" si="12"/>
        <v>0</v>
      </c>
      <c r="AN120" s="255"/>
      <c r="AO120" s="254">
        <f t="shared" si="13"/>
        <v>0</v>
      </c>
      <c r="AP120" s="255">
        <v>40</v>
      </c>
      <c r="AQ120" s="254">
        <f t="shared" si="14"/>
        <v>10</v>
      </c>
      <c r="AR120" s="255"/>
      <c r="AS120" s="257">
        <f t="shared" si="15"/>
        <v>0</v>
      </c>
      <c r="AT120" s="255"/>
      <c r="AU120" s="257">
        <f t="shared" si="16"/>
        <v>0</v>
      </c>
      <c r="AV120" s="388"/>
      <c r="AW120" s="257">
        <f t="shared" si="17"/>
        <v>0</v>
      </c>
      <c r="AX120" s="255"/>
      <c r="AY120" s="257">
        <f t="shared" si="18"/>
        <v>0</v>
      </c>
      <c r="AZ120" s="255"/>
      <c r="BA120" s="257">
        <f t="shared" si="19"/>
        <v>0</v>
      </c>
      <c r="BB120" s="255"/>
      <c r="BC120" s="257">
        <f t="shared" si="20"/>
        <v>0</v>
      </c>
      <c r="BD120" s="255"/>
      <c r="BE120" s="257">
        <f t="shared" si="21"/>
        <v>0</v>
      </c>
      <c r="BF120" s="255"/>
      <c r="BG120" s="257">
        <f t="shared" si="22"/>
        <v>0</v>
      </c>
      <c r="BH120" s="255"/>
      <c r="BI120" s="257">
        <f t="shared" si="23"/>
        <v>0</v>
      </c>
      <c r="BJ120" s="1" t="s">
        <v>580</v>
      </c>
      <c r="BL120" s="1" t="s">
        <v>457</v>
      </c>
      <c r="BM120" s="1" t="s">
        <v>581</v>
      </c>
    </row>
    <row r="121" spans="1:65" ht="15.75" customHeight="1">
      <c r="A121" s="250" t="s">
        <v>951</v>
      </c>
      <c r="B121" s="59" t="s">
        <v>341</v>
      </c>
      <c r="C121" s="354" t="s">
        <v>172</v>
      </c>
      <c r="D121" s="424"/>
      <c r="E121" s="357" t="s">
        <v>173</v>
      </c>
      <c r="F121" s="421"/>
      <c r="G121" s="317">
        <v>2024</v>
      </c>
      <c r="H121" s="59" t="s">
        <v>568</v>
      </c>
      <c r="I121" s="315" t="s">
        <v>359</v>
      </c>
      <c r="J121" s="317">
        <v>14</v>
      </c>
      <c r="K121" s="59" t="s">
        <v>577</v>
      </c>
      <c r="L121" s="298" t="s">
        <v>464</v>
      </c>
      <c r="M121" s="300" t="s">
        <v>465</v>
      </c>
      <c r="N121" s="300">
        <v>11</v>
      </c>
      <c r="O121" s="300">
        <v>11</v>
      </c>
      <c r="P121" s="300">
        <v>11</v>
      </c>
      <c r="Q121" s="300">
        <v>11</v>
      </c>
      <c r="R121" s="300">
        <v>11</v>
      </c>
      <c r="S121" s="300">
        <v>11</v>
      </c>
      <c r="T121" s="300">
        <v>11</v>
      </c>
      <c r="U121" s="300">
        <v>11</v>
      </c>
      <c r="V121" s="300">
        <v>11</v>
      </c>
      <c r="W121" s="300">
        <v>11</v>
      </c>
      <c r="X121" s="300">
        <v>11</v>
      </c>
      <c r="Y121" s="300">
        <v>11</v>
      </c>
      <c r="Z121" s="59">
        <v>2.33</v>
      </c>
      <c r="AA121" s="59">
        <v>2.33</v>
      </c>
      <c r="AB121" s="59">
        <v>2.4</v>
      </c>
      <c r="AC121" s="301">
        <v>0</v>
      </c>
      <c r="AD121" s="59">
        <v>2.4</v>
      </c>
      <c r="AE121" s="59">
        <v>2.4</v>
      </c>
      <c r="AF121" s="59">
        <v>2.4</v>
      </c>
      <c r="AG121" s="59">
        <v>2.4</v>
      </c>
      <c r="AH121" s="59">
        <v>2.4</v>
      </c>
      <c r="AI121" s="59">
        <v>2.4</v>
      </c>
      <c r="AJ121" s="59">
        <v>2.4</v>
      </c>
      <c r="AK121" s="59">
        <v>2.4</v>
      </c>
      <c r="AL121" s="255"/>
      <c r="AM121" s="254">
        <f t="shared" si="12"/>
        <v>0</v>
      </c>
      <c r="AN121" s="255"/>
      <c r="AO121" s="254">
        <f t="shared" si="13"/>
        <v>0</v>
      </c>
      <c r="AP121" s="255"/>
      <c r="AQ121" s="254">
        <f t="shared" si="14"/>
        <v>0</v>
      </c>
      <c r="AR121" s="255"/>
      <c r="AS121" s="257">
        <f t="shared" si="15"/>
        <v>0</v>
      </c>
      <c r="AT121" s="255"/>
      <c r="AU121" s="257">
        <f t="shared" si="16"/>
        <v>0</v>
      </c>
      <c r="AV121" s="388"/>
      <c r="AW121" s="257">
        <f t="shared" si="17"/>
        <v>0</v>
      </c>
      <c r="AX121" s="255"/>
      <c r="AY121" s="257">
        <f t="shared" si="18"/>
        <v>0</v>
      </c>
      <c r="AZ121" s="255"/>
      <c r="BA121" s="257">
        <f t="shared" si="19"/>
        <v>0</v>
      </c>
      <c r="BB121" s="255"/>
      <c r="BC121" s="257">
        <f t="shared" si="20"/>
        <v>0</v>
      </c>
      <c r="BD121" s="255"/>
      <c r="BE121" s="257">
        <f t="shared" si="21"/>
        <v>0</v>
      </c>
      <c r="BF121" s="255"/>
      <c r="BG121" s="257">
        <f t="shared" si="22"/>
        <v>0</v>
      </c>
      <c r="BH121" s="255"/>
      <c r="BI121" s="257">
        <f t="shared" si="23"/>
        <v>0</v>
      </c>
      <c r="BJ121" s="1" t="s">
        <v>582</v>
      </c>
      <c r="BL121" s="1" t="s">
        <v>457</v>
      </c>
      <c r="BM121" s="1" t="s">
        <v>583</v>
      </c>
    </row>
    <row r="122" spans="1:65" ht="15.75" customHeight="1">
      <c r="A122" s="250" t="s">
        <v>951</v>
      </c>
      <c r="B122" s="59" t="s">
        <v>341</v>
      </c>
      <c r="C122" s="354" t="s">
        <v>172</v>
      </c>
      <c r="D122" s="424"/>
      <c r="E122" s="357" t="s">
        <v>173</v>
      </c>
      <c r="F122" s="421"/>
      <c r="G122" s="317">
        <v>2024</v>
      </c>
      <c r="H122" s="59" t="s">
        <v>568</v>
      </c>
      <c r="I122" s="315" t="s">
        <v>359</v>
      </c>
      <c r="J122" s="317">
        <v>14</v>
      </c>
      <c r="K122" s="59" t="s">
        <v>565</v>
      </c>
      <c r="L122" s="298" t="s">
        <v>464</v>
      </c>
      <c r="M122" s="300" t="s">
        <v>465</v>
      </c>
      <c r="N122" s="300">
        <v>11</v>
      </c>
      <c r="O122" s="300">
        <v>11</v>
      </c>
      <c r="P122" s="300">
        <v>11</v>
      </c>
      <c r="Q122" s="300">
        <v>11</v>
      </c>
      <c r="R122" s="300">
        <v>11</v>
      </c>
      <c r="S122" s="300">
        <v>11</v>
      </c>
      <c r="T122" s="300">
        <v>11</v>
      </c>
      <c r="U122" s="300">
        <v>11</v>
      </c>
      <c r="V122" s="300">
        <v>11</v>
      </c>
      <c r="W122" s="300">
        <v>11</v>
      </c>
      <c r="X122" s="300">
        <v>11</v>
      </c>
      <c r="Y122" s="300">
        <v>11</v>
      </c>
      <c r="Z122" s="59">
        <v>2.33</v>
      </c>
      <c r="AA122" s="59">
        <v>2.33</v>
      </c>
      <c r="AB122" s="59">
        <v>2.4</v>
      </c>
      <c r="AC122" s="301">
        <v>0</v>
      </c>
      <c r="AD122" s="59">
        <v>2.4</v>
      </c>
      <c r="AE122" s="59">
        <v>2.4</v>
      </c>
      <c r="AF122" s="59">
        <v>2.4</v>
      </c>
      <c r="AG122" s="59">
        <v>2.4</v>
      </c>
      <c r="AH122" s="59">
        <v>2.4</v>
      </c>
      <c r="AI122" s="59">
        <v>2.4</v>
      </c>
      <c r="AJ122" s="59">
        <v>2.4</v>
      </c>
      <c r="AK122" s="59">
        <v>2.4</v>
      </c>
      <c r="AL122" s="255"/>
      <c r="AM122" s="254">
        <f t="shared" si="12"/>
        <v>0</v>
      </c>
      <c r="AN122" s="255"/>
      <c r="AO122" s="254">
        <f t="shared" si="13"/>
        <v>0</v>
      </c>
      <c r="AP122" s="255"/>
      <c r="AQ122" s="254">
        <f t="shared" si="14"/>
        <v>0</v>
      </c>
      <c r="AR122" s="255"/>
      <c r="AS122" s="257">
        <f t="shared" si="15"/>
        <v>0</v>
      </c>
      <c r="AT122" s="255"/>
      <c r="AU122" s="257">
        <f t="shared" si="16"/>
        <v>0</v>
      </c>
      <c r="AV122" s="388"/>
      <c r="AW122" s="257">
        <f t="shared" si="17"/>
        <v>0</v>
      </c>
      <c r="AX122" s="255"/>
      <c r="AY122" s="257">
        <f t="shared" si="18"/>
        <v>0</v>
      </c>
      <c r="AZ122" s="255"/>
      <c r="BA122" s="257">
        <f t="shared" si="19"/>
        <v>0</v>
      </c>
      <c r="BB122" s="255"/>
      <c r="BC122" s="257">
        <f t="shared" si="20"/>
        <v>0</v>
      </c>
      <c r="BD122" s="255"/>
      <c r="BE122" s="257">
        <f t="shared" si="21"/>
        <v>0</v>
      </c>
      <c r="BF122" s="255"/>
      <c r="BG122" s="257">
        <f t="shared" si="22"/>
        <v>0</v>
      </c>
      <c r="BH122" s="255"/>
      <c r="BI122" s="257">
        <f t="shared" si="23"/>
        <v>0</v>
      </c>
      <c r="BJ122" s="1" t="s">
        <v>584</v>
      </c>
      <c r="BL122" s="1" t="s">
        <v>457</v>
      </c>
      <c r="BM122" s="1" t="s">
        <v>585</v>
      </c>
    </row>
    <row r="123" spans="1:65" ht="15.75" customHeight="1">
      <c r="A123" s="250" t="s">
        <v>951</v>
      </c>
      <c r="B123" s="59" t="s">
        <v>341</v>
      </c>
      <c r="C123" s="354" t="s">
        <v>172</v>
      </c>
      <c r="D123" s="424"/>
      <c r="E123" s="357" t="s">
        <v>173</v>
      </c>
      <c r="F123" s="421"/>
      <c r="G123" s="317">
        <v>2024</v>
      </c>
      <c r="H123" s="59" t="s">
        <v>568</v>
      </c>
      <c r="I123" s="315" t="s">
        <v>359</v>
      </c>
      <c r="J123" s="317">
        <v>14</v>
      </c>
      <c r="K123" s="59" t="s">
        <v>586</v>
      </c>
      <c r="L123" s="298" t="s">
        <v>464</v>
      </c>
      <c r="M123" s="300" t="s">
        <v>465</v>
      </c>
      <c r="N123" s="300">
        <v>11</v>
      </c>
      <c r="O123" s="300">
        <v>11</v>
      </c>
      <c r="P123" s="300">
        <v>11</v>
      </c>
      <c r="Q123" s="300">
        <v>11</v>
      </c>
      <c r="R123" s="300">
        <v>11</v>
      </c>
      <c r="S123" s="300">
        <v>11</v>
      </c>
      <c r="T123" s="300">
        <v>11</v>
      </c>
      <c r="U123" s="300">
        <v>11</v>
      </c>
      <c r="V123" s="300">
        <v>11</v>
      </c>
      <c r="W123" s="300">
        <v>11</v>
      </c>
      <c r="X123" s="300">
        <v>11</v>
      </c>
      <c r="Y123" s="300">
        <v>11</v>
      </c>
      <c r="Z123" s="59">
        <v>2.33</v>
      </c>
      <c r="AA123" s="59">
        <v>2.33</v>
      </c>
      <c r="AB123" s="59">
        <v>2.4</v>
      </c>
      <c r="AC123" s="301">
        <v>0</v>
      </c>
      <c r="AD123" s="59">
        <v>2.4</v>
      </c>
      <c r="AE123" s="59">
        <v>2.4</v>
      </c>
      <c r="AF123" s="59">
        <v>2.4</v>
      </c>
      <c r="AG123" s="59">
        <v>2.4</v>
      </c>
      <c r="AH123" s="59">
        <v>2.4</v>
      </c>
      <c r="AI123" s="59">
        <v>2.4</v>
      </c>
      <c r="AJ123" s="59">
        <v>2.4</v>
      </c>
      <c r="AK123" s="59">
        <v>2.4</v>
      </c>
      <c r="AL123" s="255"/>
      <c r="AM123" s="254">
        <f t="shared" si="12"/>
        <v>0</v>
      </c>
      <c r="AN123" s="255"/>
      <c r="AO123" s="254">
        <f t="shared" si="13"/>
        <v>0</v>
      </c>
      <c r="AP123" s="255"/>
      <c r="AQ123" s="254">
        <f t="shared" si="14"/>
        <v>0</v>
      </c>
      <c r="AR123" s="255"/>
      <c r="AS123" s="257">
        <f t="shared" si="15"/>
        <v>0</v>
      </c>
      <c r="AT123" s="255"/>
      <c r="AU123" s="257">
        <f t="shared" si="16"/>
        <v>0</v>
      </c>
      <c r="AV123" s="388"/>
      <c r="AW123" s="257">
        <f t="shared" si="17"/>
        <v>0</v>
      </c>
      <c r="AX123" s="255"/>
      <c r="AY123" s="257">
        <f t="shared" si="18"/>
        <v>0</v>
      </c>
      <c r="AZ123" s="255"/>
      <c r="BA123" s="257">
        <f t="shared" si="19"/>
        <v>0</v>
      </c>
      <c r="BB123" s="255"/>
      <c r="BC123" s="257">
        <f t="shared" si="20"/>
        <v>0</v>
      </c>
      <c r="BD123" s="255"/>
      <c r="BE123" s="257">
        <f t="shared" si="21"/>
        <v>0</v>
      </c>
      <c r="BF123" s="255"/>
      <c r="BG123" s="257">
        <f t="shared" si="22"/>
        <v>0</v>
      </c>
      <c r="BH123" s="255"/>
      <c r="BI123" s="257">
        <f t="shared" si="23"/>
        <v>0</v>
      </c>
      <c r="BJ123" s="1" t="s">
        <v>587</v>
      </c>
      <c r="BL123" s="1" t="s">
        <v>457</v>
      </c>
      <c r="BM123" s="1" t="s">
        <v>588</v>
      </c>
    </row>
    <row r="124" spans="1:65" ht="15.75" customHeight="1">
      <c r="A124" s="250" t="s">
        <v>951</v>
      </c>
      <c r="B124" s="59" t="s">
        <v>341</v>
      </c>
      <c r="C124" s="354" t="s">
        <v>172</v>
      </c>
      <c r="D124" s="424"/>
      <c r="E124" s="357" t="s">
        <v>173</v>
      </c>
      <c r="F124" s="421"/>
      <c r="G124" s="317">
        <v>2026</v>
      </c>
      <c r="H124" s="59" t="s">
        <v>988</v>
      </c>
      <c r="I124" s="315" t="s">
        <v>359</v>
      </c>
      <c r="J124" s="317">
        <v>14</v>
      </c>
      <c r="K124" s="59" t="s">
        <v>989</v>
      </c>
      <c r="L124" s="298" t="s">
        <v>177</v>
      </c>
      <c r="M124" s="300" t="s">
        <v>990</v>
      </c>
      <c r="N124" s="300">
        <v>8.4</v>
      </c>
      <c r="O124" s="300">
        <v>8.4</v>
      </c>
      <c r="P124" s="300">
        <v>8.4</v>
      </c>
      <c r="Q124" s="300">
        <v>8.4</v>
      </c>
      <c r="R124" s="404">
        <v>8.8000000000000007</v>
      </c>
      <c r="S124" s="404">
        <v>8.8000000000000007</v>
      </c>
      <c r="T124" s="404">
        <v>8.8000000000000007</v>
      </c>
      <c r="U124" s="404">
        <v>8.8000000000000007</v>
      </c>
      <c r="V124" s="404">
        <v>8.8000000000000007</v>
      </c>
      <c r="W124" s="404">
        <v>8.8000000000000007</v>
      </c>
      <c r="X124" s="404">
        <v>8.8000000000000007</v>
      </c>
      <c r="Y124" s="404">
        <v>8.8000000000000007</v>
      </c>
      <c r="Z124" s="59">
        <v>1.2000000000000002</v>
      </c>
      <c r="AA124" s="59">
        <v>1.2000000000000002</v>
      </c>
      <c r="AB124" s="59">
        <v>1.2000000000000002</v>
      </c>
      <c r="AC124" s="59">
        <v>1.2000000000000002</v>
      </c>
      <c r="AD124" s="402">
        <v>1.1000000000000005</v>
      </c>
      <c r="AE124" s="402">
        <v>1.1000000000000005</v>
      </c>
      <c r="AF124" s="402">
        <v>1.1000000000000005</v>
      </c>
      <c r="AG124" s="402">
        <v>1.1000000000000005</v>
      </c>
      <c r="AH124" s="402">
        <v>1.1000000000000005</v>
      </c>
      <c r="AI124" s="402">
        <v>1.1000000000000005</v>
      </c>
      <c r="AJ124" s="402">
        <v>1.1000000000000005</v>
      </c>
      <c r="AK124" s="402">
        <v>1.1000000000000005</v>
      </c>
      <c r="AL124" s="255"/>
      <c r="AM124" s="254">
        <f t="shared" si="12"/>
        <v>0</v>
      </c>
      <c r="AN124" s="255"/>
      <c r="AO124" s="254">
        <f t="shared" si="13"/>
        <v>0</v>
      </c>
      <c r="AP124" s="255"/>
      <c r="AQ124" s="254">
        <f t="shared" si="14"/>
        <v>0</v>
      </c>
      <c r="AR124" s="255"/>
      <c r="AS124" s="257">
        <f t="shared" si="15"/>
        <v>0</v>
      </c>
      <c r="AT124" s="255"/>
      <c r="AU124" s="257">
        <f t="shared" si="16"/>
        <v>0</v>
      </c>
      <c r="AV124" s="388"/>
      <c r="AW124" s="257">
        <f t="shared" si="17"/>
        <v>0</v>
      </c>
      <c r="AX124" s="255"/>
      <c r="AY124" s="257">
        <f t="shared" si="18"/>
        <v>0</v>
      </c>
      <c r="AZ124" s="255"/>
      <c r="BA124" s="257">
        <f t="shared" si="19"/>
        <v>0</v>
      </c>
      <c r="BB124" s="255"/>
      <c r="BC124" s="257">
        <f t="shared" si="20"/>
        <v>0</v>
      </c>
      <c r="BD124" s="255"/>
      <c r="BE124" s="257">
        <f t="shared" si="21"/>
        <v>0</v>
      </c>
      <c r="BF124" s="255"/>
      <c r="BG124" s="257">
        <f t="shared" si="22"/>
        <v>0</v>
      </c>
      <c r="BH124" s="255"/>
      <c r="BI124" s="257">
        <f t="shared" si="23"/>
        <v>0</v>
      </c>
      <c r="BJ124" s="1" t="s">
        <v>991</v>
      </c>
      <c r="BL124" s="1" t="s">
        <v>457</v>
      </c>
      <c r="BM124" s="1" t="s">
        <v>992</v>
      </c>
    </row>
    <row r="125" spans="1:65" ht="15.75" customHeight="1">
      <c r="A125" s="250" t="s">
        <v>951</v>
      </c>
      <c r="B125" s="59" t="s">
        <v>341</v>
      </c>
      <c r="C125" s="354" t="s">
        <v>172</v>
      </c>
      <c r="D125" s="424"/>
      <c r="E125" s="357" t="s">
        <v>173</v>
      </c>
      <c r="F125" s="421"/>
      <c r="G125" s="317">
        <v>2026</v>
      </c>
      <c r="H125" s="59" t="s">
        <v>988</v>
      </c>
      <c r="I125" s="315" t="s">
        <v>359</v>
      </c>
      <c r="J125" s="317">
        <v>14</v>
      </c>
      <c r="K125" s="59" t="s">
        <v>993</v>
      </c>
      <c r="L125" s="298" t="s">
        <v>177</v>
      </c>
      <c r="M125" s="300" t="s">
        <v>990</v>
      </c>
      <c r="N125" s="300">
        <v>8.4</v>
      </c>
      <c r="O125" s="300">
        <v>8.4</v>
      </c>
      <c r="P125" s="300">
        <v>8.4</v>
      </c>
      <c r="Q125" s="300">
        <v>8.4</v>
      </c>
      <c r="R125" s="404">
        <v>8.8000000000000007</v>
      </c>
      <c r="S125" s="404">
        <v>8.8000000000000007</v>
      </c>
      <c r="T125" s="404">
        <v>8.8000000000000007</v>
      </c>
      <c r="U125" s="404">
        <v>8.8000000000000007</v>
      </c>
      <c r="V125" s="404">
        <v>8.8000000000000007</v>
      </c>
      <c r="W125" s="404">
        <v>8.8000000000000007</v>
      </c>
      <c r="X125" s="404">
        <v>8.8000000000000007</v>
      </c>
      <c r="Y125" s="404">
        <v>8.8000000000000007</v>
      </c>
      <c r="Z125" s="59">
        <v>1.2000000000000002</v>
      </c>
      <c r="AA125" s="59">
        <v>1.2000000000000002</v>
      </c>
      <c r="AB125" s="59">
        <v>1.2000000000000002</v>
      </c>
      <c r="AC125" s="59">
        <v>1.2000000000000002</v>
      </c>
      <c r="AD125" s="402">
        <v>1.1000000000000005</v>
      </c>
      <c r="AE125" s="402">
        <v>1.1000000000000005</v>
      </c>
      <c r="AF125" s="402">
        <v>1.1000000000000005</v>
      </c>
      <c r="AG125" s="402">
        <v>1.1000000000000005</v>
      </c>
      <c r="AH125" s="402">
        <v>1.1000000000000005</v>
      </c>
      <c r="AI125" s="402">
        <v>1.1000000000000005</v>
      </c>
      <c r="AJ125" s="402">
        <v>1.1000000000000005</v>
      </c>
      <c r="AK125" s="402">
        <v>1.1000000000000005</v>
      </c>
      <c r="AL125" s="255"/>
      <c r="AM125" s="254">
        <f t="shared" si="12"/>
        <v>0</v>
      </c>
      <c r="AN125" s="255"/>
      <c r="AO125" s="254">
        <f t="shared" si="13"/>
        <v>0</v>
      </c>
      <c r="AP125" s="255"/>
      <c r="AQ125" s="254">
        <f t="shared" si="14"/>
        <v>0</v>
      </c>
      <c r="AR125" s="255"/>
      <c r="AS125" s="257">
        <f t="shared" si="15"/>
        <v>0</v>
      </c>
      <c r="AT125" s="255">
        <v>120</v>
      </c>
      <c r="AU125" s="257">
        <f t="shared" si="16"/>
        <v>132.00000000000006</v>
      </c>
      <c r="AV125" s="388"/>
      <c r="AW125" s="257">
        <f t="shared" si="17"/>
        <v>0</v>
      </c>
      <c r="AX125" s="255"/>
      <c r="AY125" s="257">
        <f t="shared" si="18"/>
        <v>0</v>
      </c>
      <c r="AZ125" s="255"/>
      <c r="BA125" s="257">
        <f t="shared" si="19"/>
        <v>0</v>
      </c>
      <c r="BB125" s="255"/>
      <c r="BC125" s="257">
        <f t="shared" si="20"/>
        <v>0</v>
      </c>
      <c r="BD125" s="255"/>
      <c r="BE125" s="257">
        <f t="shared" si="21"/>
        <v>0</v>
      </c>
      <c r="BF125" s="255"/>
      <c r="BG125" s="257">
        <f t="shared" si="22"/>
        <v>0</v>
      </c>
      <c r="BH125" s="255"/>
      <c r="BI125" s="257">
        <f t="shared" si="23"/>
        <v>0</v>
      </c>
      <c r="BJ125" s="1" t="s">
        <v>994</v>
      </c>
      <c r="BL125" s="1" t="s">
        <v>457</v>
      </c>
      <c r="BM125" s="1" t="s">
        <v>995</v>
      </c>
    </row>
    <row r="126" spans="1:65" ht="15.75" customHeight="1">
      <c r="A126" s="250" t="s">
        <v>951</v>
      </c>
      <c r="B126" s="59" t="s">
        <v>341</v>
      </c>
      <c r="C126" s="354" t="s">
        <v>172</v>
      </c>
      <c r="D126" s="424"/>
      <c r="E126" s="357" t="s">
        <v>173</v>
      </c>
      <c r="F126" s="421"/>
      <c r="G126" s="317">
        <v>2026</v>
      </c>
      <c r="H126" s="59" t="s">
        <v>988</v>
      </c>
      <c r="I126" s="315" t="s">
        <v>359</v>
      </c>
      <c r="J126" s="317">
        <v>14</v>
      </c>
      <c r="K126" s="59" t="s">
        <v>996</v>
      </c>
      <c r="L126" s="298" t="s">
        <v>177</v>
      </c>
      <c r="M126" s="300" t="s">
        <v>990</v>
      </c>
      <c r="N126" s="300">
        <v>8.4</v>
      </c>
      <c r="O126" s="300">
        <v>8.4</v>
      </c>
      <c r="P126" s="300">
        <v>8.4</v>
      </c>
      <c r="Q126" s="300">
        <v>8.4</v>
      </c>
      <c r="R126" s="404">
        <v>8.8000000000000007</v>
      </c>
      <c r="S126" s="404">
        <v>8.8000000000000007</v>
      </c>
      <c r="T126" s="404">
        <v>8.8000000000000007</v>
      </c>
      <c r="U126" s="404">
        <v>8.8000000000000007</v>
      </c>
      <c r="V126" s="404">
        <v>8.8000000000000007</v>
      </c>
      <c r="W126" s="404">
        <v>8.8000000000000007</v>
      </c>
      <c r="X126" s="404">
        <v>8.8000000000000007</v>
      </c>
      <c r="Y126" s="404">
        <v>8.8000000000000007</v>
      </c>
      <c r="Z126" s="59">
        <v>1.2000000000000002</v>
      </c>
      <c r="AA126" s="59">
        <v>1.2000000000000002</v>
      </c>
      <c r="AB126" s="59">
        <v>1.2000000000000002</v>
      </c>
      <c r="AC126" s="59">
        <v>1.2000000000000002</v>
      </c>
      <c r="AD126" s="402">
        <v>1.1000000000000005</v>
      </c>
      <c r="AE126" s="402">
        <v>1.1000000000000005</v>
      </c>
      <c r="AF126" s="402">
        <v>1.1000000000000005</v>
      </c>
      <c r="AG126" s="402">
        <v>1.1000000000000005</v>
      </c>
      <c r="AH126" s="402">
        <v>1.1000000000000005</v>
      </c>
      <c r="AI126" s="402">
        <v>1.1000000000000005</v>
      </c>
      <c r="AJ126" s="402">
        <v>1.1000000000000005</v>
      </c>
      <c r="AK126" s="402">
        <v>1.1000000000000005</v>
      </c>
      <c r="AL126" s="255"/>
      <c r="AM126" s="254">
        <f t="shared" si="12"/>
        <v>0</v>
      </c>
      <c r="AN126" s="255"/>
      <c r="AO126" s="254">
        <f t="shared" si="13"/>
        <v>0</v>
      </c>
      <c r="AP126" s="255"/>
      <c r="AQ126" s="254">
        <f t="shared" si="14"/>
        <v>0</v>
      </c>
      <c r="AR126" s="255"/>
      <c r="AS126" s="257">
        <f t="shared" si="15"/>
        <v>0</v>
      </c>
      <c r="AT126" s="255">
        <v>400</v>
      </c>
      <c r="AU126" s="257">
        <f t="shared" si="16"/>
        <v>440.00000000000023</v>
      </c>
      <c r="AV126" s="388"/>
      <c r="AW126" s="257">
        <f t="shared" si="17"/>
        <v>0</v>
      </c>
      <c r="AX126" s="255"/>
      <c r="AY126" s="257">
        <f t="shared" si="18"/>
        <v>0</v>
      </c>
      <c r="AZ126" s="255"/>
      <c r="BA126" s="257">
        <f t="shared" si="19"/>
        <v>0</v>
      </c>
      <c r="BB126" s="255"/>
      <c r="BC126" s="257">
        <f t="shared" si="20"/>
        <v>0</v>
      </c>
      <c r="BD126" s="255"/>
      <c r="BE126" s="257">
        <f t="shared" si="21"/>
        <v>0</v>
      </c>
      <c r="BF126" s="255"/>
      <c r="BG126" s="257">
        <f t="shared" si="22"/>
        <v>0</v>
      </c>
      <c r="BH126" s="255"/>
      <c r="BI126" s="257">
        <f t="shared" si="23"/>
        <v>0</v>
      </c>
      <c r="BJ126" s="1" t="s">
        <v>997</v>
      </c>
      <c r="BL126" s="1" t="s">
        <v>457</v>
      </c>
      <c r="BM126" s="1" t="s">
        <v>998</v>
      </c>
    </row>
    <row r="127" spans="1:65" ht="15.75" customHeight="1">
      <c r="A127" s="250" t="s">
        <v>951</v>
      </c>
      <c r="B127" s="59" t="s">
        <v>341</v>
      </c>
      <c r="C127" s="354" t="s">
        <v>172</v>
      </c>
      <c r="D127" s="424"/>
      <c r="E127" s="357" t="s">
        <v>173</v>
      </c>
      <c r="F127" s="421"/>
      <c r="G127" s="317">
        <v>2026</v>
      </c>
      <c r="H127" s="59" t="s">
        <v>988</v>
      </c>
      <c r="I127" s="315" t="s">
        <v>357</v>
      </c>
      <c r="J127" s="317">
        <v>14</v>
      </c>
      <c r="K127" s="59" t="s">
        <v>989</v>
      </c>
      <c r="L127" s="298" t="s">
        <v>177</v>
      </c>
      <c r="M127" s="300" t="s">
        <v>990</v>
      </c>
      <c r="N127" s="300">
        <v>3.45</v>
      </c>
      <c r="O127" s="300">
        <v>3.45</v>
      </c>
      <c r="P127" s="300">
        <v>3.45</v>
      </c>
      <c r="Q127" s="300">
        <v>3.45</v>
      </c>
      <c r="R127" s="404">
        <v>4.05</v>
      </c>
      <c r="S127" s="404">
        <v>4.05</v>
      </c>
      <c r="T127" s="404">
        <v>4.05</v>
      </c>
      <c r="U127" s="404">
        <v>4.05</v>
      </c>
      <c r="V127" s="404">
        <v>4.05</v>
      </c>
      <c r="W127" s="404">
        <v>4.05</v>
      </c>
      <c r="X127" s="404">
        <v>4.05</v>
      </c>
      <c r="Y127" s="404">
        <v>4.05</v>
      </c>
      <c r="Z127" s="59">
        <v>0.35000000000000009</v>
      </c>
      <c r="AA127" s="59">
        <v>0.35000000000000009</v>
      </c>
      <c r="AB127" s="59">
        <v>0.35000000000000009</v>
      </c>
      <c r="AC127" s="59">
        <v>0.35000000000000009</v>
      </c>
      <c r="AD127" s="402">
        <v>0.44999999999999973</v>
      </c>
      <c r="AE127" s="402">
        <v>0.44999999999999973</v>
      </c>
      <c r="AF127" s="402">
        <v>0.44999999999999973</v>
      </c>
      <c r="AG127" s="402">
        <v>0.44999999999999973</v>
      </c>
      <c r="AH127" s="402">
        <v>0.44999999999999973</v>
      </c>
      <c r="AI127" s="402">
        <v>0.44999999999999973</v>
      </c>
      <c r="AJ127" s="402">
        <v>0.44999999999999973</v>
      </c>
      <c r="AK127" s="402">
        <v>0.44999999999999973</v>
      </c>
      <c r="AL127" s="255"/>
      <c r="AM127" s="254">
        <f t="shared" si="12"/>
        <v>0</v>
      </c>
      <c r="AN127" s="255"/>
      <c r="AO127" s="254">
        <f t="shared" si="13"/>
        <v>0</v>
      </c>
      <c r="AP127" s="255"/>
      <c r="AQ127" s="254">
        <f t="shared" si="14"/>
        <v>0</v>
      </c>
      <c r="AR127" s="255"/>
      <c r="AS127" s="257">
        <f t="shared" si="15"/>
        <v>0</v>
      </c>
      <c r="AT127" s="255">
        <v>480</v>
      </c>
      <c r="AU127" s="257">
        <f t="shared" si="16"/>
        <v>215.99999999999989</v>
      </c>
      <c r="AV127" s="388"/>
      <c r="AW127" s="257">
        <f t="shared" si="17"/>
        <v>0</v>
      </c>
      <c r="AX127" s="255"/>
      <c r="AY127" s="257">
        <f t="shared" si="18"/>
        <v>0</v>
      </c>
      <c r="AZ127" s="255"/>
      <c r="BA127" s="257">
        <f t="shared" si="19"/>
        <v>0</v>
      </c>
      <c r="BB127" s="255"/>
      <c r="BC127" s="257">
        <f t="shared" si="20"/>
        <v>0</v>
      </c>
      <c r="BD127" s="255"/>
      <c r="BE127" s="257">
        <f t="shared" si="21"/>
        <v>0</v>
      </c>
      <c r="BF127" s="255"/>
      <c r="BG127" s="257">
        <f t="shared" si="22"/>
        <v>0</v>
      </c>
      <c r="BH127" s="255"/>
      <c r="BI127" s="257">
        <f t="shared" si="23"/>
        <v>0</v>
      </c>
      <c r="BJ127" s="1" t="s">
        <v>999</v>
      </c>
      <c r="BL127" s="1" t="s">
        <v>457</v>
      </c>
      <c r="BM127" s="1" t="s">
        <v>1000</v>
      </c>
    </row>
    <row r="128" spans="1:65" ht="15.75" customHeight="1">
      <c r="A128" s="250" t="s">
        <v>951</v>
      </c>
      <c r="B128" s="59" t="s">
        <v>341</v>
      </c>
      <c r="C128" s="354" t="s">
        <v>172</v>
      </c>
      <c r="D128" s="424"/>
      <c r="E128" s="357" t="s">
        <v>173</v>
      </c>
      <c r="F128" s="421"/>
      <c r="G128" s="317">
        <v>2026</v>
      </c>
      <c r="H128" s="59" t="s">
        <v>988</v>
      </c>
      <c r="I128" s="315" t="s">
        <v>357</v>
      </c>
      <c r="J128" s="317">
        <v>14</v>
      </c>
      <c r="K128" s="59" t="s">
        <v>993</v>
      </c>
      <c r="L128" s="298" t="s">
        <v>177</v>
      </c>
      <c r="M128" s="300" t="s">
        <v>990</v>
      </c>
      <c r="N128" s="300">
        <v>3.45</v>
      </c>
      <c r="O128" s="300">
        <v>3.45</v>
      </c>
      <c r="P128" s="300">
        <v>3.45</v>
      </c>
      <c r="Q128" s="300">
        <v>3.45</v>
      </c>
      <c r="R128" s="404">
        <v>4.05</v>
      </c>
      <c r="S128" s="404">
        <v>4.05</v>
      </c>
      <c r="T128" s="404">
        <v>4.05</v>
      </c>
      <c r="U128" s="404">
        <v>4.05</v>
      </c>
      <c r="V128" s="404">
        <v>4.05</v>
      </c>
      <c r="W128" s="404">
        <v>4.05</v>
      </c>
      <c r="X128" s="404">
        <v>4.05</v>
      </c>
      <c r="Y128" s="404">
        <v>4.05</v>
      </c>
      <c r="Z128" s="59">
        <v>0.35000000000000009</v>
      </c>
      <c r="AA128" s="59">
        <v>0.35000000000000009</v>
      </c>
      <c r="AB128" s="59">
        <v>0.35000000000000009</v>
      </c>
      <c r="AC128" s="59">
        <v>0.35000000000000009</v>
      </c>
      <c r="AD128" s="402">
        <v>0.44999999999999973</v>
      </c>
      <c r="AE128" s="402">
        <v>0.44999999999999973</v>
      </c>
      <c r="AF128" s="402">
        <v>0.44999999999999973</v>
      </c>
      <c r="AG128" s="402">
        <v>0.44999999999999973</v>
      </c>
      <c r="AH128" s="402">
        <v>0.44999999999999973</v>
      </c>
      <c r="AI128" s="402">
        <v>0.44999999999999973</v>
      </c>
      <c r="AJ128" s="402">
        <v>0.44999999999999973</v>
      </c>
      <c r="AK128" s="402">
        <v>0.44999999999999973</v>
      </c>
      <c r="AL128" s="255"/>
      <c r="AM128" s="254">
        <f t="shared" si="12"/>
        <v>0</v>
      </c>
      <c r="AN128" s="255"/>
      <c r="AO128" s="254">
        <f t="shared" si="13"/>
        <v>0</v>
      </c>
      <c r="AP128" s="255"/>
      <c r="AQ128" s="254">
        <f t="shared" si="14"/>
        <v>0</v>
      </c>
      <c r="AR128" s="255"/>
      <c r="AS128" s="257">
        <f t="shared" si="15"/>
        <v>0</v>
      </c>
      <c r="AT128" s="255">
        <v>1520</v>
      </c>
      <c r="AU128" s="257">
        <f t="shared" si="16"/>
        <v>683.99999999999955</v>
      </c>
      <c r="AV128" s="388"/>
      <c r="AW128" s="257">
        <f t="shared" si="17"/>
        <v>0</v>
      </c>
      <c r="AX128" s="255"/>
      <c r="AY128" s="257">
        <f t="shared" si="18"/>
        <v>0</v>
      </c>
      <c r="AZ128" s="255"/>
      <c r="BA128" s="257">
        <f t="shared" si="19"/>
        <v>0</v>
      </c>
      <c r="BB128" s="255"/>
      <c r="BC128" s="257">
        <f t="shared" si="20"/>
        <v>0</v>
      </c>
      <c r="BD128" s="255"/>
      <c r="BE128" s="257">
        <f t="shared" si="21"/>
        <v>0</v>
      </c>
      <c r="BF128" s="255"/>
      <c r="BG128" s="257">
        <f t="shared" si="22"/>
        <v>0</v>
      </c>
      <c r="BH128" s="255"/>
      <c r="BI128" s="257">
        <f t="shared" si="23"/>
        <v>0</v>
      </c>
      <c r="BJ128" s="1" t="s">
        <v>1001</v>
      </c>
      <c r="BL128" s="1" t="s">
        <v>457</v>
      </c>
      <c r="BM128" s="1" t="s">
        <v>1002</v>
      </c>
    </row>
    <row r="129" spans="1:65" ht="15.75" customHeight="1">
      <c r="A129" s="250" t="s">
        <v>951</v>
      </c>
      <c r="B129" s="59" t="s">
        <v>341</v>
      </c>
      <c r="C129" s="354" t="s">
        <v>172</v>
      </c>
      <c r="D129" s="424"/>
      <c r="E129" s="357" t="s">
        <v>173</v>
      </c>
      <c r="F129" s="421"/>
      <c r="G129" s="317">
        <v>2026</v>
      </c>
      <c r="H129" s="59" t="s">
        <v>988</v>
      </c>
      <c r="I129" s="315" t="s">
        <v>357</v>
      </c>
      <c r="J129" s="317">
        <v>14</v>
      </c>
      <c r="K129" s="59" t="s">
        <v>996</v>
      </c>
      <c r="L129" s="298" t="s">
        <v>177</v>
      </c>
      <c r="M129" s="300" t="s">
        <v>990</v>
      </c>
      <c r="N129" s="300">
        <v>3.45</v>
      </c>
      <c r="O129" s="300">
        <v>3.45</v>
      </c>
      <c r="P129" s="300">
        <v>3.45</v>
      </c>
      <c r="Q129" s="300">
        <v>3.45</v>
      </c>
      <c r="R129" s="404">
        <v>4.05</v>
      </c>
      <c r="S129" s="404">
        <v>4.05</v>
      </c>
      <c r="T129" s="404">
        <v>4.05</v>
      </c>
      <c r="U129" s="404">
        <v>4.05</v>
      </c>
      <c r="V129" s="404">
        <v>4.05</v>
      </c>
      <c r="W129" s="404">
        <v>4.05</v>
      </c>
      <c r="X129" s="404">
        <v>4.05</v>
      </c>
      <c r="Y129" s="404">
        <v>4.05</v>
      </c>
      <c r="Z129" s="59">
        <v>0.35000000000000009</v>
      </c>
      <c r="AA129" s="59">
        <v>0.35000000000000009</v>
      </c>
      <c r="AB129" s="59">
        <v>0.35000000000000009</v>
      </c>
      <c r="AC129" s="59">
        <v>0.35000000000000009</v>
      </c>
      <c r="AD129" s="402">
        <v>0.44999999999999973</v>
      </c>
      <c r="AE129" s="402">
        <v>0.44999999999999973</v>
      </c>
      <c r="AF129" s="402">
        <v>0.44999999999999973</v>
      </c>
      <c r="AG129" s="402">
        <v>0.44999999999999973</v>
      </c>
      <c r="AH129" s="402">
        <v>0.44999999999999973</v>
      </c>
      <c r="AI129" s="402">
        <v>0.44999999999999973</v>
      </c>
      <c r="AJ129" s="402">
        <v>0.44999999999999973</v>
      </c>
      <c r="AK129" s="402">
        <v>0.44999999999999973</v>
      </c>
      <c r="AL129" s="255"/>
      <c r="AM129" s="254">
        <f t="shared" si="12"/>
        <v>0</v>
      </c>
      <c r="AN129" s="255"/>
      <c r="AO129" s="254">
        <f t="shared" si="13"/>
        <v>0</v>
      </c>
      <c r="AP129" s="255"/>
      <c r="AQ129" s="254">
        <f t="shared" si="14"/>
        <v>0</v>
      </c>
      <c r="AR129" s="255"/>
      <c r="AS129" s="257">
        <f t="shared" si="15"/>
        <v>0</v>
      </c>
      <c r="AT129" s="255">
        <v>5760</v>
      </c>
      <c r="AU129" s="257">
        <f t="shared" si="16"/>
        <v>2591.9999999999986</v>
      </c>
      <c r="AV129" s="388"/>
      <c r="AW129" s="257">
        <f t="shared" si="17"/>
        <v>0</v>
      </c>
      <c r="AX129" s="255"/>
      <c r="AY129" s="257">
        <f t="shared" si="18"/>
        <v>0</v>
      </c>
      <c r="AZ129" s="255"/>
      <c r="BA129" s="257">
        <f t="shared" si="19"/>
        <v>0</v>
      </c>
      <c r="BB129" s="255"/>
      <c r="BC129" s="257">
        <f t="shared" si="20"/>
        <v>0</v>
      </c>
      <c r="BD129" s="255"/>
      <c r="BE129" s="257">
        <f t="shared" si="21"/>
        <v>0</v>
      </c>
      <c r="BF129" s="255"/>
      <c r="BG129" s="257">
        <f t="shared" si="22"/>
        <v>0</v>
      </c>
      <c r="BH129" s="255"/>
      <c r="BI129" s="257">
        <f t="shared" si="23"/>
        <v>0</v>
      </c>
      <c r="BJ129" s="1" t="s">
        <v>1003</v>
      </c>
      <c r="BL129" s="1" t="s">
        <v>457</v>
      </c>
      <c r="BM129" s="1" t="s">
        <v>1004</v>
      </c>
    </row>
    <row r="130" spans="1:65" ht="15.75" customHeight="1">
      <c r="A130" s="250" t="s">
        <v>951</v>
      </c>
      <c r="B130" s="59" t="s">
        <v>341</v>
      </c>
      <c r="C130" s="354" t="s">
        <v>172</v>
      </c>
      <c r="D130" s="424"/>
      <c r="E130" s="357" t="s">
        <v>173</v>
      </c>
      <c r="F130" s="421"/>
      <c r="G130" s="317">
        <v>2026</v>
      </c>
      <c r="H130" s="59" t="s">
        <v>988</v>
      </c>
      <c r="I130" s="315" t="s">
        <v>357</v>
      </c>
      <c r="J130" s="317">
        <v>14</v>
      </c>
      <c r="K130" s="59" t="s">
        <v>1005</v>
      </c>
      <c r="L130" s="298" t="s">
        <v>177</v>
      </c>
      <c r="M130" s="300" t="s">
        <v>990</v>
      </c>
      <c r="N130" s="300">
        <v>3.45</v>
      </c>
      <c r="O130" s="300">
        <v>3.45</v>
      </c>
      <c r="P130" s="300">
        <v>3.45</v>
      </c>
      <c r="Q130" s="300">
        <v>3.45</v>
      </c>
      <c r="R130" s="404">
        <v>4.05</v>
      </c>
      <c r="S130" s="404">
        <v>4.05</v>
      </c>
      <c r="T130" s="404">
        <v>4.05</v>
      </c>
      <c r="U130" s="404">
        <v>4.05</v>
      </c>
      <c r="V130" s="404">
        <v>4.05</v>
      </c>
      <c r="W130" s="404">
        <v>4.05</v>
      </c>
      <c r="X130" s="404">
        <v>4.05</v>
      </c>
      <c r="Y130" s="404">
        <v>4.05</v>
      </c>
      <c r="Z130" s="59">
        <v>0.35000000000000009</v>
      </c>
      <c r="AA130" s="59">
        <v>0.35000000000000009</v>
      </c>
      <c r="AB130" s="59">
        <v>0.35000000000000009</v>
      </c>
      <c r="AC130" s="59">
        <v>0.35000000000000009</v>
      </c>
      <c r="AD130" s="402">
        <v>0.44999999999999973</v>
      </c>
      <c r="AE130" s="402">
        <v>0.44999999999999973</v>
      </c>
      <c r="AF130" s="402">
        <v>0.44999999999999973</v>
      </c>
      <c r="AG130" s="402">
        <v>0.44999999999999973</v>
      </c>
      <c r="AH130" s="402">
        <v>0.44999999999999973</v>
      </c>
      <c r="AI130" s="402">
        <v>0.44999999999999973</v>
      </c>
      <c r="AJ130" s="402">
        <v>0.44999999999999973</v>
      </c>
      <c r="AK130" s="402">
        <v>0.44999999999999973</v>
      </c>
      <c r="AL130" s="255"/>
      <c r="AM130" s="254">
        <f t="shared" si="12"/>
        <v>0</v>
      </c>
      <c r="AN130" s="255"/>
      <c r="AO130" s="254">
        <f t="shared" si="13"/>
        <v>0</v>
      </c>
      <c r="AP130" s="255"/>
      <c r="AQ130" s="254">
        <f t="shared" si="14"/>
        <v>0</v>
      </c>
      <c r="AR130" s="255"/>
      <c r="AS130" s="257">
        <f t="shared" si="15"/>
        <v>0</v>
      </c>
      <c r="AT130" s="255"/>
      <c r="AU130" s="257">
        <f t="shared" si="16"/>
        <v>0</v>
      </c>
      <c r="AV130" s="388"/>
      <c r="AW130" s="257">
        <f t="shared" si="17"/>
        <v>0</v>
      </c>
      <c r="AX130" s="255"/>
      <c r="AY130" s="257">
        <f t="shared" si="18"/>
        <v>0</v>
      </c>
      <c r="AZ130" s="255"/>
      <c r="BA130" s="257">
        <f t="shared" si="19"/>
        <v>0</v>
      </c>
      <c r="BB130" s="255"/>
      <c r="BC130" s="257">
        <f t="shared" si="20"/>
        <v>0</v>
      </c>
      <c r="BD130" s="255"/>
      <c r="BE130" s="257">
        <f t="shared" si="21"/>
        <v>0</v>
      </c>
      <c r="BF130" s="255"/>
      <c r="BG130" s="257">
        <f t="shared" si="22"/>
        <v>0</v>
      </c>
      <c r="BH130" s="255"/>
      <c r="BI130" s="257">
        <f t="shared" si="23"/>
        <v>0</v>
      </c>
      <c r="BJ130" s="1" t="s">
        <v>1006</v>
      </c>
      <c r="BL130" s="1" t="s">
        <v>457</v>
      </c>
      <c r="BM130" s="1" t="s">
        <v>1007</v>
      </c>
    </row>
    <row r="131" spans="1:65" ht="15.75" customHeight="1">
      <c r="A131" s="250" t="s">
        <v>951</v>
      </c>
      <c r="B131" s="59" t="s">
        <v>341</v>
      </c>
      <c r="C131" s="354" t="s">
        <v>172</v>
      </c>
      <c r="D131" s="424"/>
      <c r="E131" s="357" t="s">
        <v>173</v>
      </c>
      <c r="F131" s="421"/>
      <c r="G131" s="317">
        <v>2026</v>
      </c>
      <c r="H131" s="59" t="s">
        <v>988</v>
      </c>
      <c r="I131" s="315" t="s">
        <v>357</v>
      </c>
      <c r="J131" s="317">
        <v>14</v>
      </c>
      <c r="K131" s="59" t="s">
        <v>1008</v>
      </c>
      <c r="L131" s="298" t="s">
        <v>177</v>
      </c>
      <c r="M131" s="300" t="s">
        <v>990</v>
      </c>
      <c r="N131" s="300">
        <v>3.45</v>
      </c>
      <c r="O131" s="300">
        <v>3.45</v>
      </c>
      <c r="P131" s="300">
        <v>3.45</v>
      </c>
      <c r="Q131" s="300">
        <v>3.45</v>
      </c>
      <c r="R131" s="404">
        <v>4.05</v>
      </c>
      <c r="S131" s="404">
        <v>4.05</v>
      </c>
      <c r="T131" s="404">
        <v>4.05</v>
      </c>
      <c r="U131" s="404">
        <v>4.05</v>
      </c>
      <c r="V131" s="404">
        <v>4.05</v>
      </c>
      <c r="W131" s="404">
        <v>4.05</v>
      </c>
      <c r="X131" s="404">
        <v>4.05</v>
      </c>
      <c r="Y131" s="404">
        <v>4.05</v>
      </c>
      <c r="Z131" s="59">
        <v>0.35000000000000009</v>
      </c>
      <c r="AA131" s="59">
        <v>0.35000000000000009</v>
      </c>
      <c r="AB131" s="59">
        <v>0.35000000000000009</v>
      </c>
      <c r="AC131" s="59">
        <v>0.35000000000000009</v>
      </c>
      <c r="AD131" s="402">
        <v>0.44999999999999973</v>
      </c>
      <c r="AE131" s="402">
        <v>0.44999999999999973</v>
      </c>
      <c r="AF131" s="402">
        <v>0.44999999999999973</v>
      </c>
      <c r="AG131" s="402">
        <v>0.44999999999999973</v>
      </c>
      <c r="AH131" s="402">
        <v>0.44999999999999973</v>
      </c>
      <c r="AI131" s="402">
        <v>0.44999999999999973</v>
      </c>
      <c r="AJ131" s="402">
        <v>0.44999999999999973</v>
      </c>
      <c r="AK131" s="402">
        <v>0.44999999999999973</v>
      </c>
      <c r="AL131" s="255"/>
      <c r="AM131" s="254">
        <f t="shared" si="12"/>
        <v>0</v>
      </c>
      <c r="AN131" s="255"/>
      <c r="AO131" s="254">
        <f t="shared" si="13"/>
        <v>0</v>
      </c>
      <c r="AP131" s="255"/>
      <c r="AQ131" s="254">
        <f t="shared" si="14"/>
        <v>0</v>
      </c>
      <c r="AR131" s="255"/>
      <c r="AS131" s="257">
        <f t="shared" si="15"/>
        <v>0</v>
      </c>
      <c r="AT131" s="255"/>
      <c r="AU131" s="257">
        <f t="shared" si="16"/>
        <v>0</v>
      </c>
      <c r="AV131" s="388"/>
      <c r="AW131" s="257">
        <f t="shared" si="17"/>
        <v>0</v>
      </c>
      <c r="AX131" s="255"/>
      <c r="AY131" s="257">
        <f t="shared" si="18"/>
        <v>0</v>
      </c>
      <c r="AZ131" s="255"/>
      <c r="BA131" s="257">
        <f t="shared" si="19"/>
        <v>0</v>
      </c>
      <c r="BB131" s="255"/>
      <c r="BC131" s="257">
        <f t="shared" si="20"/>
        <v>0</v>
      </c>
      <c r="BD131" s="255"/>
      <c r="BE131" s="257">
        <f t="shared" si="21"/>
        <v>0</v>
      </c>
      <c r="BF131" s="255"/>
      <c r="BG131" s="257">
        <f t="shared" si="22"/>
        <v>0</v>
      </c>
      <c r="BH131" s="255"/>
      <c r="BI131" s="257">
        <f t="shared" si="23"/>
        <v>0</v>
      </c>
      <c r="BJ131" s="1" t="s">
        <v>1009</v>
      </c>
      <c r="BL131" s="1" t="s">
        <v>457</v>
      </c>
      <c r="BM131" s="1" t="s">
        <v>1010</v>
      </c>
    </row>
    <row r="132" spans="1:65" ht="15.75" customHeight="1">
      <c r="A132" s="250" t="s">
        <v>951</v>
      </c>
      <c r="B132" s="59" t="s">
        <v>341</v>
      </c>
      <c r="C132" s="354" t="s">
        <v>172</v>
      </c>
      <c r="D132" s="424"/>
      <c r="E132" s="357" t="s">
        <v>173</v>
      </c>
      <c r="F132" s="421"/>
      <c r="G132" s="317">
        <v>2026</v>
      </c>
      <c r="H132" s="59" t="s">
        <v>988</v>
      </c>
      <c r="I132" s="315" t="s">
        <v>357</v>
      </c>
      <c r="J132" s="317">
        <v>14</v>
      </c>
      <c r="K132" s="59" t="s">
        <v>1011</v>
      </c>
      <c r="L132" s="298" t="s">
        <v>177</v>
      </c>
      <c r="M132" s="300" t="s">
        <v>990</v>
      </c>
      <c r="N132" s="300">
        <v>3.45</v>
      </c>
      <c r="O132" s="300">
        <v>3.45</v>
      </c>
      <c r="P132" s="300">
        <v>3.45</v>
      </c>
      <c r="Q132" s="300">
        <v>3.45</v>
      </c>
      <c r="R132" s="404">
        <v>4.05</v>
      </c>
      <c r="S132" s="404">
        <v>4.05</v>
      </c>
      <c r="T132" s="404">
        <v>4.05</v>
      </c>
      <c r="U132" s="404">
        <v>4.05</v>
      </c>
      <c r="V132" s="404">
        <v>4.05</v>
      </c>
      <c r="W132" s="404">
        <v>4.05</v>
      </c>
      <c r="X132" s="404">
        <v>4.05</v>
      </c>
      <c r="Y132" s="404">
        <v>4.05</v>
      </c>
      <c r="Z132" s="59">
        <v>0.35000000000000009</v>
      </c>
      <c r="AA132" s="59">
        <v>0.35000000000000009</v>
      </c>
      <c r="AB132" s="59">
        <v>0.35000000000000009</v>
      </c>
      <c r="AC132" s="59">
        <v>0.35000000000000009</v>
      </c>
      <c r="AD132" s="402">
        <v>0.44999999999999973</v>
      </c>
      <c r="AE132" s="402">
        <v>0.44999999999999973</v>
      </c>
      <c r="AF132" s="402">
        <v>0.44999999999999973</v>
      </c>
      <c r="AG132" s="402">
        <v>0.44999999999999973</v>
      </c>
      <c r="AH132" s="402">
        <v>0.44999999999999973</v>
      </c>
      <c r="AI132" s="402">
        <v>0.44999999999999973</v>
      </c>
      <c r="AJ132" s="402">
        <v>0.44999999999999973</v>
      </c>
      <c r="AK132" s="402">
        <v>0.44999999999999973</v>
      </c>
      <c r="AL132" s="255"/>
      <c r="AM132" s="254">
        <f t="shared" si="12"/>
        <v>0</v>
      </c>
      <c r="AN132" s="255"/>
      <c r="AO132" s="254">
        <f t="shared" si="13"/>
        <v>0</v>
      </c>
      <c r="AP132" s="255"/>
      <c r="AQ132" s="254">
        <f t="shared" si="14"/>
        <v>0</v>
      </c>
      <c r="AR132" s="255"/>
      <c r="AS132" s="257">
        <f t="shared" si="15"/>
        <v>0</v>
      </c>
      <c r="AT132" s="255"/>
      <c r="AU132" s="257">
        <f t="shared" si="16"/>
        <v>0</v>
      </c>
      <c r="AV132" s="388"/>
      <c r="AW132" s="257">
        <f t="shared" si="17"/>
        <v>0</v>
      </c>
      <c r="AX132" s="255"/>
      <c r="AY132" s="257">
        <f t="shared" si="18"/>
        <v>0</v>
      </c>
      <c r="AZ132" s="255"/>
      <c r="BA132" s="257">
        <f t="shared" si="19"/>
        <v>0</v>
      </c>
      <c r="BB132" s="255"/>
      <c r="BC132" s="257">
        <f t="shared" si="20"/>
        <v>0</v>
      </c>
      <c r="BD132" s="255"/>
      <c r="BE132" s="257">
        <f t="shared" si="21"/>
        <v>0</v>
      </c>
      <c r="BF132" s="255"/>
      <c r="BG132" s="257">
        <f t="shared" si="22"/>
        <v>0</v>
      </c>
      <c r="BH132" s="255"/>
      <c r="BI132" s="257">
        <f t="shared" si="23"/>
        <v>0</v>
      </c>
      <c r="BJ132" s="1" t="s">
        <v>1012</v>
      </c>
      <c r="BL132" s="1" t="s">
        <v>457</v>
      </c>
      <c r="BM132" s="1" t="s">
        <v>1013</v>
      </c>
    </row>
    <row r="133" spans="1:65" ht="15.75" customHeight="1">
      <c r="A133" s="250" t="s">
        <v>951</v>
      </c>
      <c r="B133" s="59" t="s">
        <v>341</v>
      </c>
      <c r="C133" s="354" t="s">
        <v>172</v>
      </c>
      <c r="D133" s="424"/>
      <c r="E133" s="357" t="s">
        <v>173</v>
      </c>
      <c r="F133" s="421"/>
      <c r="G133" s="317">
        <v>2026</v>
      </c>
      <c r="H133" s="59" t="s">
        <v>988</v>
      </c>
      <c r="I133" s="315" t="s">
        <v>359</v>
      </c>
      <c r="J133" s="317">
        <v>14</v>
      </c>
      <c r="K133" s="59" t="s">
        <v>989</v>
      </c>
      <c r="L133" s="298" t="s">
        <v>464</v>
      </c>
      <c r="M133" s="300" t="s">
        <v>488</v>
      </c>
      <c r="N133" s="300">
        <v>8.4</v>
      </c>
      <c r="O133" s="300">
        <v>8.4</v>
      </c>
      <c r="P133" s="300">
        <v>8.4</v>
      </c>
      <c r="Q133" s="300">
        <v>8.4</v>
      </c>
      <c r="R133" s="404">
        <v>8.8000000000000007</v>
      </c>
      <c r="S133" s="404">
        <v>8.8000000000000007</v>
      </c>
      <c r="T133" s="404">
        <v>8.8000000000000007</v>
      </c>
      <c r="U133" s="404">
        <v>8.8000000000000007</v>
      </c>
      <c r="V133" s="404">
        <v>8.8000000000000007</v>
      </c>
      <c r="W133" s="404">
        <v>8.8000000000000007</v>
      </c>
      <c r="X133" s="404">
        <v>8.8000000000000007</v>
      </c>
      <c r="Y133" s="404">
        <v>8.8000000000000007</v>
      </c>
      <c r="Z133" s="59">
        <v>1.2000000000000002</v>
      </c>
      <c r="AA133" s="59">
        <v>1.2000000000000002</v>
      </c>
      <c r="AB133" s="59">
        <v>1.2000000000000002</v>
      </c>
      <c r="AC133" s="59">
        <v>1.2000000000000002</v>
      </c>
      <c r="AD133" s="402">
        <v>1.1000000000000005</v>
      </c>
      <c r="AE133" s="402">
        <v>1.1000000000000005</v>
      </c>
      <c r="AF133" s="402">
        <v>1.1000000000000005</v>
      </c>
      <c r="AG133" s="402">
        <v>1.1000000000000005</v>
      </c>
      <c r="AH133" s="402">
        <v>1.1000000000000005</v>
      </c>
      <c r="AI133" s="402">
        <v>1.1000000000000005</v>
      </c>
      <c r="AJ133" s="402">
        <v>1.1000000000000005</v>
      </c>
      <c r="AK133" s="402">
        <v>1.1000000000000005</v>
      </c>
      <c r="AL133" s="255"/>
      <c r="AM133" s="254">
        <f t="shared" si="12"/>
        <v>0</v>
      </c>
      <c r="AN133" s="255"/>
      <c r="AO133" s="254">
        <f t="shared" si="13"/>
        <v>0</v>
      </c>
      <c r="AP133" s="255"/>
      <c r="AQ133" s="254">
        <f t="shared" si="14"/>
        <v>0</v>
      </c>
      <c r="AR133" s="255"/>
      <c r="AS133" s="257">
        <f t="shared" si="15"/>
        <v>0</v>
      </c>
      <c r="AT133" s="255"/>
      <c r="AU133" s="257">
        <f t="shared" si="16"/>
        <v>0</v>
      </c>
      <c r="AV133" s="388"/>
      <c r="AW133" s="257">
        <f t="shared" si="17"/>
        <v>0</v>
      </c>
      <c r="AX133" s="255"/>
      <c r="AY133" s="257">
        <f t="shared" si="18"/>
        <v>0</v>
      </c>
      <c r="AZ133" s="255"/>
      <c r="BA133" s="257">
        <f t="shared" si="19"/>
        <v>0</v>
      </c>
      <c r="BB133" s="255"/>
      <c r="BC133" s="257">
        <f t="shared" si="20"/>
        <v>0</v>
      </c>
      <c r="BD133" s="255"/>
      <c r="BE133" s="257">
        <f t="shared" si="21"/>
        <v>0</v>
      </c>
      <c r="BF133" s="255"/>
      <c r="BG133" s="257">
        <f t="shared" si="22"/>
        <v>0</v>
      </c>
      <c r="BH133" s="255"/>
      <c r="BI133" s="257">
        <f t="shared" si="23"/>
        <v>0</v>
      </c>
      <c r="BJ133" s="1" t="s">
        <v>991</v>
      </c>
      <c r="BL133" s="1" t="s">
        <v>457</v>
      </c>
      <c r="BM133" s="1" t="s">
        <v>992</v>
      </c>
    </row>
    <row r="134" spans="1:65" ht="15.75" customHeight="1">
      <c r="A134" s="250" t="s">
        <v>951</v>
      </c>
      <c r="B134" s="59" t="s">
        <v>341</v>
      </c>
      <c r="C134" s="354" t="s">
        <v>172</v>
      </c>
      <c r="D134" s="424"/>
      <c r="E134" s="357" t="s">
        <v>173</v>
      </c>
      <c r="F134" s="421"/>
      <c r="G134" s="317">
        <v>2026</v>
      </c>
      <c r="H134" s="59" t="s">
        <v>988</v>
      </c>
      <c r="I134" s="315" t="s">
        <v>359</v>
      </c>
      <c r="J134" s="317">
        <v>14</v>
      </c>
      <c r="K134" s="59" t="s">
        <v>993</v>
      </c>
      <c r="L134" s="298" t="s">
        <v>464</v>
      </c>
      <c r="M134" s="300" t="s">
        <v>488</v>
      </c>
      <c r="N134" s="300">
        <v>8.4</v>
      </c>
      <c r="O134" s="300">
        <v>8.4</v>
      </c>
      <c r="P134" s="300">
        <v>8.4</v>
      </c>
      <c r="Q134" s="300">
        <v>8.4</v>
      </c>
      <c r="R134" s="404">
        <v>8.8000000000000007</v>
      </c>
      <c r="S134" s="404">
        <v>8.8000000000000007</v>
      </c>
      <c r="T134" s="404">
        <v>8.8000000000000007</v>
      </c>
      <c r="U134" s="404">
        <v>8.8000000000000007</v>
      </c>
      <c r="V134" s="404">
        <v>8.8000000000000007</v>
      </c>
      <c r="W134" s="404">
        <v>8.8000000000000007</v>
      </c>
      <c r="X134" s="404">
        <v>8.8000000000000007</v>
      </c>
      <c r="Y134" s="404">
        <v>8.8000000000000007</v>
      </c>
      <c r="Z134" s="59">
        <v>1.2000000000000002</v>
      </c>
      <c r="AA134" s="59">
        <v>1.2000000000000002</v>
      </c>
      <c r="AB134" s="59">
        <v>1.2000000000000002</v>
      </c>
      <c r="AC134" s="59">
        <v>1.2000000000000002</v>
      </c>
      <c r="AD134" s="402">
        <v>1.1000000000000005</v>
      </c>
      <c r="AE134" s="402">
        <v>1.1000000000000005</v>
      </c>
      <c r="AF134" s="402">
        <v>1.1000000000000005</v>
      </c>
      <c r="AG134" s="402">
        <v>1.1000000000000005</v>
      </c>
      <c r="AH134" s="402">
        <v>1.1000000000000005</v>
      </c>
      <c r="AI134" s="402">
        <v>1.1000000000000005</v>
      </c>
      <c r="AJ134" s="402">
        <v>1.1000000000000005</v>
      </c>
      <c r="AK134" s="402">
        <v>1.1000000000000005</v>
      </c>
      <c r="AL134" s="255"/>
      <c r="AM134" s="254">
        <f t="shared" si="12"/>
        <v>0</v>
      </c>
      <c r="AN134" s="255"/>
      <c r="AO134" s="254">
        <f t="shared" si="13"/>
        <v>0</v>
      </c>
      <c r="AP134" s="255"/>
      <c r="AQ134" s="254">
        <f t="shared" si="14"/>
        <v>0</v>
      </c>
      <c r="AR134" s="255"/>
      <c r="AS134" s="257">
        <f t="shared" si="15"/>
        <v>0</v>
      </c>
      <c r="AT134" s="255"/>
      <c r="AU134" s="257">
        <f t="shared" si="16"/>
        <v>0</v>
      </c>
      <c r="AV134" s="388"/>
      <c r="AW134" s="257">
        <f t="shared" si="17"/>
        <v>0</v>
      </c>
      <c r="AX134" s="255"/>
      <c r="AY134" s="257">
        <f t="shared" si="18"/>
        <v>0</v>
      </c>
      <c r="AZ134" s="255"/>
      <c r="BA134" s="257">
        <f t="shared" si="19"/>
        <v>0</v>
      </c>
      <c r="BB134" s="255"/>
      <c r="BC134" s="257">
        <f t="shared" si="20"/>
        <v>0</v>
      </c>
      <c r="BD134" s="255"/>
      <c r="BE134" s="257">
        <f t="shared" si="21"/>
        <v>0</v>
      </c>
      <c r="BF134" s="255"/>
      <c r="BG134" s="257">
        <f t="shared" si="22"/>
        <v>0</v>
      </c>
      <c r="BH134" s="255"/>
      <c r="BI134" s="257">
        <f t="shared" si="23"/>
        <v>0</v>
      </c>
      <c r="BJ134" s="1" t="s">
        <v>994</v>
      </c>
      <c r="BL134" s="1" t="s">
        <v>457</v>
      </c>
      <c r="BM134" s="1" t="s">
        <v>995</v>
      </c>
    </row>
    <row r="135" spans="1:65" ht="15.75" customHeight="1">
      <c r="A135" s="250" t="s">
        <v>951</v>
      </c>
      <c r="B135" s="59" t="s">
        <v>341</v>
      </c>
      <c r="C135" s="354" t="s">
        <v>172</v>
      </c>
      <c r="D135" s="424"/>
      <c r="E135" s="357" t="s">
        <v>173</v>
      </c>
      <c r="F135" s="421"/>
      <c r="G135" s="317">
        <v>2026</v>
      </c>
      <c r="H135" s="59" t="s">
        <v>988</v>
      </c>
      <c r="I135" s="315" t="s">
        <v>359</v>
      </c>
      <c r="J135" s="317">
        <v>14</v>
      </c>
      <c r="K135" s="59" t="s">
        <v>996</v>
      </c>
      <c r="L135" s="298" t="s">
        <v>464</v>
      </c>
      <c r="M135" s="300" t="s">
        <v>488</v>
      </c>
      <c r="N135" s="300">
        <v>8.4</v>
      </c>
      <c r="O135" s="300">
        <v>8.4</v>
      </c>
      <c r="P135" s="300">
        <v>8.4</v>
      </c>
      <c r="Q135" s="300">
        <v>8.4</v>
      </c>
      <c r="R135" s="404">
        <v>8.8000000000000007</v>
      </c>
      <c r="S135" s="404">
        <v>8.8000000000000007</v>
      </c>
      <c r="T135" s="404">
        <v>8.8000000000000007</v>
      </c>
      <c r="U135" s="404">
        <v>8.8000000000000007</v>
      </c>
      <c r="V135" s="404">
        <v>8.8000000000000007</v>
      </c>
      <c r="W135" s="404">
        <v>8.8000000000000007</v>
      </c>
      <c r="X135" s="404">
        <v>8.8000000000000007</v>
      </c>
      <c r="Y135" s="404">
        <v>8.8000000000000007</v>
      </c>
      <c r="Z135" s="59">
        <v>1.2000000000000002</v>
      </c>
      <c r="AA135" s="59">
        <v>1.2000000000000002</v>
      </c>
      <c r="AB135" s="59">
        <v>1.2000000000000002</v>
      </c>
      <c r="AC135" s="59">
        <v>1.2000000000000002</v>
      </c>
      <c r="AD135" s="402">
        <v>1.1000000000000005</v>
      </c>
      <c r="AE135" s="402">
        <v>1.1000000000000005</v>
      </c>
      <c r="AF135" s="402">
        <v>1.1000000000000005</v>
      </c>
      <c r="AG135" s="402">
        <v>1.1000000000000005</v>
      </c>
      <c r="AH135" s="402">
        <v>1.1000000000000005</v>
      </c>
      <c r="AI135" s="402">
        <v>1.1000000000000005</v>
      </c>
      <c r="AJ135" s="402">
        <v>1.1000000000000005</v>
      </c>
      <c r="AK135" s="402">
        <v>1.1000000000000005</v>
      </c>
      <c r="AL135" s="255"/>
      <c r="AM135" s="254">
        <f t="shared" si="12"/>
        <v>0</v>
      </c>
      <c r="AN135" s="255"/>
      <c r="AO135" s="254">
        <f t="shared" si="13"/>
        <v>0</v>
      </c>
      <c r="AP135" s="255"/>
      <c r="AQ135" s="254">
        <f t="shared" si="14"/>
        <v>0</v>
      </c>
      <c r="AR135" s="255"/>
      <c r="AS135" s="257">
        <f t="shared" si="15"/>
        <v>0</v>
      </c>
      <c r="AT135" s="255"/>
      <c r="AU135" s="257">
        <f t="shared" si="16"/>
        <v>0</v>
      </c>
      <c r="AV135" s="388"/>
      <c r="AW135" s="257">
        <f t="shared" si="17"/>
        <v>0</v>
      </c>
      <c r="AX135" s="255"/>
      <c r="AY135" s="257">
        <f t="shared" si="18"/>
        <v>0</v>
      </c>
      <c r="AZ135" s="255"/>
      <c r="BA135" s="257">
        <f t="shared" si="19"/>
        <v>0</v>
      </c>
      <c r="BB135" s="255"/>
      <c r="BC135" s="257">
        <f t="shared" si="20"/>
        <v>0</v>
      </c>
      <c r="BD135" s="255"/>
      <c r="BE135" s="257">
        <f t="shared" si="21"/>
        <v>0</v>
      </c>
      <c r="BF135" s="255"/>
      <c r="BG135" s="257">
        <f t="shared" si="22"/>
        <v>0</v>
      </c>
      <c r="BH135" s="255"/>
      <c r="BI135" s="257">
        <f t="shared" si="23"/>
        <v>0</v>
      </c>
      <c r="BJ135" s="1" t="s">
        <v>997</v>
      </c>
      <c r="BL135" s="1" t="s">
        <v>457</v>
      </c>
      <c r="BM135" s="1" t="s">
        <v>998</v>
      </c>
    </row>
    <row r="136" spans="1:65" ht="15.75" customHeight="1">
      <c r="A136" s="250" t="s">
        <v>951</v>
      </c>
      <c r="B136" s="59" t="s">
        <v>341</v>
      </c>
      <c r="C136" s="354" t="s">
        <v>172</v>
      </c>
      <c r="D136" s="424"/>
      <c r="E136" s="357" t="s">
        <v>173</v>
      </c>
      <c r="F136" s="421"/>
      <c r="G136" s="317">
        <v>2026</v>
      </c>
      <c r="H136" s="59" t="s">
        <v>988</v>
      </c>
      <c r="I136" s="315" t="s">
        <v>357</v>
      </c>
      <c r="J136" s="317">
        <v>14</v>
      </c>
      <c r="K136" s="59" t="s">
        <v>989</v>
      </c>
      <c r="L136" s="298" t="s">
        <v>464</v>
      </c>
      <c r="M136" s="300" t="s">
        <v>488</v>
      </c>
      <c r="N136" s="300">
        <v>3.45</v>
      </c>
      <c r="O136" s="300">
        <v>3.45</v>
      </c>
      <c r="P136" s="300">
        <v>3.45</v>
      </c>
      <c r="Q136" s="300">
        <v>3.45</v>
      </c>
      <c r="R136" s="404">
        <v>4.05</v>
      </c>
      <c r="S136" s="404">
        <v>4.05</v>
      </c>
      <c r="T136" s="404">
        <v>4.05</v>
      </c>
      <c r="U136" s="404">
        <v>4.05</v>
      </c>
      <c r="V136" s="404">
        <v>4.05</v>
      </c>
      <c r="W136" s="404">
        <v>4.05</v>
      </c>
      <c r="X136" s="404">
        <v>4.05</v>
      </c>
      <c r="Y136" s="404">
        <v>4.05</v>
      </c>
      <c r="Z136" s="59">
        <v>0.35000000000000009</v>
      </c>
      <c r="AA136" s="59">
        <v>0.35000000000000009</v>
      </c>
      <c r="AB136" s="59">
        <v>0.35000000000000009</v>
      </c>
      <c r="AC136" s="59">
        <v>0.35000000000000009</v>
      </c>
      <c r="AD136" s="402">
        <v>0.44999999999999973</v>
      </c>
      <c r="AE136" s="402">
        <v>0.44999999999999973</v>
      </c>
      <c r="AF136" s="402">
        <v>0.44999999999999973</v>
      </c>
      <c r="AG136" s="402">
        <v>0.44999999999999973</v>
      </c>
      <c r="AH136" s="402">
        <v>0.44999999999999973</v>
      </c>
      <c r="AI136" s="402">
        <v>0.44999999999999973</v>
      </c>
      <c r="AJ136" s="402">
        <v>0.44999999999999973</v>
      </c>
      <c r="AK136" s="402">
        <v>0.44999999999999973</v>
      </c>
      <c r="AL136" s="255"/>
      <c r="AM136" s="254">
        <f t="shared" si="12"/>
        <v>0</v>
      </c>
      <c r="AN136" s="255"/>
      <c r="AO136" s="254">
        <f t="shared" si="13"/>
        <v>0</v>
      </c>
      <c r="AP136" s="255"/>
      <c r="AQ136" s="254">
        <f t="shared" si="14"/>
        <v>0</v>
      </c>
      <c r="AR136" s="255"/>
      <c r="AS136" s="257">
        <f t="shared" si="15"/>
        <v>0</v>
      </c>
      <c r="AT136" s="255"/>
      <c r="AU136" s="257">
        <f t="shared" si="16"/>
        <v>0</v>
      </c>
      <c r="AV136" s="388"/>
      <c r="AW136" s="257">
        <f t="shared" si="17"/>
        <v>0</v>
      </c>
      <c r="AX136" s="255"/>
      <c r="AY136" s="257">
        <f t="shared" si="18"/>
        <v>0</v>
      </c>
      <c r="AZ136" s="255"/>
      <c r="BA136" s="257">
        <f t="shared" si="19"/>
        <v>0</v>
      </c>
      <c r="BB136" s="255"/>
      <c r="BC136" s="257">
        <f t="shared" si="20"/>
        <v>0</v>
      </c>
      <c r="BD136" s="255"/>
      <c r="BE136" s="257">
        <f t="shared" si="21"/>
        <v>0</v>
      </c>
      <c r="BF136" s="255"/>
      <c r="BG136" s="257">
        <f t="shared" si="22"/>
        <v>0</v>
      </c>
      <c r="BH136" s="255"/>
      <c r="BI136" s="257">
        <f t="shared" si="23"/>
        <v>0</v>
      </c>
      <c r="BJ136" s="1" t="s">
        <v>999</v>
      </c>
      <c r="BL136" s="1" t="s">
        <v>457</v>
      </c>
      <c r="BM136" s="1" t="s">
        <v>1000</v>
      </c>
    </row>
    <row r="137" spans="1:65" ht="15.75" customHeight="1">
      <c r="A137" s="250" t="s">
        <v>951</v>
      </c>
      <c r="B137" s="59" t="s">
        <v>341</v>
      </c>
      <c r="C137" s="354" t="s">
        <v>172</v>
      </c>
      <c r="D137" s="424"/>
      <c r="E137" s="357" t="s">
        <v>173</v>
      </c>
      <c r="F137" s="421"/>
      <c r="G137" s="317">
        <v>2026</v>
      </c>
      <c r="H137" s="59" t="s">
        <v>988</v>
      </c>
      <c r="I137" s="315" t="s">
        <v>357</v>
      </c>
      <c r="J137" s="317">
        <v>14</v>
      </c>
      <c r="K137" s="59" t="s">
        <v>993</v>
      </c>
      <c r="L137" s="298" t="s">
        <v>464</v>
      </c>
      <c r="M137" s="300" t="s">
        <v>488</v>
      </c>
      <c r="N137" s="300">
        <v>3.45</v>
      </c>
      <c r="O137" s="300">
        <v>3.45</v>
      </c>
      <c r="P137" s="300">
        <v>3.45</v>
      </c>
      <c r="Q137" s="300">
        <v>3.45</v>
      </c>
      <c r="R137" s="404">
        <v>4.05</v>
      </c>
      <c r="S137" s="404">
        <v>4.05</v>
      </c>
      <c r="T137" s="404">
        <v>4.05</v>
      </c>
      <c r="U137" s="404">
        <v>4.05</v>
      </c>
      <c r="V137" s="404">
        <v>4.05</v>
      </c>
      <c r="W137" s="404">
        <v>4.05</v>
      </c>
      <c r="X137" s="404">
        <v>4.05</v>
      </c>
      <c r="Y137" s="404">
        <v>4.05</v>
      </c>
      <c r="Z137" s="59">
        <v>0.35000000000000009</v>
      </c>
      <c r="AA137" s="59">
        <v>0.35000000000000009</v>
      </c>
      <c r="AB137" s="59">
        <v>0.35000000000000009</v>
      </c>
      <c r="AC137" s="59">
        <v>0.35000000000000009</v>
      </c>
      <c r="AD137" s="402">
        <v>0.44999999999999973</v>
      </c>
      <c r="AE137" s="402">
        <v>0.44999999999999973</v>
      </c>
      <c r="AF137" s="402">
        <v>0.44999999999999973</v>
      </c>
      <c r="AG137" s="402">
        <v>0.44999999999999973</v>
      </c>
      <c r="AH137" s="402">
        <v>0.44999999999999973</v>
      </c>
      <c r="AI137" s="402">
        <v>0.44999999999999973</v>
      </c>
      <c r="AJ137" s="402">
        <v>0.44999999999999973</v>
      </c>
      <c r="AK137" s="402">
        <v>0.44999999999999973</v>
      </c>
      <c r="AL137" s="255"/>
      <c r="AM137" s="254">
        <f t="shared" si="12"/>
        <v>0</v>
      </c>
      <c r="AN137" s="255"/>
      <c r="AO137" s="254">
        <f t="shared" si="13"/>
        <v>0</v>
      </c>
      <c r="AP137" s="255"/>
      <c r="AQ137" s="254">
        <f t="shared" si="14"/>
        <v>0</v>
      </c>
      <c r="AR137" s="255"/>
      <c r="AS137" s="257">
        <f t="shared" si="15"/>
        <v>0</v>
      </c>
      <c r="AT137" s="255"/>
      <c r="AU137" s="257">
        <f t="shared" si="16"/>
        <v>0</v>
      </c>
      <c r="AV137" s="388"/>
      <c r="AW137" s="257">
        <f t="shared" si="17"/>
        <v>0</v>
      </c>
      <c r="AX137" s="255"/>
      <c r="AY137" s="257">
        <f t="shared" si="18"/>
        <v>0</v>
      </c>
      <c r="AZ137" s="255"/>
      <c r="BA137" s="257">
        <f t="shared" si="19"/>
        <v>0</v>
      </c>
      <c r="BB137" s="255"/>
      <c r="BC137" s="257">
        <f t="shared" si="20"/>
        <v>0</v>
      </c>
      <c r="BD137" s="255"/>
      <c r="BE137" s="257">
        <f t="shared" si="21"/>
        <v>0</v>
      </c>
      <c r="BF137" s="255"/>
      <c r="BG137" s="257">
        <f t="shared" si="22"/>
        <v>0</v>
      </c>
      <c r="BH137" s="255"/>
      <c r="BI137" s="257">
        <f t="shared" si="23"/>
        <v>0</v>
      </c>
      <c r="BJ137" s="1" t="s">
        <v>1001</v>
      </c>
      <c r="BL137" s="1" t="s">
        <v>457</v>
      </c>
      <c r="BM137" s="1" t="s">
        <v>1002</v>
      </c>
    </row>
    <row r="138" spans="1:65" ht="15.75" customHeight="1">
      <c r="A138" s="250" t="s">
        <v>951</v>
      </c>
      <c r="B138" s="59" t="s">
        <v>341</v>
      </c>
      <c r="C138" s="354" t="s">
        <v>172</v>
      </c>
      <c r="D138" s="424"/>
      <c r="E138" s="357" t="s">
        <v>173</v>
      </c>
      <c r="F138" s="421"/>
      <c r="G138" s="317">
        <v>2026</v>
      </c>
      <c r="H138" s="59" t="s">
        <v>988</v>
      </c>
      <c r="I138" s="315" t="s">
        <v>357</v>
      </c>
      <c r="J138" s="317">
        <v>14</v>
      </c>
      <c r="K138" s="59" t="s">
        <v>996</v>
      </c>
      <c r="L138" s="298" t="s">
        <v>464</v>
      </c>
      <c r="M138" s="300" t="s">
        <v>488</v>
      </c>
      <c r="N138" s="300">
        <v>3.45</v>
      </c>
      <c r="O138" s="300">
        <v>3.45</v>
      </c>
      <c r="P138" s="300">
        <v>3.45</v>
      </c>
      <c r="Q138" s="300">
        <v>3.45</v>
      </c>
      <c r="R138" s="404">
        <v>4.05</v>
      </c>
      <c r="S138" s="404">
        <v>4.05</v>
      </c>
      <c r="T138" s="404">
        <v>4.05</v>
      </c>
      <c r="U138" s="404">
        <v>4.05</v>
      </c>
      <c r="V138" s="404">
        <v>4.05</v>
      </c>
      <c r="W138" s="404">
        <v>4.05</v>
      </c>
      <c r="X138" s="404">
        <v>4.05</v>
      </c>
      <c r="Y138" s="404">
        <v>4.05</v>
      </c>
      <c r="Z138" s="59">
        <v>0.35000000000000009</v>
      </c>
      <c r="AA138" s="59">
        <v>0.35000000000000009</v>
      </c>
      <c r="AB138" s="59">
        <v>0.35000000000000009</v>
      </c>
      <c r="AC138" s="59">
        <v>0.35000000000000009</v>
      </c>
      <c r="AD138" s="402">
        <v>0.44999999999999973</v>
      </c>
      <c r="AE138" s="402">
        <v>0.44999999999999973</v>
      </c>
      <c r="AF138" s="402">
        <v>0.44999999999999973</v>
      </c>
      <c r="AG138" s="402">
        <v>0.44999999999999973</v>
      </c>
      <c r="AH138" s="402">
        <v>0.44999999999999973</v>
      </c>
      <c r="AI138" s="402">
        <v>0.44999999999999973</v>
      </c>
      <c r="AJ138" s="402">
        <v>0.44999999999999973</v>
      </c>
      <c r="AK138" s="402">
        <v>0.44999999999999973</v>
      </c>
      <c r="AL138" s="255"/>
      <c r="AM138" s="254">
        <f t="shared" si="12"/>
        <v>0</v>
      </c>
      <c r="AN138" s="255"/>
      <c r="AO138" s="254">
        <f t="shared" si="13"/>
        <v>0</v>
      </c>
      <c r="AP138" s="255"/>
      <c r="AQ138" s="254">
        <f t="shared" si="14"/>
        <v>0</v>
      </c>
      <c r="AR138" s="255"/>
      <c r="AS138" s="257">
        <f t="shared" si="15"/>
        <v>0</v>
      </c>
      <c r="AT138" s="255"/>
      <c r="AU138" s="257">
        <f t="shared" si="16"/>
        <v>0</v>
      </c>
      <c r="AV138" s="388"/>
      <c r="AW138" s="257">
        <f t="shared" si="17"/>
        <v>0</v>
      </c>
      <c r="AX138" s="255"/>
      <c r="AY138" s="257">
        <f t="shared" si="18"/>
        <v>0</v>
      </c>
      <c r="AZ138" s="255"/>
      <c r="BA138" s="257">
        <f t="shared" si="19"/>
        <v>0</v>
      </c>
      <c r="BB138" s="255"/>
      <c r="BC138" s="257">
        <f t="shared" si="20"/>
        <v>0</v>
      </c>
      <c r="BD138" s="255"/>
      <c r="BE138" s="257">
        <f t="shared" si="21"/>
        <v>0</v>
      </c>
      <c r="BF138" s="255"/>
      <c r="BG138" s="257">
        <f t="shared" si="22"/>
        <v>0</v>
      </c>
      <c r="BH138" s="255"/>
      <c r="BI138" s="257">
        <f t="shared" si="23"/>
        <v>0</v>
      </c>
      <c r="BJ138" s="1" t="s">
        <v>1003</v>
      </c>
      <c r="BL138" s="1" t="s">
        <v>457</v>
      </c>
      <c r="BM138" s="1" t="s">
        <v>1004</v>
      </c>
    </row>
    <row r="139" spans="1:65" ht="15.75" customHeight="1">
      <c r="A139" s="250" t="s">
        <v>951</v>
      </c>
      <c r="B139" s="59" t="s">
        <v>341</v>
      </c>
      <c r="C139" s="354" t="s">
        <v>172</v>
      </c>
      <c r="D139" s="424"/>
      <c r="E139" s="357" t="s">
        <v>173</v>
      </c>
      <c r="F139" s="421"/>
      <c r="G139" s="317">
        <v>2026</v>
      </c>
      <c r="H139" s="59" t="s">
        <v>988</v>
      </c>
      <c r="I139" s="315" t="s">
        <v>357</v>
      </c>
      <c r="J139" s="317">
        <v>14</v>
      </c>
      <c r="K139" s="59" t="s">
        <v>1005</v>
      </c>
      <c r="L139" s="298" t="s">
        <v>464</v>
      </c>
      <c r="M139" s="300" t="s">
        <v>488</v>
      </c>
      <c r="N139" s="300">
        <v>3.45</v>
      </c>
      <c r="O139" s="300">
        <v>3.45</v>
      </c>
      <c r="P139" s="300">
        <v>3.45</v>
      </c>
      <c r="Q139" s="300">
        <v>3.45</v>
      </c>
      <c r="R139" s="404">
        <v>4.05</v>
      </c>
      <c r="S139" s="404">
        <v>4.05</v>
      </c>
      <c r="T139" s="404">
        <v>4.05</v>
      </c>
      <c r="U139" s="404">
        <v>4.05</v>
      </c>
      <c r="V139" s="404">
        <v>4.05</v>
      </c>
      <c r="W139" s="404">
        <v>4.05</v>
      </c>
      <c r="X139" s="404">
        <v>4.05</v>
      </c>
      <c r="Y139" s="404">
        <v>4.05</v>
      </c>
      <c r="Z139" s="59">
        <v>0.35000000000000009</v>
      </c>
      <c r="AA139" s="59">
        <v>0.35000000000000009</v>
      </c>
      <c r="AB139" s="59">
        <v>0.35000000000000009</v>
      </c>
      <c r="AC139" s="59">
        <v>0.35000000000000009</v>
      </c>
      <c r="AD139" s="402">
        <v>0.44999999999999973</v>
      </c>
      <c r="AE139" s="402">
        <v>0.44999999999999973</v>
      </c>
      <c r="AF139" s="402">
        <v>0.44999999999999973</v>
      </c>
      <c r="AG139" s="402">
        <v>0.44999999999999973</v>
      </c>
      <c r="AH139" s="402">
        <v>0.44999999999999973</v>
      </c>
      <c r="AI139" s="402">
        <v>0.44999999999999973</v>
      </c>
      <c r="AJ139" s="402">
        <v>0.44999999999999973</v>
      </c>
      <c r="AK139" s="402">
        <v>0.44999999999999973</v>
      </c>
      <c r="AL139" s="255"/>
      <c r="AM139" s="254">
        <f t="shared" si="12"/>
        <v>0</v>
      </c>
      <c r="AN139" s="255"/>
      <c r="AO139" s="254">
        <f t="shared" si="13"/>
        <v>0</v>
      </c>
      <c r="AP139" s="255"/>
      <c r="AQ139" s="254">
        <f t="shared" si="14"/>
        <v>0</v>
      </c>
      <c r="AR139" s="255"/>
      <c r="AS139" s="257">
        <f t="shared" si="15"/>
        <v>0</v>
      </c>
      <c r="AT139" s="255"/>
      <c r="AU139" s="257">
        <f t="shared" si="16"/>
        <v>0</v>
      </c>
      <c r="AV139" s="388"/>
      <c r="AW139" s="257">
        <f t="shared" si="17"/>
        <v>0</v>
      </c>
      <c r="AX139" s="255"/>
      <c r="AY139" s="257">
        <f t="shared" si="18"/>
        <v>0</v>
      </c>
      <c r="AZ139" s="255"/>
      <c r="BA139" s="257">
        <f t="shared" si="19"/>
        <v>0</v>
      </c>
      <c r="BB139" s="255"/>
      <c r="BC139" s="257">
        <f t="shared" si="20"/>
        <v>0</v>
      </c>
      <c r="BD139" s="255"/>
      <c r="BE139" s="257">
        <f t="shared" si="21"/>
        <v>0</v>
      </c>
      <c r="BF139" s="255"/>
      <c r="BG139" s="257">
        <f t="shared" si="22"/>
        <v>0</v>
      </c>
      <c r="BH139" s="255"/>
      <c r="BI139" s="257">
        <f t="shared" si="23"/>
        <v>0</v>
      </c>
      <c r="BJ139" s="1" t="s">
        <v>1006</v>
      </c>
      <c r="BL139" s="1" t="s">
        <v>457</v>
      </c>
      <c r="BM139" s="1" t="s">
        <v>1007</v>
      </c>
    </row>
    <row r="140" spans="1:65" ht="15.75" customHeight="1">
      <c r="A140" s="250" t="s">
        <v>951</v>
      </c>
      <c r="B140" s="59" t="s">
        <v>341</v>
      </c>
      <c r="C140" s="354" t="s">
        <v>172</v>
      </c>
      <c r="D140" s="424"/>
      <c r="E140" s="357" t="s">
        <v>173</v>
      </c>
      <c r="F140" s="421"/>
      <c r="G140" s="317">
        <v>2026</v>
      </c>
      <c r="H140" s="59" t="s">
        <v>988</v>
      </c>
      <c r="I140" s="315" t="s">
        <v>357</v>
      </c>
      <c r="J140" s="317">
        <v>14</v>
      </c>
      <c r="K140" s="59" t="s">
        <v>1008</v>
      </c>
      <c r="L140" s="298" t="s">
        <v>464</v>
      </c>
      <c r="M140" s="300" t="s">
        <v>488</v>
      </c>
      <c r="N140" s="300">
        <v>3.45</v>
      </c>
      <c r="O140" s="300">
        <v>3.45</v>
      </c>
      <c r="P140" s="300">
        <v>3.45</v>
      </c>
      <c r="Q140" s="300">
        <v>3.45</v>
      </c>
      <c r="R140" s="404">
        <v>4.05</v>
      </c>
      <c r="S140" s="404">
        <v>4.05</v>
      </c>
      <c r="T140" s="404">
        <v>4.05</v>
      </c>
      <c r="U140" s="404">
        <v>4.05</v>
      </c>
      <c r="V140" s="404">
        <v>4.05</v>
      </c>
      <c r="W140" s="404">
        <v>4.05</v>
      </c>
      <c r="X140" s="404">
        <v>4.05</v>
      </c>
      <c r="Y140" s="404">
        <v>4.05</v>
      </c>
      <c r="Z140" s="59">
        <v>0.35000000000000009</v>
      </c>
      <c r="AA140" s="59">
        <v>0.35000000000000009</v>
      </c>
      <c r="AB140" s="59">
        <v>0.35000000000000009</v>
      </c>
      <c r="AC140" s="59">
        <v>0.35000000000000009</v>
      </c>
      <c r="AD140" s="402">
        <v>0.44999999999999973</v>
      </c>
      <c r="AE140" s="402">
        <v>0.44999999999999973</v>
      </c>
      <c r="AF140" s="402">
        <v>0.44999999999999973</v>
      </c>
      <c r="AG140" s="402">
        <v>0.44999999999999973</v>
      </c>
      <c r="AH140" s="402">
        <v>0.44999999999999973</v>
      </c>
      <c r="AI140" s="402">
        <v>0.44999999999999973</v>
      </c>
      <c r="AJ140" s="402">
        <v>0.44999999999999973</v>
      </c>
      <c r="AK140" s="402">
        <v>0.44999999999999973</v>
      </c>
      <c r="AL140" s="255"/>
      <c r="AM140" s="254">
        <f t="shared" si="12"/>
        <v>0</v>
      </c>
      <c r="AN140" s="255"/>
      <c r="AO140" s="254">
        <f t="shared" si="13"/>
        <v>0</v>
      </c>
      <c r="AP140" s="255"/>
      <c r="AQ140" s="254">
        <f t="shared" si="14"/>
        <v>0</v>
      </c>
      <c r="AR140" s="255"/>
      <c r="AS140" s="257">
        <f t="shared" si="15"/>
        <v>0</v>
      </c>
      <c r="AT140" s="255"/>
      <c r="AU140" s="257">
        <f t="shared" si="16"/>
        <v>0</v>
      </c>
      <c r="AV140" s="388"/>
      <c r="AW140" s="257">
        <f t="shared" si="17"/>
        <v>0</v>
      </c>
      <c r="AX140" s="255"/>
      <c r="AY140" s="257">
        <f t="shared" si="18"/>
        <v>0</v>
      </c>
      <c r="AZ140" s="255"/>
      <c r="BA140" s="257">
        <f t="shared" si="19"/>
        <v>0</v>
      </c>
      <c r="BB140" s="255"/>
      <c r="BC140" s="257">
        <f t="shared" si="20"/>
        <v>0</v>
      </c>
      <c r="BD140" s="255"/>
      <c r="BE140" s="257">
        <f t="shared" si="21"/>
        <v>0</v>
      </c>
      <c r="BF140" s="255"/>
      <c r="BG140" s="257">
        <f t="shared" si="22"/>
        <v>0</v>
      </c>
      <c r="BH140" s="255"/>
      <c r="BI140" s="257">
        <f t="shared" si="23"/>
        <v>0</v>
      </c>
      <c r="BJ140" s="1" t="s">
        <v>1009</v>
      </c>
      <c r="BL140" s="1" t="s">
        <v>457</v>
      </c>
      <c r="BM140" s="1" t="s">
        <v>1010</v>
      </c>
    </row>
    <row r="141" spans="1:65" ht="15.75" customHeight="1">
      <c r="A141" s="250" t="s">
        <v>951</v>
      </c>
      <c r="B141" s="59" t="s">
        <v>341</v>
      </c>
      <c r="C141" s="354" t="s">
        <v>172</v>
      </c>
      <c r="D141" s="424"/>
      <c r="E141" s="357" t="s">
        <v>173</v>
      </c>
      <c r="F141" s="421"/>
      <c r="G141" s="317">
        <v>2026</v>
      </c>
      <c r="H141" s="59" t="s">
        <v>988</v>
      </c>
      <c r="I141" s="315" t="s">
        <v>357</v>
      </c>
      <c r="J141" s="317">
        <v>14</v>
      </c>
      <c r="K141" s="59" t="s">
        <v>1011</v>
      </c>
      <c r="L141" s="298" t="s">
        <v>464</v>
      </c>
      <c r="M141" s="300" t="s">
        <v>488</v>
      </c>
      <c r="N141" s="300">
        <v>3.45</v>
      </c>
      <c r="O141" s="300">
        <v>3.45</v>
      </c>
      <c r="P141" s="300">
        <v>3.45</v>
      </c>
      <c r="Q141" s="300">
        <v>3.45</v>
      </c>
      <c r="R141" s="404">
        <v>4.05</v>
      </c>
      <c r="S141" s="404">
        <v>4.05</v>
      </c>
      <c r="T141" s="404">
        <v>4.05</v>
      </c>
      <c r="U141" s="404">
        <v>4.05</v>
      </c>
      <c r="V141" s="404">
        <v>4.05</v>
      </c>
      <c r="W141" s="404">
        <v>4.05</v>
      </c>
      <c r="X141" s="404">
        <v>4.05</v>
      </c>
      <c r="Y141" s="404">
        <v>4.05</v>
      </c>
      <c r="Z141" s="59">
        <v>0.35000000000000009</v>
      </c>
      <c r="AA141" s="59">
        <v>0.35000000000000009</v>
      </c>
      <c r="AB141" s="59">
        <v>0.35000000000000009</v>
      </c>
      <c r="AC141" s="59">
        <v>0.35000000000000009</v>
      </c>
      <c r="AD141" s="402">
        <v>0.44999999999999973</v>
      </c>
      <c r="AE141" s="402">
        <v>0.44999999999999973</v>
      </c>
      <c r="AF141" s="402">
        <v>0.44999999999999973</v>
      </c>
      <c r="AG141" s="402">
        <v>0.44999999999999973</v>
      </c>
      <c r="AH141" s="402">
        <v>0.44999999999999973</v>
      </c>
      <c r="AI141" s="402">
        <v>0.44999999999999973</v>
      </c>
      <c r="AJ141" s="402">
        <v>0.44999999999999973</v>
      </c>
      <c r="AK141" s="402">
        <v>0.44999999999999973</v>
      </c>
      <c r="AL141" s="255"/>
      <c r="AM141" s="254">
        <f t="shared" si="12"/>
        <v>0</v>
      </c>
      <c r="AN141" s="255"/>
      <c r="AO141" s="254">
        <f t="shared" si="13"/>
        <v>0</v>
      </c>
      <c r="AP141" s="255"/>
      <c r="AQ141" s="254">
        <f t="shared" si="14"/>
        <v>0</v>
      </c>
      <c r="AR141" s="255"/>
      <c r="AS141" s="257">
        <f t="shared" si="15"/>
        <v>0</v>
      </c>
      <c r="AT141" s="255"/>
      <c r="AU141" s="257">
        <f t="shared" si="16"/>
        <v>0</v>
      </c>
      <c r="AV141" s="388"/>
      <c r="AW141" s="257">
        <f t="shared" si="17"/>
        <v>0</v>
      </c>
      <c r="AX141" s="255"/>
      <c r="AY141" s="257">
        <f t="shared" si="18"/>
        <v>0</v>
      </c>
      <c r="AZ141" s="255"/>
      <c r="BA141" s="257">
        <f t="shared" si="19"/>
        <v>0</v>
      </c>
      <c r="BB141" s="255"/>
      <c r="BC141" s="257">
        <f t="shared" si="20"/>
        <v>0</v>
      </c>
      <c r="BD141" s="255"/>
      <c r="BE141" s="257">
        <f t="shared" si="21"/>
        <v>0</v>
      </c>
      <c r="BF141" s="255"/>
      <c r="BG141" s="257">
        <f t="shared" si="22"/>
        <v>0</v>
      </c>
      <c r="BH141" s="255"/>
      <c r="BI141" s="257">
        <f t="shared" si="23"/>
        <v>0</v>
      </c>
      <c r="BJ141" s="1" t="s">
        <v>1012</v>
      </c>
      <c r="BL141" s="1" t="s">
        <v>457</v>
      </c>
      <c r="BM141" s="1" t="s">
        <v>1013</v>
      </c>
    </row>
    <row r="142" spans="1:65" ht="15.75" customHeight="1">
      <c r="A142" s="250" t="s">
        <v>951</v>
      </c>
      <c r="B142" s="59" t="s">
        <v>341</v>
      </c>
      <c r="C142" s="354" t="s">
        <v>172</v>
      </c>
      <c r="D142" s="424"/>
      <c r="E142" s="357" t="s">
        <v>173</v>
      </c>
      <c r="F142" s="421"/>
      <c r="G142" s="317"/>
      <c r="H142" s="59"/>
      <c r="I142" s="315"/>
      <c r="J142" s="317"/>
      <c r="K142" s="59"/>
      <c r="L142" s="298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255"/>
      <c r="AM142" s="254">
        <f t="shared" si="12"/>
        <v>0</v>
      </c>
      <c r="AN142" s="255"/>
      <c r="AO142" s="254">
        <f t="shared" si="13"/>
        <v>0</v>
      </c>
      <c r="AP142" s="255"/>
      <c r="AQ142" s="254">
        <f t="shared" si="14"/>
        <v>0</v>
      </c>
      <c r="AR142" s="255"/>
      <c r="AS142" s="257">
        <f t="shared" si="15"/>
        <v>0</v>
      </c>
      <c r="AT142" s="381"/>
      <c r="AU142" s="257">
        <f t="shared" si="16"/>
        <v>0</v>
      </c>
      <c r="AV142" s="388"/>
      <c r="AW142" s="257">
        <f t="shared" si="17"/>
        <v>0</v>
      </c>
      <c r="AX142" s="255"/>
      <c r="AY142" s="257">
        <f t="shared" si="18"/>
        <v>0</v>
      </c>
      <c r="AZ142" s="255"/>
      <c r="BA142" s="257">
        <f t="shared" si="19"/>
        <v>0</v>
      </c>
      <c r="BB142" s="255"/>
      <c r="BC142" s="257">
        <f t="shared" si="20"/>
        <v>0</v>
      </c>
      <c r="BD142" s="255"/>
      <c r="BE142" s="257">
        <f t="shared" si="21"/>
        <v>0</v>
      </c>
      <c r="BF142" s="255"/>
      <c r="BG142" s="257">
        <f t="shared" si="22"/>
        <v>0</v>
      </c>
      <c r="BH142" s="255"/>
      <c r="BI142" s="257">
        <f t="shared" si="23"/>
        <v>0</v>
      </c>
    </row>
    <row r="143" spans="1:65" ht="15.75" customHeight="1">
      <c r="A143" s="250" t="s">
        <v>951</v>
      </c>
      <c r="B143" s="59" t="s">
        <v>341</v>
      </c>
      <c r="C143" s="354" t="s">
        <v>172</v>
      </c>
      <c r="D143" s="424"/>
      <c r="E143" s="357" t="s">
        <v>173</v>
      </c>
      <c r="F143" s="421"/>
      <c r="G143" s="317"/>
      <c r="H143" s="59"/>
      <c r="I143" s="315"/>
      <c r="J143" s="317"/>
      <c r="K143" s="59"/>
      <c r="L143" s="298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255"/>
      <c r="AM143" s="254">
        <f t="shared" si="12"/>
        <v>0</v>
      </c>
      <c r="AN143" s="255"/>
      <c r="AO143" s="254">
        <f t="shared" si="13"/>
        <v>0</v>
      </c>
      <c r="AP143" s="255"/>
      <c r="AQ143" s="254">
        <f t="shared" si="14"/>
        <v>0</v>
      </c>
      <c r="AR143" s="255"/>
      <c r="AS143" s="257">
        <f t="shared" si="15"/>
        <v>0</v>
      </c>
      <c r="AT143" s="381"/>
      <c r="AU143" s="257">
        <f t="shared" si="16"/>
        <v>0</v>
      </c>
      <c r="AV143" s="388"/>
      <c r="AW143" s="257">
        <f t="shared" si="17"/>
        <v>0</v>
      </c>
      <c r="AX143" s="255"/>
      <c r="AY143" s="257">
        <f t="shared" si="18"/>
        <v>0</v>
      </c>
      <c r="AZ143" s="255"/>
      <c r="BA143" s="257">
        <f t="shared" si="19"/>
        <v>0</v>
      </c>
      <c r="BB143" s="255"/>
      <c r="BC143" s="257">
        <f t="shared" si="20"/>
        <v>0</v>
      </c>
      <c r="BD143" s="255"/>
      <c r="BE143" s="257">
        <f t="shared" si="21"/>
        <v>0</v>
      </c>
      <c r="BF143" s="255"/>
      <c r="BG143" s="257">
        <f t="shared" si="22"/>
        <v>0</v>
      </c>
      <c r="BH143" s="255"/>
      <c r="BI143" s="257">
        <f t="shared" si="23"/>
        <v>0</v>
      </c>
    </row>
    <row r="144" spans="1:65" ht="15" customHeight="1">
      <c r="A144" s="250" t="s">
        <v>951</v>
      </c>
      <c r="C144" s="354"/>
      <c r="D144" s="424"/>
      <c r="E144" s="357"/>
      <c r="F144" s="417"/>
      <c r="G144" s="317"/>
      <c r="H144" s="59"/>
      <c r="I144" s="315"/>
      <c r="J144" s="317"/>
      <c r="K144" s="59"/>
      <c r="L144" s="298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255"/>
      <c r="AM144" s="254">
        <f t="shared" si="12"/>
        <v>0</v>
      </c>
      <c r="AN144" s="255"/>
      <c r="AO144" s="254">
        <f t="shared" si="13"/>
        <v>0</v>
      </c>
      <c r="AP144" s="255"/>
      <c r="AQ144" s="254">
        <f t="shared" si="14"/>
        <v>0</v>
      </c>
      <c r="AR144" s="256"/>
      <c r="AS144" s="257">
        <f t="shared" si="15"/>
        <v>0</v>
      </c>
      <c r="AT144" s="382"/>
      <c r="AU144" s="257">
        <f t="shared" si="16"/>
        <v>0</v>
      </c>
      <c r="AV144" s="268"/>
      <c r="AW144" s="257">
        <f t="shared" si="17"/>
        <v>0</v>
      </c>
      <c r="AX144" s="268"/>
      <c r="AY144" s="257">
        <f t="shared" si="18"/>
        <v>0</v>
      </c>
      <c r="AZ144" s="268"/>
      <c r="BA144" s="257">
        <f t="shared" si="19"/>
        <v>0</v>
      </c>
      <c r="BB144" s="268"/>
      <c r="BC144" s="257">
        <f t="shared" si="20"/>
        <v>0</v>
      </c>
      <c r="BD144" s="59"/>
      <c r="BE144" s="257">
        <f t="shared" si="21"/>
        <v>0</v>
      </c>
      <c r="BF144" s="59"/>
      <c r="BG144" s="257">
        <f t="shared" si="22"/>
        <v>0</v>
      </c>
      <c r="BH144" s="59"/>
      <c r="BI144" s="257">
        <f t="shared" si="23"/>
        <v>0</v>
      </c>
    </row>
    <row r="145" spans="1:65" ht="17.25" customHeight="1">
      <c r="A145" s="250" t="s">
        <v>951</v>
      </c>
      <c r="B145" s="59" t="s">
        <v>1014</v>
      </c>
      <c r="C145" s="354" t="s">
        <v>172</v>
      </c>
      <c r="D145" s="424"/>
      <c r="E145" s="357" t="s">
        <v>214</v>
      </c>
      <c r="F145" s="421" t="s">
        <v>215</v>
      </c>
      <c r="G145" s="317">
        <v>2019</v>
      </c>
      <c r="H145" s="59" t="s">
        <v>364</v>
      </c>
      <c r="I145" s="315" t="s">
        <v>190</v>
      </c>
      <c r="J145" s="318" t="s">
        <v>217</v>
      </c>
      <c r="K145" s="59" t="s">
        <v>217</v>
      </c>
      <c r="L145" s="298" t="s">
        <v>177</v>
      </c>
      <c r="M145" s="303" t="s">
        <v>589</v>
      </c>
      <c r="N145" s="303">
        <v>5.93</v>
      </c>
      <c r="O145" s="303">
        <v>5.93</v>
      </c>
      <c r="P145" s="303">
        <v>5.93</v>
      </c>
      <c r="Q145" s="303">
        <v>5.93</v>
      </c>
      <c r="R145" s="303">
        <v>5.93</v>
      </c>
      <c r="S145" s="303">
        <v>5.93</v>
      </c>
      <c r="T145" s="303">
        <v>5.93</v>
      </c>
      <c r="U145" s="303">
        <v>5.93</v>
      </c>
      <c r="V145" s="303">
        <v>5.93</v>
      </c>
      <c r="W145" s="303">
        <v>5.93</v>
      </c>
      <c r="X145" s="303">
        <v>5.93</v>
      </c>
      <c r="Y145" s="303">
        <v>5.93</v>
      </c>
      <c r="Z145" s="304">
        <v>0.37</v>
      </c>
      <c r="AA145" s="304">
        <v>0.37</v>
      </c>
      <c r="AB145" s="304">
        <v>0.37</v>
      </c>
      <c r="AC145" s="304">
        <v>0.37</v>
      </c>
      <c r="AD145" s="304">
        <v>0.37</v>
      </c>
      <c r="AE145" s="304">
        <v>0.37</v>
      </c>
      <c r="AF145" s="304">
        <v>0.37</v>
      </c>
      <c r="AG145" s="304">
        <v>0.37</v>
      </c>
      <c r="AH145" s="304">
        <v>0.37</v>
      </c>
      <c r="AI145" s="304">
        <v>0.37</v>
      </c>
      <c r="AJ145" s="304">
        <v>0.37</v>
      </c>
      <c r="AK145" s="304">
        <v>0.37</v>
      </c>
      <c r="AL145" s="255"/>
      <c r="AM145" s="254">
        <f t="shared" si="12"/>
        <v>0</v>
      </c>
      <c r="AN145" s="255"/>
      <c r="AO145" s="254">
        <f t="shared" si="13"/>
        <v>0</v>
      </c>
      <c r="AP145" s="255"/>
      <c r="AQ145" s="254">
        <f t="shared" si="14"/>
        <v>0</v>
      </c>
      <c r="AR145" s="255"/>
      <c r="AS145" s="257">
        <f t="shared" si="15"/>
        <v>0</v>
      </c>
      <c r="AT145" s="381"/>
      <c r="AU145" s="257">
        <f t="shared" si="16"/>
        <v>0</v>
      </c>
      <c r="AV145" s="388"/>
      <c r="AW145" s="257">
        <f t="shared" si="17"/>
        <v>0</v>
      </c>
      <c r="AX145" s="255"/>
      <c r="AY145" s="257">
        <f t="shared" si="18"/>
        <v>0</v>
      </c>
      <c r="AZ145" s="255"/>
      <c r="BA145" s="257">
        <f t="shared" si="19"/>
        <v>0</v>
      </c>
      <c r="BB145" s="255"/>
      <c r="BC145" s="257">
        <f t="shared" si="20"/>
        <v>0</v>
      </c>
      <c r="BD145" s="255"/>
      <c r="BE145" s="257">
        <f t="shared" si="21"/>
        <v>0</v>
      </c>
      <c r="BF145" s="255"/>
      <c r="BG145" s="257">
        <f t="shared" si="22"/>
        <v>0</v>
      </c>
      <c r="BH145" s="255"/>
      <c r="BI145" s="257">
        <f t="shared" si="23"/>
        <v>0</v>
      </c>
      <c r="BJ145" s="1" t="s">
        <v>590</v>
      </c>
      <c r="BL145" s="1" t="s">
        <v>457</v>
      </c>
      <c r="BM145" s="379" t="s">
        <v>591</v>
      </c>
    </row>
    <row r="146" spans="1:65" ht="17.25" customHeight="1">
      <c r="A146" s="250" t="s">
        <v>951</v>
      </c>
      <c r="B146" s="59" t="s">
        <v>1014</v>
      </c>
      <c r="C146" s="354" t="s">
        <v>172</v>
      </c>
      <c r="D146" s="424"/>
      <c r="E146" s="357" t="s">
        <v>214</v>
      </c>
      <c r="F146" s="421"/>
      <c r="G146" s="317">
        <v>2021</v>
      </c>
      <c r="H146" s="59" t="s">
        <v>365</v>
      </c>
      <c r="I146" s="315" t="s">
        <v>190</v>
      </c>
      <c r="J146" s="318" t="s">
        <v>217</v>
      </c>
      <c r="K146" s="59" t="s">
        <v>217</v>
      </c>
      <c r="L146" s="59" t="s">
        <v>177</v>
      </c>
      <c r="M146" s="303" t="s">
        <v>592</v>
      </c>
      <c r="N146" s="303">
        <v>4.88</v>
      </c>
      <c r="O146" s="303">
        <v>4.88</v>
      </c>
      <c r="P146" s="303">
        <v>4.88</v>
      </c>
      <c r="Q146" s="303">
        <v>4.88</v>
      </c>
      <c r="R146" s="401">
        <v>5.38</v>
      </c>
      <c r="S146" s="401">
        <v>5.38</v>
      </c>
      <c r="T146" s="401">
        <v>5.38</v>
      </c>
      <c r="U146" s="401">
        <v>5.38</v>
      </c>
      <c r="V146" s="401">
        <v>5.38</v>
      </c>
      <c r="W146" s="401">
        <v>5.38</v>
      </c>
      <c r="X146" s="401">
        <v>5.38</v>
      </c>
      <c r="Y146" s="401">
        <v>5.38</v>
      </c>
      <c r="Z146" s="304">
        <v>0.23</v>
      </c>
      <c r="AA146" s="304">
        <v>0.23</v>
      </c>
      <c r="AB146" s="304">
        <v>0.23</v>
      </c>
      <c r="AC146" s="304">
        <v>0.23</v>
      </c>
      <c r="AD146" s="403">
        <v>0.51999999999999957</v>
      </c>
      <c r="AE146" s="403">
        <v>0.51999999999999957</v>
      </c>
      <c r="AF146" s="403">
        <v>0.51999999999999957</v>
      </c>
      <c r="AG146" s="403">
        <v>0.51999999999999957</v>
      </c>
      <c r="AH146" s="403">
        <v>0.51999999999999957</v>
      </c>
      <c r="AI146" s="403">
        <v>0.51999999999999957</v>
      </c>
      <c r="AJ146" s="403">
        <v>0.51999999999999957</v>
      </c>
      <c r="AK146" s="403">
        <v>0.51999999999999957</v>
      </c>
      <c r="AL146" s="255">
        <v>300</v>
      </c>
      <c r="AM146" s="254">
        <f t="shared" si="12"/>
        <v>69</v>
      </c>
      <c r="AN146" s="255">
        <v>624</v>
      </c>
      <c r="AO146" s="254">
        <f t="shared" si="13"/>
        <v>143.52000000000001</v>
      </c>
      <c r="AP146" s="255">
        <v>132</v>
      </c>
      <c r="AQ146" s="254">
        <f t="shared" si="14"/>
        <v>30.360000000000003</v>
      </c>
      <c r="AR146" s="255">
        <v>228</v>
      </c>
      <c r="AS146" s="257">
        <f t="shared" si="15"/>
        <v>52.440000000000005</v>
      </c>
      <c r="AT146" s="255">
        <v>2172</v>
      </c>
      <c r="AU146" s="257">
        <f t="shared" si="16"/>
        <v>1129.4399999999991</v>
      </c>
      <c r="AV146" s="255">
        <v>1000</v>
      </c>
      <c r="AW146" s="257">
        <f t="shared" si="17"/>
        <v>519.99999999999955</v>
      </c>
      <c r="AX146" s="255">
        <v>1000</v>
      </c>
      <c r="AY146" s="257">
        <f t="shared" si="18"/>
        <v>519.99999999999955</v>
      </c>
      <c r="AZ146" s="255">
        <v>1000</v>
      </c>
      <c r="BA146" s="257">
        <f t="shared" si="19"/>
        <v>519.99999999999955</v>
      </c>
      <c r="BB146" s="255">
        <v>1000</v>
      </c>
      <c r="BC146" s="257">
        <f t="shared" si="20"/>
        <v>519.99999999999955</v>
      </c>
      <c r="BD146" s="255">
        <v>1000</v>
      </c>
      <c r="BE146" s="257">
        <f t="shared" si="21"/>
        <v>519.99999999999955</v>
      </c>
      <c r="BF146" s="255">
        <v>1000</v>
      </c>
      <c r="BG146" s="257">
        <f t="shared" si="22"/>
        <v>519.99999999999955</v>
      </c>
      <c r="BH146" s="255">
        <v>1000</v>
      </c>
      <c r="BI146" s="257">
        <f t="shared" si="23"/>
        <v>519.99999999999955</v>
      </c>
      <c r="BJ146" s="1" t="s">
        <v>593</v>
      </c>
      <c r="BL146" s="1" t="s">
        <v>457</v>
      </c>
      <c r="BM146" s="1" t="s">
        <v>594</v>
      </c>
    </row>
    <row r="147" spans="1:65" ht="17.25" customHeight="1">
      <c r="A147" s="250" t="s">
        <v>951</v>
      </c>
      <c r="B147" s="59" t="s">
        <v>1014</v>
      </c>
      <c r="C147" s="354" t="s">
        <v>172</v>
      </c>
      <c r="D147" s="424"/>
      <c r="E147" s="357" t="s">
        <v>214</v>
      </c>
      <c r="F147" s="421"/>
      <c r="G147" s="317">
        <v>2021</v>
      </c>
      <c r="H147" s="59" t="s">
        <v>365</v>
      </c>
      <c r="I147" s="315" t="s">
        <v>190</v>
      </c>
      <c r="J147" s="318" t="s">
        <v>217</v>
      </c>
      <c r="K147" s="59" t="s">
        <v>217</v>
      </c>
      <c r="L147" s="59" t="s">
        <v>177</v>
      </c>
      <c r="M147" s="303" t="s">
        <v>455</v>
      </c>
      <c r="N147" s="303">
        <v>4.88</v>
      </c>
      <c r="O147" s="303">
        <v>4.88</v>
      </c>
      <c r="P147" s="303">
        <v>4.88</v>
      </c>
      <c r="Q147" s="303">
        <v>4.88</v>
      </c>
      <c r="R147" s="401">
        <v>5.38</v>
      </c>
      <c r="S147" s="401">
        <v>5.38</v>
      </c>
      <c r="T147" s="401">
        <v>5.38</v>
      </c>
      <c r="U147" s="401">
        <v>5.38</v>
      </c>
      <c r="V147" s="401">
        <v>5.38</v>
      </c>
      <c r="W147" s="401">
        <v>5.38</v>
      </c>
      <c r="X147" s="401">
        <v>5.38</v>
      </c>
      <c r="Y147" s="401">
        <v>5.38</v>
      </c>
      <c r="Z147" s="304">
        <v>0.23</v>
      </c>
      <c r="AA147" s="304">
        <v>0.23</v>
      </c>
      <c r="AB147" s="304">
        <v>0.23</v>
      </c>
      <c r="AC147" s="304">
        <v>0.23</v>
      </c>
      <c r="AD147" s="403">
        <v>0.51999999999999957</v>
      </c>
      <c r="AE147" s="403">
        <v>0.51999999999999957</v>
      </c>
      <c r="AF147" s="403">
        <v>0.51999999999999957</v>
      </c>
      <c r="AG147" s="403">
        <v>0.51999999999999957</v>
      </c>
      <c r="AH147" s="403">
        <v>0.51999999999999957</v>
      </c>
      <c r="AI147" s="403">
        <v>0.51999999999999957</v>
      </c>
      <c r="AJ147" s="403">
        <v>0.51999999999999957</v>
      </c>
      <c r="AK147" s="403">
        <v>0.51999999999999957</v>
      </c>
      <c r="AL147" s="255">
        <v>1488</v>
      </c>
      <c r="AM147" s="254">
        <f t="shared" si="12"/>
        <v>342.24</v>
      </c>
      <c r="AN147" s="255">
        <v>3192</v>
      </c>
      <c r="AO147" s="254">
        <f t="shared" si="13"/>
        <v>734.16000000000008</v>
      </c>
      <c r="AP147" s="255">
        <v>1212</v>
      </c>
      <c r="AQ147" s="254">
        <f t="shared" si="14"/>
        <v>278.76</v>
      </c>
      <c r="AR147" s="255">
        <v>1404</v>
      </c>
      <c r="AS147" s="257">
        <f t="shared" si="15"/>
        <v>322.92</v>
      </c>
      <c r="AT147" s="255">
        <v>5796</v>
      </c>
      <c r="AU147" s="257">
        <f t="shared" si="16"/>
        <v>3013.9199999999973</v>
      </c>
      <c r="AV147" s="255">
        <v>2000</v>
      </c>
      <c r="AW147" s="257">
        <f t="shared" si="17"/>
        <v>1039.9999999999991</v>
      </c>
      <c r="AX147" s="255">
        <v>2000</v>
      </c>
      <c r="AY147" s="257">
        <f t="shared" si="18"/>
        <v>1039.9999999999991</v>
      </c>
      <c r="AZ147" s="255">
        <v>2000</v>
      </c>
      <c r="BA147" s="257">
        <f t="shared" si="19"/>
        <v>1039.9999999999991</v>
      </c>
      <c r="BB147" s="255">
        <v>2000</v>
      </c>
      <c r="BC147" s="257">
        <f t="shared" si="20"/>
        <v>1039.9999999999991</v>
      </c>
      <c r="BD147" s="255">
        <v>2000</v>
      </c>
      <c r="BE147" s="257">
        <f t="shared" si="21"/>
        <v>1039.9999999999991</v>
      </c>
      <c r="BF147" s="255">
        <v>2000</v>
      </c>
      <c r="BG147" s="257">
        <f t="shared" si="22"/>
        <v>1039.9999999999991</v>
      </c>
      <c r="BH147" s="255">
        <v>2000</v>
      </c>
      <c r="BI147" s="257">
        <f t="shared" si="23"/>
        <v>1039.9999999999991</v>
      </c>
      <c r="BJ147" s="1" t="s">
        <v>593</v>
      </c>
      <c r="BL147" s="1" t="s">
        <v>457</v>
      </c>
      <c r="BM147" s="1" t="s">
        <v>594</v>
      </c>
    </row>
    <row r="148" spans="1:65" ht="17.25" customHeight="1">
      <c r="A148" s="250" t="s">
        <v>951</v>
      </c>
      <c r="B148" s="59" t="s">
        <v>1014</v>
      </c>
      <c r="C148" s="354" t="s">
        <v>172</v>
      </c>
      <c r="D148" s="424"/>
      <c r="E148" s="357" t="s">
        <v>214</v>
      </c>
      <c r="F148" s="421"/>
      <c r="G148" s="317">
        <v>2021</v>
      </c>
      <c r="H148" s="59" t="s">
        <v>365</v>
      </c>
      <c r="I148" s="315" t="s">
        <v>190</v>
      </c>
      <c r="J148" s="318" t="s">
        <v>217</v>
      </c>
      <c r="K148" s="59" t="s">
        <v>217</v>
      </c>
      <c r="L148" s="59" t="s">
        <v>177</v>
      </c>
      <c r="M148" s="303" t="s">
        <v>595</v>
      </c>
      <c r="N148" s="303">
        <v>4.96</v>
      </c>
      <c r="O148" s="303">
        <v>4.96</v>
      </c>
      <c r="P148" s="303">
        <v>4.96</v>
      </c>
      <c r="Q148" s="303">
        <v>4.96</v>
      </c>
      <c r="R148" s="401">
        <v>5.46</v>
      </c>
      <c r="S148" s="401">
        <v>5.46</v>
      </c>
      <c r="T148" s="401">
        <v>5.46</v>
      </c>
      <c r="U148" s="401">
        <v>5.46</v>
      </c>
      <c r="V148" s="401">
        <v>5.46</v>
      </c>
      <c r="W148" s="401">
        <v>5.46</v>
      </c>
      <c r="X148" s="401">
        <v>5.46</v>
      </c>
      <c r="Y148" s="401">
        <v>5.46</v>
      </c>
      <c r="Z148" s="304">
        <v>0.23</v>
      </c>
      <c r="AA148" s="304">
        <v>0.23</v>
      </c>
      <c r="AB148" s="304">
        <v>0.23</v>
      </c>
      <c r="AC148" s="304">
        <v>0.23</v>
      </c>
      <c r="AD148" s="403">
        <v>0.51999999999999957</v>
      </c>
      <c r="AE148" s="403">
        <v>0.51999999999999957</v>
      </c>
      <c r="AF148" s="403">
        <v>0.51999999999999957</v>
      </c>
      <c r="AG148" s="403">
        <v>0.51999999999999957</v>
      </c>
      <c r="AH148" s="403">
        <v>0.51999999999999957</v>
      </c>
      <c r="AI148" s="403">
        <v>0.51999999999999957</v>
      </c>
      <c r="AJ148" s="403">
        <v>0.51999999999999957</v>
      </c>
      <c r="AK148" s="403">
        <v>0.51999999999999957</v>
      </c>
      <c r="AL148" s="255">
        <v>3564</v>
      </c>
      <c r="AM148" s="254">
        <f t="shared" si="12"/>
        <v>819.72</v>
      </c>
      <c r="AN148" s="255">
        <v>3732</v>
      </c>
      <c r="AO148" s="254">
        <f t="shared" si="13"/>
        <v>858.36</v>
      </c>
      <c r="AP148" s="255">
        <v>660</v>
      </c>
      <c r="AQ148" s="254">
        <f t="shared" si="14"/>
        <v>151.80000000000001</v>
      </c>
      <c r="AR148" s="255">
        <v>924</v>
      </c>
      <c r="AS148" s="257">
        <f t="shared" si="15"/>
        <v>212.52</v>
      </c>
      <c r="AT148" s="255">
        <v>4548</v>
      </c>
      <c r="AU148" s="257">
        <f t="shared" si="16"/>
        <v>2364.9599999999982</v>
      </c>
      <c r="AV148" s="255">
        <v>5000</v>
      </c>
      <c r="AW148" s="257">
        <f t="shared" si="17"/>
        <v>2599.9999999999977</v>
      </c>
      <c r="AX148" s="255">
        <v>5000</v>
      </c>
      <c r="AY148" s="257">
        <f t="shared" si="18"/>
        <v>2599.9999999999977</v>
      </c>
      <c r="AZ148" s="255">
        <v>5000</v>
      </c>
      <c r="BA148" s="257">
        <f t="shared" si="19"/>
        <v>2599.9999999999977</v>
      </c>
      <c r="BB148" s="255">
        <v>5000</v>
      </c>
      <c r="BC148" s="257">
        <f t="shared" si="20"/>
        <v>2599.9999999999977</v>
      </c>
      <c r="BD148" s="255">
        <v>5000</v>
      </c>
      <c r="BE148" s="257">
        <f t="shared" si="21"/>
        <v>2599.9999999999977</v>
      </c>
      <c r="BF148" s="255">
        <v>5000</v>
      </c>
      <c r="BG148" s="257">
        <f t="shared" si="22"/>
        <v>2599.9999999999977</v>
      </c>
      <c r="BH148" s="255">
        <v>5000</v>
      </c>
      <c r="BI148" s="257">
        <f t="shared" si="23"/>
        <v>2599.9999999999977</v>
      </c>
      <c r="BJ148" s="1" t="s">
        <v>593</v>
      </c>
      <c r="BL148" s="1" t="s">
        <v>457</v>
      </c>
      <c r="BM148" s="1" t="s">
        <v>596</v>
      </c>
    </row>
    <row r="149" spans="1:65" ht="17.25" customHeight="1">
      <c r="A149" s="250" t="s">
        <v>951</v>
      </c>
      <c r="B149" s="59" t="s">
        <v>1014</v>
      </c>
      <c r="C149" s="354" t="s">
        <v>172</v>
      </c>
      <c r="D149" s="424"/>
      <c r="E149" s="357" t="s">
        <v>214</v>
      </c>
      <c r="F149" s="421"/>
      <c r="G149" s="317">
        <v>2021</v>
      </c>
      <c r="H149" s="59" t="s">
        <v>365</v>
      </c>
      <c r="I149" s="315" t="s">
        <v>190</v>
      </c>
      <c r="J149" s="318" t="s">
        <v>217</v>
      </c>
      <c r="K149" s="59" t="s">
        <v>217</v>
      </c>
      <c r="L149" s="59" t="s">
        <v>177</v>
      </c>
      <c r="M149" s="303" t="s">
        <v>597</v>
      </c>
      <c r="N149" s="303">
        <v>4.88</v>
      </c>
      <c r="O149" s="303">
        <v>4.88</v>
      </c>
      <c r="P149" s="303">
        <v>4.88</v>
      </c>
      <c r="Q149" s="303">
        <v>4.88</v>
      </c>
      <c r="R149" s="401">
        <v>5.38</v>
      </c>
      <c r="S149" s="401">
        <v>5.38</v>
      </c>
      <c r="T149" s="401">
        <v>5.38</v>
      </c>
      <c r="U149" s="401">
        <v>5.38</v>
      </c>
      <c r="V149" s="401">
        <v>5.38</v>
      </c>
      <c r="W149" s="401">
        <v>5.38</v>
      </c>
      <c r="X149" s="401">
        <v>5.38</v>
      </c>
      <c r="Y149" s="401">
        <v>5.38</v>
      </c>
      <c r="Z149" s="304">
        <v>0.23</v>
      </c>
      <c r="AA149" s="304">
        <v>0.23</v>
      </c>
      <c r="AB149" s="304">
        <v>0.23</v>
      </c>
      <c r="AC149" s="304">
        <v>0.23</v>
      </c>
      <c r="AD149" s="403">
        <v>0.51999999999999957</v>
      </c>
      <c r="AE149" s="403">
        <v>0.51999999999999957</v>
      </c>
      <c r="AF149" s="403">
        <v>0.51999999999999957</v>
      </c>
      <c r="AG149" s="403">
        <v>0.51999999999999957</v>
      </c>
      <c r="AH149" s="403">
        <v>0.51999999999999957</v>
      </c>
      <c r="AI149" s="403">
        <v>0.51999999999999957</v>
      </c>
      <c r="AJ149" s="403">
        <v>0.51999999999999957</v>
      </c>
      <c r="AK149" s="403">
        <v>0.51999999999999957</v>
      </c>
      <c r="AL149" s="255">
        <v>3360</v>
      </c>
      <c r="AM149" s="254">
        <f t="shared" si="12"/>
        <v>772.80000000000007</v>
      </c>
      <c r="AN149" s="255">
        <v>12240</v>
      </c>
      <c r="AO149" s="254">
        <f t="shared" si="13"/>
        <v>2815.2000000000003</v>
      </c>
      <c r="AP149" s="255">
        <v>2916</v>
      </c>
      <c r="AQ149" s="254">
        <f t="shared" si="14"/>
        <v>670.68000000000006</v>
      </c>
      <c r="AR149" s="255">
        <v>2280</v>
      </c>
      <c r="AS149" s="257">
        <f t="shared" si="15"/>
        <v>524.4</v>
      </c>
      <c r="AT149" s="255">
        <v>2160</v>
      </c>
      <c r="AU149" s="257">
        <f t="shared" si="16"/>
        <v>1123.1999999999991</v>
      </c>
      <c r="AV149" s="255">
        <v>3000</v>
      </c>
      <c r="AW149" s="257">
        <f t="shared" si="17"/>
        <v>1559.9999999999986</v>
      </c>
      <c r="AX149" s="255">
        <v>3000</v>
      </c>
      <c r="AY149" s="257">
        <f t="shared" si="18"/>
        <v>1559.9999999999986</v>
      </c>
      <c r="AZ149" s="255">
        <v>4000</v>
      </c>
      <c r="BA149" s="257">
        <f t="shared" si="19"/>
        <v>2079.9999999999982</v>
      </c>
      <c r="BB149" s="255">
        <v>4000</v>
      </c>
      <c r="BC149" s="257">
        <f t="shared" si="20"/>
        <v>2079.9999999999982</v>
      </c>
      <c r="BD149" s="255">
        <v>3000</v>
      </c>
      <c r="BE149" s="257">
        <f t="shared" si="21"/>
        <v>1559.9999999999986</v>
      </c>
      <c r="BF149" s="255">
        <v>3000</v>
      </c>
      <c r="BG149" s="257">
        <f t="shared" si="22"/>
        <v>1559.9999999999986</v>
      </c>
      <c r="BH149" s="255">
        <v>3000</v>
      </c>
      <c r="BI149" s="257">
        <f t="shared" si="23"/>
        <v>1559.9999999999986</v>
      </c>
      <c r="BJ149" s="1" t="s">
        <v>593</v>
      </c>
      <c r="BL149" s="1" t="s">
        <v>457</v>
      </c>
      <c r="BM149" s="1" t="s">
        <v>596</v>
      </c>
    </row>
    <row r="150" spans="1:65" ht="17.25" customHeight="1">
      <c r="A150" s="250" t="s">
        <v>951</v>
      </c>
      <c r="B150" s="59" t="s">
        <v>1014</v>
      </c>
      <c r="C150" s="354" t="s">
        <v>172</v>
      </c>
      <c r="D150" s="424"/>
      <c r="E150" s="357" t="s">
        <v>214</v>
      </c>
      <c r="F150" s="421"/>
      <c r="G150" s="317">
        <v>2021</v>
      </c>
      <c r="H150" s="59" t="s">
        <v>365</v>
      </c>
      <c r="I150" s="315" t="s">
        <v>190</v>
      </c>
      <c r="J150" s="318" t="s">
        <v>217</v>
      </c>
      <c r="K150" s="59" t="s">
        <v>217</v>
      </c>
      <c r="L150" s="59" t="s">
        <v>177</v>
      </c>
      <c r="M150" s="303" t="s">
        <v>598</v>
      </c>
      <c r="N150" s="303">
        <v>4.88</v>
      </c>
      <c r="O150" s="303">
        <v>4.88</v>
      </c>
      <c r="P150" s="303">
        <v>4.88</v>
      </c>
      <c r="Q150" s="303">
        <v>4.88</v>
      </c>
      <c r="R150" s="401">
        <v>5.38</v>
      </c>
      <c r="S150" s="401">
        <v>5.38</v>
      </c>
      <c r="T150" s="401">
        <v>5.38</v>
      </c>
      <c r="U150" s="401">
        <v>5.38</v>
      </c>
      <c r="V150" s="401">
        <v>5.38</v>
      </c>
      <c r="W150" s="401">
        <v>5.38</v>
      </c>
      <c r="X150" s="401">
        <v>5.38</v>
      </c>
      <c r="Y150" s="401">
        <v>5.38</v>
      </c>
      <c r="Z150" s="304">
        <v>0.23</v>
      </c>
      <c r="AA150" s="304">
        <v>0.23</v>
      </c>
      <c r="AB150" s="304">
        <v>0.23</v>
      </c>
      <c r="AC150" s="304">
        <v>0.23</v>
      </c>
      <c r="AD150" s="403">
        <v>0.51999999999999957</v>
      </c>
      <c r="AE150" s="403">
        <v>0.51999999999999957</v>
      </c>
      <c r="AF150" s="403">
        <v>0.51999999999999957</v>
      </c>
      <c r="AG150" s="403">
        <v>0.51999999999999957</v>
      </c>
      <c r="AH150" s="403">
        <v>0.51999999999999957</v>
      </c>
      <c r="AI150" s="403">
        <v>0.51999999999999957</v>
      </c>
      <c r="AJ150" s="403">
        <v>0.51999999999999957</v>
      </c>
      <c r="AK150" s="403">
        <v>0.51999999999999957</v>
      </c>
      <c r="AL150" s="255">
        <v>1872</v>
      </c>
      <c r="AM150" s="254">
        <f t="shared" si="12"/>
        <v>430.56</v>
      </c>
      <c r="AN150" s="255">
        <v>1320</v>
      </c>
      <c r="AO150" s="254">
        <f t="shared" si="13"/>
        <v>303.60000000000002</v>
      </c>
      <c r="AP150" s="255">
        <v>384</v>
      </c>
      <c r="AQ150" s="254">
        <f t="shared" si="14"/>
        <v>88.320000000000007</v>
      </c>
      <c r="AR150" s="255">
        <v>252</v>
      </c>
      <c r="AS150" s="257">
        <f t="shared" si="15"/>
        <v>57.96</v>
      </c>
      <c r="AT150" s="255">
        <v>1680</v>
      </c>
      <c r="AU150" s="257">
        <f t="shared" si="16"/>
        <v>873.59999999999923</v>
      </c>
      <c r="AV150" s="255">
        <v>3000</v>
      </c>
      <c r="AW150" s="257">
        <f t="shared" si="17"/>
        <v>1559.9999999999986</v>
      </c>
      <c r="AX150" s="255">
        <v>3000</v>
      </c>
      <c r="AY150" s="257">
        <f t="shared" si="18"/>
        <v>1559.9999999999986</v>
      </c>
      <c r="AZ150" s="255">
        <v>4000</v>
      </c>
      <c r="BA150" s="257">
        <f t="shared" si="19"/>
        <v>2079.9999999999982</v>
      </c>
      <c r="BB150" s="255">
        <v>4000</v>
      </c>
      <c r="BC150" s="257">
        <f t="shared" si="20"/>
        <v>2079.9999999999982</v>
      </c>
      <c r="BD150" s="255">
        <v>4000</v>
      </c>
      <c r="BE150" s="257">
        <f t="shared" si="21"/>
        <v>2079.9999999999982</v>
      </c>
      <c r="BF150" s="255">
        <v>4000</v>
      </c>
      <c r="BG150" s="257">
        <f t="shared" si="22"/>
        <v>2079.9999999999982</v>
      </c>
      <c r="BH150" s="255">
        <v>3000</v>
      </c>
      <c r="BI150" s="257">
        <f t="shared" si="23"/>
        <v>1559.9999999999986</v>
      </c>
      <c r="BJ150" s="1" t="s">
        <v>593</v>
      </c>
      <c r="BL150" s="1" t="s">
        <v>457</v>
      </c>
      <c r="BM150" s="1" t="s">
        <v>596</v>
      </c>
    </row>
    <row r="151" spans="1:65" ht="17.25" customHeight="1">
      <c r="A151" s="250" t="s">
        <v>951</v>
      </c>
      <c r="B151" s="59" t="s">
        <v>1014</v>
      </c>
      <c r="C151" s="354" t="s">
        <v>172</v>
      </c>
      <c r="D151" s="424"/>
      <c r="E151" s="357" t="s">
        <v>214</v>
      </c>
      <c r="F151" s="421"/>
      <c r="G151" s="317">
        <v>2021</v>
      </c>
      <c r="H151" s="59" t="s">
        <v>365</v>
      </c>
      <c r="I151" s="315" t="s">
        <v>190</v>
      </c>
      <c r="J151" s="318" t="s">
        <v>217</v>
      </c>
      <c r="K151" s="59" t="s">
        <v>217</v>
      </c>
      <c r="L151" s="59" t="s">
        <v>177</v>
      </c>
      <c r="M151" s="303" t="s">
        <v>599</v>
      </c>
      <c r="N151" s="303">
        <v>4.88</v>
      </c>
      <c r="O151" s="303">
        <v>4.88</v>
      </c>
      <c r="P151" s="303">
        <v>4.88</v>
      </c>
      <c r="Q151" s="303">
        <v>4.88</v>
      </c>
      <c r="R151" s="401">
        <v>5.38</v>
      </c>
      <c r="S151" s="401">
        <v>5.38</v>
      </c>
      <c r="T151" s="401">
        <v>5.38</v>
      </c>
      <c r="U151" s="401">
        <v>5.38</v>
      </c>
      <c r="V151" s="401">
        <v>5.38</v>
      </c>
      <c r="W151" s="401">
        <v>5.38</v>
      </c>
      <c r="X151" s="401">
        <v>5.38</v>
      </c>
      <c r="Y151" s="401">
        <v>5.38</v>
      </c>
      <c r="Z151" s="304">
        <v>0.23</v>
      </c>
      <c r="AA151" s="304">
        <v>0.23</v>
      </c>
      <c r="AB151" s="304">
        <v>0.23</v>
      </c>
      <c r="AC151" s="304">
        <v>0.23</v>
      </c>
      <c r="AD151" s="403">
        <v>0.51999999999999957</v>
      </c>
      <c r="AE151" s="403">
        <v>0.51999999999999957</v>
      </c>
      <c r="AF151" s="403">
        <v>0.51999999999999957</v>
      </c>
      <c r="AG151" s="403">
        <v>0.51999999999999957</v>
      </c>
      <c r="AH151" s="403">
        <v>0.51999999999999957</v>
      </c>
      <c r="AI151" s="403">
        <v>0.51999999999999957</v>
      </c>
      <c r="AJ151" s="403">
        <v>0.51999999999999957</v>
      </c>
      <c r="AK151" s="403">
        <v>0.51999999999999957</v>
      </c>
      <c r="AL151" s="255">
        <v>24</v>
      </c>
      <c r="AM151" s="254">
        <f t="shared" si="12"/>
        <v>5.5200000000000005</v>
      </c>
      <c r="AN151" s="255"/>
      <c r="AO151" s="254">
        <f t="shared" si="13"/>
        <v>0</v>
      </c>
      <c r="AP151" s="255">
        <v>12</v>
      </c>
      <c r="AQ151" s="254">
        <f t="shared" si="14"/>
        <v>2.7600000000000002</v>
      </c>
      <c r="AR151" s="255"/>
      <c r="AS151" s="257">
        <f t="shared" si="15"/>
        <v>0</v>
      </c>
      <c r="AT151" s="381">
        <v>12</v>
      </c>
      <c r="AU151" s="257">
        <f t="shared" si="16"/>
        <v>6.2399999999999949</v>
      </c>
      <c r="AV151" s="388"/>
      <c r="AW151" s="257">
        <f t="shared" si="17"/>
        <v>0</v>
      </c>
      <c r="AX151" s="255"/>
      <c r="AY151" s="257">
        <f t="shared" si="18"/>
        <v>0</v>
      </c>
      <c r="AZ151" s="255"/>
      <c r="BA151" s="257">
        <f t="shared" si="19"/>
        <v>0</v>
      </c>
      <c r="BB151" s="255"/>
      <c r="BC151" s="257">
        <f t="shared" si="20"/>
        <v>0</v>
      </c>
      <c r="BD151" s="255"/>
      <c r="BE151" s="257">
        <f t="shared" si="21"/>
        <v>0</v>
      </c>
      <c r="BF151" s="255"/>
      <c r="BG151" s="257">
        <f t="shared" si="22"/>
        <v>0</v>
      </c>
      <c r="BH151" s="255"/>
      <c r="BI151" s="257">
        <f t="shared" si="23"/>
        <v>0</v>
      </c>
      <c r="BJ151" s="1" t="s">
        <v>593</v>
      </c>
      <c r="BL151" s="1" t="s">
        <v>457</v>
      </c>
      <c r="BM151" s="1" t="s">
        <v>596</v>
      </c>
    </row>
    <row r="152" spans="1:65" ht="17.25" customHeight="1">
      <c r="A152" s="250" t="s">
        <v>951</v>
      </c>
      <c r="B152" s="59" t="s">
        <v>1014</v>
      </c>
      <c r="C152" s="354" t="s">
        <v>172</v>
      </c>
      <c r="D152" s="424"/>
      <c r="E152" s="357" t="s">
        <v>214</v>
      </c>
      <c r="F152" s="421"/>
      <c r="G152" s="317">
        <v>2021</v>
      </c>
      <c r="H152" s="59" t="s">
        <v>365</v>
      </c>
      <c r="I152" s="315" t="s">
        <v>190</v>
      </c>
      <c r="J152" s="318" t="s">
        <v>217</v>
      </c>
      <c r="K152" s="59" t="s">
        <v>217</v>
      </c>
      <c r="L152" s="59" t="s">
        <v>177</v>
      </c>
      <c r="M152" s="303" t="s">
        <v>600</v>
      </c>
      <c r="N152" s="303">
        <v>4.7</v>
      </c>
      <c r="O152" s="303">
        <v>4.7</v>
      </c>
      <c r="P152" s="303">
        <v>4.7</v>
      </c>
      <c r="Q152" s="303">
        <v>4.7</v>
      </c>
      <c r="R152" s="401">
        <v>5.2</v>
      </c>
      <c r="S152" s="401">
        <v>5.2</v>
      </c>
      <c r="T152" s="401">
        <v>5.2</v>
      </c>
      <c r="U152" s="401">
        <v>5.2</v>
      </c>
      <c r="V152" s="401">
        <v>5.2</v>
      </c>
      <c r="W152" s="401">
        <v>5.2</v>
      </c>
      <c r="X152" s="401">
        <v>5.2</v>
      </c>
      <c r="Y152" s="401">
        <v>5.2</v>
      </c>
      <c r="Z152" s="304">
        <v>0.23</v>
      </c>
      <c r="AA152" s="304">
        <v>0.23</v>
      </c>
      <c r="AB152" s="304">
        <v>0.23</v>
      </c>
      <c r="AC152" s="304">
        <v>0.23</v>
      </c>
      <c r="AD152" s="403">
        <v>0.52000000000000046</v>
      </c>
      <c r="AE152" s="403">
        <v>0.52000000000000046</v>
      </c>
      <c r="AF152" s="403">
        <v>0.52000000000000046</v>
      </c>
      <c r="AG152" s="403">
        <v>0.52000000000000046</v>
      </c>
      <c r="AH152" s="403">
        <v>0.52000000000000046</v>
      </c>
      <c r="AI152" s="403">
        <v>0.52000000000000046</v>
      </c>
      <c r="AJ152" s="403">
        <v>0.52000000000000046</v>
      </c>
      <c r="AK152" s="403">
        <v>0.52000000000000046</v>
      </c>
      <c r="AL152" s="255"/>
      <c r="AM152" s="254">
        <f t="shared" si="12"/>
        <v>0</v>
      </c>
      <c r="AN152" s="255"/>
      <c r="AO152" s="254">
        <f t="shared" si="13"/>
        <v>0</v>
      </c>
      <c r="AP152" s="255"/>
      <c r="AQ152" s="254">
        <f t="shared" si="14"/>
        <v>0</v>
      </c>
      <c r="AR152" s="255"/>
      <c r="AS152" s="257">
        <f t="shared" si="15"/>
        <v>0</v>
      </c>
      <c r="AT152" s="381"/>
      <c r="AU152" s="257">
        <f t="shared" si="16"/>
        <v>0</v>
      </c>
      <c r="AV152" s="388"/>
      <c r="AW152" s="257">
        <f t="shared" si="17"/>
        <v>0</v>
      </c>
      <c r="AX152" s="255"/>
      <c r="AY152" s="257">
        <f t="shared" si="18"/>
        <v>0</v>
      </c>
      <c r="AZ152" s="255"/>
      <c r="BA152" s="257">
        <f t="shared" si="19"/>
        <v>0</v>
      </c>
      <c r="BB152" s="255"/>
      <c r="BC152" s="257">
        <f t="shared" si="20"/>
        <v>0</v>
      </c>
      <c r="BD152" s="255"/>
      <c r="BE152" s="257">
        <f t="shared" si="21"/>
        <v>0</v>
      </c>
      <c r="BF152" s="255"/>
      <c r="BG152" s="257">
        <f t="shared" si="22"/>
        <v>0</v>
      </c>
      <c r="BH152" s="255"/>
      <c r="BI152" s="257">
        <f t="shared" si="23"/>
        <v>0</v>
      </c>
      <c r="BJ152" s="1" t="s">
        <v>593</v>
      </c>
      <c r="BL152" s="1" t="s">
        <v>457</v>
      </c>
      <c r="BM152" s="1" t="s">
        <v>596</v>
      </c>
    </row>
    <row r="153" spans="1:65" ht="17.25" customHeight="1">
      <c r="A153" s="250" t="s">
        <v>951</v>
      </c>
      <c r="B153" s="59" t="s">
        <v>1014</v>
      </c>
      <c r="C153" s="354" t="s">
        <v>172</v>
      </c>
      <c r="D153" s="424"/>
      <c r="E153" s="357" t="s">
        <v>214</v>
      </c>
      <c r="F153" s="421"/>
      <c r="G153" s="317">
        <v>2021</v>
      </c>
      <c r="H153" s="59" t="s">
        <v>365</v>
      </c>
      <c r="I153" s="315" t="s">
        <v>190</v>
      </c>
      <c r="J153" s="318" t="s">
        <v>217</v>
      </c>
      <c r="K153" s="59" t="s">
        <v>217</v>
      </c>
      <c r="L153" s="59" t="s">
        <v>177</v>
      </c>
      <c r="M153" s="303" t="s">
        <v>601</v>
      </c>
      <c r="N153" s="303">
        <v>5.91</v>
      </c>
      <c r="O153" s="303">
        <v>5.91</v>
      </c>
      <c r="P153" s="303">
        <v>5.91</v>
      </c>
      <c r="Q153" s="303">
        <v>5.91</v>
      </c>
      <c r="R153" s="401">
        <v>6.26</v>
      </c>
      <c r="S153" s="401">
        <v>6.26</v>
      </c>
      <c r="T153" s="401">
        <v>6.26</v>
      </c>
      <c r="U153" s="401">
        <v>6.26</v>
      </c>
      <c r="V153" s="401">
        <v>6.26</v>
      </c>
      <c r="W153" s="401">
        <v>6.26</v>
      </c>
      <c r="X153" s="401">
        <v>6.26</v>
      </c>
      <c r="Y153" s="401">
        <v>6.26</v>
      </c>
      <c r="Z153" s="304">
        <v>0.38</v>
      </c>
      <c r="AA153" s="304">
        <v>0.38</v>
      </c>
      <c r="AB153" s="304">
        <v>0.38</v>
      </c>
      <c r="AC153" s="304">
        <v>0.38</v>
      </c>
      <c r="AD153" s="403">
        <v>0.51999999999999957</v>
      </c>
      <c r="AE153" s="403">
        <v>0.51999999999999957</v>
      </c>
      <c r="AF153" s="403">
        <v>0.51999999999999957</v>
      </c>
      <c r="AG153" s="403">
        <v>0.51999999999999957</v>
      </c>
      <c r="AH153" s="403">
        <v>0.51999999999999957</v>
      </c>
      <c r="AI153" s="403">
        <v>0.51999999999999957</v>
      </c>
      <c r="AJ153" s="403">
        <v>0.51999999999999957</v>
      </c>
      <c r="AK153" s="403">
        <v>0.51999999999999957</v>
      </c>
      <c r="AL153" s="255"/>
      <c r="AM153" s="254">
        <f t="shared" si="12"/>
        <v>0</v>
      </c>
      <c r="AN153" s="255"/>
      <c r="AO153" s="254">
        <f t="shared" si="13"/>
        <v>0</v>
      </c>
      <c r="AP153" s="255"/>
      <c r="AQ153" s="254">
        <f t="shared" si="14"/>
        <v>0</v>
      </c>
      <c r="AR153" s="255"/>
      <c r="AS153" s="257">
        <f t="shared" si="15"/>
        <v>0</v>
      </c>
      <c r="AT153" s="381"/>
      <c r="AU153" s="257">
        <f t="shared" si="16"/>
        <v>0</v>
      </c>
      <c r="AV153" s="388"/>
      <c r="AW153" s="257">
        <f t="shared" si="17"/>
        <v>0</v>
      </c>
      <c r="AX153" s="255"/>
      <c r="AY153" s="257">
        <f t="shared" si="18"/>
        <v>0</v>
      </c>
      <c r="AZ153" s="255"/>
      <c r="BA153" s="257">
        <f t="shared" si="19"/>
        <v>0</v>
      </c>
      <c r="BB153" s="255"/>
      <c r="BC153" s="257">
        <f t="shared" si="20"/>
        <v>0</v>
      </c>
      <c r="BD153" s="255"/>
      <c r="BE153" s="257">
        <f t="shared" si="21"/>
        <v>0</v>
      </c>
      <c r="BF153" s="255"/>
      <c r="BG153" s="257">
        <f t="shared" si="22"/>
        <v>0</v>
      </c>
      <c r="BH153" s="255"/>
      <c r="BI153" s="257">
        <f t="shared" si="23"/>
        <v>0</v>
      </c>
      <c r="BJ153" s="1" t="s">
        <v>593</v>
      </c>
      <c r="BL153" s="1" t="s">
        <v>457</v>
      </c>
      <c r="BM153" s="1" t="s">
        <v>596</v>
      </c>
    </row>
    <row r="154" spans="1:65" ht="17.25" customHeight="1">
      <c r="A154" s="250" t="s">
        <v>951</v>
      </c>
      <c r="B154" s="59" t="s">
        <v>1014</v>
      </c>
      <c r="C154" s="354" t="s">
        <v>172</v>
      </c>
      <c r="D154" s="424"/>
      <c r="E154" s="357" t="s">
        <v>214</v>
      </c>
      <c r="F154" s="421"/>
      <c r="G154" s="317">
        <v>2021</v>
      </c>
      <c r="H154" s="59" t="s">
        <v>365</v>
      </c>
      <c r="I154" s="315" t="s">
        <v>190</v>
      </c>
      <c r="J154" s="318" t="s">
        <v>217</v>
      </c>
      <c r="K154" s="59" t="s">
        <v>217</v>
      </c>
      <c r="L154" s="59" t="s">
        <v>177</v>
      </c>
      <c r="M154" s="303" t="s">
        <v>602</v>
      </c>
      <c r="N154" s="303">
        <v>4.92</v>
      </c>
      <c r="O154" s="303">
        <v>4.92</v>
      </c>
      <c r="P154" s="303">
        <v>4.92</v>
      </c>
      <c r="Q154" s="303">
        <v>4.92</v>
      </c>
      <c r="R154" s="401">
        <v>5.42</v>
      </c>
      <c r="S154" s="401">
        <v>5.42</v>
      </c>
      <c r="T154" s="401">
        <v>5.42</v>
      </c>
      <c r="U154" s="401">
        <v>5.42</v>
      </c>
      <c r="V154" s="401">
        <v>5.42</v>
      </c>
      <c r="W154" s="401">
        <v>5.42</v>
      </c>
      <c r="X154" s="401">
        <v>5.42</v>
      </c>
      <c r="Y154" s="401">
        <v>5.42</v>
      </c>
      <c r="Z154" s="304">
        <v>0.23</v>
      </c>
      <c r="AA154" s="304">
        <v>0.23</v>
      </c>
      <c r="AB154" s="304">
        <v>0.23</v>
      </c>
      <c r="AC154" s="304">
        <v>0.23</v>
      </c>
      <c r="AD154" s="403">
        <v>0.51999999999999957</v>
      </c>
      <c r="AE154" s="403">
        <v>0.51999999999999957</v>
      </c>
      <c r="AF154" s="403">
        <v>0.51999999999999957</v>
      </c>
      <c r="AG154" s="403">
        <v>0.51999999999999957</v>
      </c>
      <c r="AH154" s="403">
        <v>0.51999999999999957</v>
      </c>
      <c r="AI154" s="403">
        <v>0.51999999999999957</v>
      </c>
      <c r="AJ154" s="403">
        <v>0.51999999999999957</v>
      </c>
      <c r="AK154" s="403">
        <v>0.51999999999999957</v>
      </c>
      <c r="AL154" s="255">
        <v>648</v>
      </c>
      <c r="AM154" s="254">
        <f t="shared" si="12"/>
        <v>149.04000000000002</v>
      </c>
      <c r="AN154" s="255">
        <v>6528</v>
      </c>
      <c r="AO154" s="254">
        <f t="shared" si="13"/>
        <v>1501.44</v>
      </c>
      <c r="AP154" s="255"/>
      <c r="AQ154" s="254">
        <f t="shared" si="14"/>
        <v>0</v>
      </c>
      <c r="AR154" s="255">
        <v>648</v>
      </c>
      <c r="AS154" s="257">
        <f t="shared" si="15"/>
        <v>149.04000000000002</v>
      </c>
      <c r="AT154" s="255"/>
      <c r="AU154" s="257">
        <f t="shared" si="16"/>
        <v>0</v>
      </c>
      <c r="AV154" s="255">
        <v>20000</v>
      </c>
      <c r="AW154" s="257">
        <f t="shared" si="17"/>
        <v>10399.999999999991</v>
      </c>
      <c r="AX154" s="255">
        <v>20000</v>
      </c>
      <c r="AY154" s="257">
        <f t="shared" si="18"/>
        <v>10399.999999999991</v>
      </c>
      <c r="AZ154" s="255">
        <v>30000</v>
      </c>
      <c r="BA154" s="257">
        <f t="shared" si="19"/>
        <v>15599.999999999987</v>
      </c>
      <c r="BB154" s="255">
        <v>25000</v>
      </c>
      <c r="BC154" s="257">
        <f t="shared" si="20"/>
        <v>12999.999999999989</v>
      </c>
      <c r="BD154" s="255">
        <v>20000</v>
      </c>
      <c r="BE154" s="257">
        <f t="shared" si="21"/>
        <v>10399.999999999991</v>
      </c>
      <c r="BF154" s="255">
        <v>20000</v>
      </c>
      <c r="BG154" s="257">
        <f t="shared" si="22"/>
        <v>10399.999999999991</v>
      </c>
      <c r="BH154" s="255">
        <v>20000</v>
      </c>
      <c r="BI154" s="257">
        <f t="shared" si="23"/>
        <v>10399.999999999991</v>
      </c>
      <c r="BJ154" s="1" t="s">
        <v>593</v>
      </c>
      <c r="BL154" s="1" t="s">
        <v>457</v>
      </c>
      <c r="BM154" s="1" t="s">
        <v>596</v>
      </c>
    </row>
    <row r="155" spans="1:65" ht="17.25" customHeight="1">
      <c r="A155" s="250" t="s">
        <v>951</v>
      </c>
      <c r="B155" s="59" t="s">
        <v>1014</v>
      </c>
      <c r="C155" s="354" t="s">
        <v>172</v>
      </c>
      <c r="D155" s="424"/>
      <c r="E155" s="357" t="s">
        <v>214</v>
      </c>
      <c r="F155" s="421"/>
      <c r="G155" s="317">
        <v>2021</v>
      </c>
      <c r="H155" s="59" t="s">
        <v>365</v>
      </c>
      <c r="I155" s="315" t="s">
        <v>220</v>
      </c>
      <c r="J155" s="318" t="s">
        <v>217</v>
      </c>
      <c r="K155" s="59" t="s">
        <v>217</v>
      </c>
      <c r="L155" s="59" t="s">
        <v>177</v>
      </c>
      <c r="M155" s="303" t="s">
        <v>592</v>
      </c>
      <c r="N155" s="303">
        <v>2.11</v>
      </c>
      <c r="O155" s="303">
        <v>2.11</v>
      </c>
      <c r="P155" s="303">
        <v>2.11</v>
      </c>
      <c r="Q155" s="303">
        <v>2.11</v>
      </c>
      <c r="R155" s="303">
        <v>2.11</v>
      </c>
      <c r="S155" s="303">
        <v>2.11</v>
      </c>
      <c r="T155" s="303">
        <v>2.11</v>
      </c>
      <c r="U155" s="303">
        <v>2.11</v>
      </c>
      <c r="V155" s="303">
        <v>2.11</v>
      </c>
      <c r="W155" s="303">
        <v>2.11</v>
      </c>
      <c r="X155" s="303">
        <v>2.11</v>
      </c>
      <c r="Y155" s="303">
        <v>2.11</v>
      </c>
      <c r="Z155" s="304">
        <v>0.18</v>
      </c>
      <c r="AA155" s="304">
        <v>0.18</v>
      </c>
      <c r="AB155" s="304">
        <v>0.18</v>
      </c>
      <c r="AC155" s="304">
        <v>0.18</v>
      </c>
      <c r="AD155" s="304">
        <v>0.18</v>
      </c>
      <c r="AE155" s="304">
        <v>0.18</v>
      </c>
      <c r="AF155" s="304">
        <v>0.18</v>
      </c>
      <c r="AG155" s="304">
        <v>0.18</v>
      </c>
      <c r="AH155" s="304">
        <v>0.18</v>
      </c>
      <c r="AI155" s="304">
        <v>0.18</v>
      </c>
      <c r="AJ155" s="304">
        <v>0.18</v>
      </c>
      <c r="AK155" s="304">
        <v>0.18</v>
      </c>
      <c r="AL155" s="255">
        <v>360</v>
      </c>
      <c r="AM155" s="254">
        <f t="shared" si="12"/>
        <v>64.8</v>
      </c>
      <c r="AN155" s="255">
        <v>240</v>
      </c>
      <c r="AO155" s="254">
        <f t="shared" si="13"/>
        <v>43.199999999999996</v>
      </c>
      <c r="AP155" s="255">
        <v>120</v>
      </c>
      <c r="AQ155" s="254">
        <f t="shared" si="14"/>
        <v>21.599999999999998</v>
      </c>
      <c r="AR155" s="255">
        <v>720</v>
      </c>
      <c r="AS155" s="257">
        <f t="shared" si="15"/>
        <v>129.6</v>
      </c>
      <c r="AT155" s="255"/>
      <c r="AU155" s="257">
        <f t="shared" si="16"/>
        <v>0</v>
      </c>
      <c r="AV155" s="255">
        <v>500</v>
      </c>
      <c r="AW155" s="257">
        <f t="shared" si="17"/>
        <v>90</v>
      </c>
      <c r="AX155" s="255">
        <v>500</v>
      </c>
      <c r="AY155" s="257">
        <f t="shared" si="18"/>
        <v>90</v>
      </c>
      <c r="AZ155" s="255">
        <v>500</v>
      </c>
      <c r="BA155" s="257">
        <f t="shared" si="19"/>
        <v>90</v>
      </c>
      <c r="BB155" s="255">
        <v>500</v>
      </c>
      <c r="BC155" s="257">
        <f t="shared" si="20"/>
        <v>90</v>
      </c>
      <c r="BD155" s="255">
        <v>500</v>
      </c>
      <c r="BE155" s="257">
        <f t="shared" si="21"/>
        <v>90</v>
      </c>
      <c r="BF155" s="255">
        <v>500</v>
      </c>
      <c r="BG155" s="257">
        <f t="shared" si="22"/>
        <v>90</v>
      </c>
      <c r="BH155" s="255">
        <v>500</v>
      </c>
      <c r="BI155" s="257">
        <f t="shared" si="23"/>
        <v>90</v>
      </c>
      <c r="BJ155" s="1" t="s">
        <v>603</v>
      </c>
      <c r="BL155" s="1" t="s">
        <v>457</v>
      </c>
      <c r="BM155" s="1" t="s">
        <v>604</v>
      </c>
    </row>
    <row r="156" spans="1:65" ht="17.25" customHeight="1">
      <c r="A156" s="250" t="s">
        <v>951</v>
      </c>
      <c r="B156" s="59" t="s">
        <v>1014</v>
      </c>
      <c r="C156" s="354" t="s">
        <v>172</v>
      </c>
      <c r="D156" s="424"/>
      <c r="E156" s="357" t="s">
        <v>214</v>
      </c>
      <c r="F156" s="421"/>
      <c r="G156" s="317">
        <v>2021</v>
      </c>
      <c r="H156" s="59" t="s">
        <v>365</v>
      </c>
      <c r="I156" s="315" t="s">
        <v>220</v>
      </c>
      <c r="J156" s="318" t="s">
        <v>217</v>
      </c>
      <c r="K156" s="59" t="s">
        <v>217</v>
      </c>
      <c r="L156" s="59" t="s">
        <v>177</v>
      </c>
      <c r="M156" s="303" t="s">
        <v>455</v>
      </c>
      <c r="N156" s="303">
        <v>2.11</v>
      </c>
      <c r="O156" s="303">
        <v>2.11</v>
      </c>
      <c r="P156" s="303">
        <v>2.11</v>
      </c>
      <c r="Q156" s="303">
        <v>2.11</v>
      </c>
      <c r="R156" s="303">
        <v>2.11</v>
      </c>
      <c r="S156" s="303">
        <v>2.11</v>
      </c>
      <c r="T156" s="303">
        <v>2.11</v>
      </c>
      <c r="U156" s="303">
        <v>2.11</v>
      </c>
      <c r="V156" s="303">
        <v>2.11</v>
      </c>
      <c r="W156" s="303">
        <v>2.11</v>
      </c>
      <c r="X156" s="303">
        <v>2.11</v>
      </c>
      <c r="Y156" s="303">
        <v>2.11</v>
      </c>
      <c r="Z156" s="304">
        <v>0.18</v>
      </c>
      <c r="AA156" s="304">
        <v>0.18</v>
      </c>
      <c r="AB156" s="304">
        <v>0.18</v>
      </c>
      <c r="AC156" s="304">
        <v>0.18</v>
      </c>
      <c r="AD156" s="304">
        <v>0.18</v>
      </c>
      <c r="AE156" s="304">
        <v>0.18</v>
      </c>
      <c r="AF156" s="304">
        <v>0.18</v>
      </c>
      <c r="AG156" s="304">
        <v>0.18</v>
      </c>
      <c r="AH156" s="304">
        <v>0.18</v>
      </c>
      <c r="AI156" s="304">
        <v>0.18</v>
      </c>
      <c r="AJ156" s="304">
        <v>0.18</v>
      </c>
      <c r="AK156" s="304">
        <v>0.18</v>
      </c>
      <c r="AL156" s="255">
        <v>2280</v>
      </c>
      <c r="AM156" s="254">
        <f t="shared" si="12"/>
        <v>410.4</v>
      </c>
      <c r="AN156" s="255">
        <v>4680</v>
      </c>
      <c r="AO156" s="254">
        <f t="shared" si="13"/>
        <v>842.4</v>
      </c>
      <c r="AP156" s="255">
        <v>1920</v>
      </c>
      <c r="AQ156" s="254">
        <f t="shared" si="14"/>
        <v>345.59999999999997</v>
      </c>
      <c r="AR156" s="255">
        <v>720</v>
      </c>
      <c r="AS156" s="257">
        <f t="shared" si="15"/>
        <v>129.6</v>
      </c>
      <c r="AT156" s="381">
        <v>2640</v>
      </c>
      <c r="AU156" s="257">
        <f t="shared" si="16"/>
        <v>475.2</v>
      </c>
      <c r="AV156" s="381">
        <v>2000</v>
      </c>
      <c r="AW156" s="257">
        <f t="shared" si="17"/>
        <v>360</v>
      </c>
      <c r="AX156" s="381">
        <v>2000</v>
      </c>
      <c r="AY156" s="257">
        <f t="shared" si="18"/>
        <v>360</v>
      </c>
      <c r="AZ156" s="381">
        <v>3000</v>
      </c>
      <c r="BA156" s="257">
        <f t="shared" si="19"/>
        <v>540</v>
      </c>
      <c r="BB156" s="255">
        <v>2000</v>
      </c>
      <c r="BC156" s="257">
        <f t="shared" si="20"/>
        <v>360</v>
      </c>
      <c r="BD156" s="255">
        <v>3000</v>
      </c>
      <c r="BE156" s="257">
        <f t="shared" si="21"/>
        <v>540</v>
      </c>
      <c r="BF156" s="255">
        <v>3000</v>
      </c>
      <c r="BG156" s="257">
        <f t="shared" si="22"/>
        <v>540</v>
      </c>
      <c r="BH156" s="255">
        <v>2000</v>
      </c>
      <c r="BI156" s="257">
        <f t="shared" si="23"/>
        <v>360</v>
      </c>
      <c r="BJ156" s="1" t="s">
        <v>603</v>
      </c>
      <c r="BL156" s="1" t="s">
        <v>457</v>
      </c>
      <c r="BM156" s="1" t="s">
        <v>604</v>
      </c>
    </row>
    <row r="157" spans="1:65" ht="17.25" customHeight="1">
      <c r="A157" s="250" t="s">
        <v>951</v>
      </c>
      <c r="B157" s="59" t="s">
        <v>1014</v>
      </c>
      <c r="C157" s="354" t="s">
        <v>172</v>
      </c>
      <c r="D157" s="424"/>
      <c r="E157" s="357" t="s">
        <v>214</v>
      </c>
      <c r="F157" s="421"/>
      <c r="G157" s="317">
        <v>2021</v>
      </c>
      <c r="H157" s="59" t="s">
        <v>365</v>
      </c>
      <c r="I157" s="315" t="s">
        <v>220</v>
      </c>
      <c r="J157" s="318" t="s">
        <v>217</v>
      </c>
      <c r="K157" s="59" t="s">
        <v>217</v>
      </c>
      <c r="L157" s="59" t="s">
        <v>177</v>
      </c>
      <c r="M157" s="303" t="s">
        <v>595</v>
      </c>
      <c r="N157" s="303">
        <v>2.11</v>
      </c>
      <c r="O157" s="303">
        <v>2.11</v>
      </c>
      <c r="P157" s="303">
        <v>2.11</v>
      </c>
      <c r="Q157" s="303">
        <v>2.11</v>
      </c>
      <c r="R157" s="303">
        <v>2.11</v>
      </c>
      <c r="S157" s="303">
        <v>2.11</v>
      </c>
      <c r="T157" s="303">
        <v>2.11</v>
      </c>
      <c r="U157" s="303">
        <v>2.11</v>
      </c>
      <c r="V157" s="303">
        <v>2.11</v>
      </c>
      <c r="W157" s="303">
        <v>2.11</v>
      </c>
      <c r="X157" s="303">
        <v>2.11</v>
      </c>
      <c r="Y157" s="303">
        <v>2.11</v>
      </c>
      <c r="Z157" s="304">
        <v>0.18</v>
      </c>
      <c r="AA157" s="304">
        <v>0.18</v>
      </c>
      <c r="AB157" s="304">
        <v>0.18</v>
      </c>
      <c r="AC157" s="304">
        <v>0.18</v>
      </c>
      <c r="AD157" s="304">
        <v>0.18</v>
      </c>
      <c r="AE157" s="304">
        <v>0.18</v>
      </c>
      <c r="AF157" s="304">
        <v>0.18</v>
      </c>
      <c r="AG157" s="304">
        <v>0.18</v>
      </c>
      <c r="AH157" s="304">
        <v>0.18</v>
      </c>
      <c r="AI157" s="304">
        <v>0.18</v>
      </c>
      <c r="AJ157" s="304">
        <v>0.18</v>
      </c>
      <c r="AK157" s="304">
        <v>0.18</v>
      </c>
      <c r="AL157" s="255">
        <v>360</v>
      </c>
      <c r="AM157" s="254">
        <f t="shared" si="12"/>
        <v>64.8</v>
      </c>
      <c r="AN157" s="255">
        <v>720</v>
      </c>
      <c r="AO157" s="254">
        <f t="shared" si="13"/>
        <v>129.6</v>
      </c>
      <c r="AP157" s="255">
        <v>240</v>
      </c>
      <c r="AQ157" s="254">
        <f t="shared" si="14"/>
        <v>43.199999999999996</v>
      </c>
      <c r="AR157" s="255">
        <v>360</v>
      </c>
      <c r="AS157" s="257">
        <f t="shared" si="15"/>
        <v>64.8</v>
      </c>
      <c r="AT157" s="255">
        <v>1680</v>
      </c>
      <c r="AU157" s="257">
        <f t="shared" si="16"/>
        <v>302.39999999999998</v>
      </c>
      <c r="AV157" s="255">
        <v>2000</v>
      </c>
      <c r="AW157" s="257">
        <f t="shared" si="17"/>
        <v>360</v>
      </c>
      <c r="AX157" s="255">
        <v>2000</v>
      </c>
      <c r="AY157" s="257">
        <f t="shared" si="18"/>
        <v>360</v>
      </c>
      <c r="AZ157" s="255">
        <v>2000</v>
      </c>
      <c r="BA157" s="257">
        <f t="shared" si="19"/>
        <v>360</v>
      </c>
      <c r="BB157" s="255">
        <v>2000</v>
      </c>
      <c r="BC157" s="257">
        <f t="shared" si="20"/>
        <v>360</v>
      </c>
      <c r="BD157" s="255">
        <v>2000</v>
      </c>
      <c r="BE157" s="257">
        <f t="shared" si="21"/>
        <v>360</v>
      </c>
      <c r="BF157" s="255">
        <v>2000</v>
      </c>
      <c r="BG157" s="257">
        <f t="shared" si="22"/>
        <v>360</v>
      </c>
      <c r="BH157" s="255">
        <v>2000</v>
      </c>
      <c r="BI157" s="257">
        <f t="shared" si="23"/>
        <v>360</v>
      </c>
      <c r="BJ157" s="1" t="s">
        <v>603</v>
      </c>
      <c r="BL157" s="1" t="s">
        <v>457</v>
      </c>
      <c r="BM157" s="1" t="s">
        <v>604</v>
      </c>
    </row>
    <row r="158" spans="1:65" ht="17.25" customHeight="1">
      <c r="A158" s="250" t="s">
        <v>951</v>
      </c>
      <c r="B158" s="59" t="s">
        <v>1014</v>
      </c>
      <c r="C158" s="354" t="s">
        <v>172</v>
      </c>
      <c r="D158" s="424"/>
      <c r="E158" s="357" t="s">
        <v>214</v>
      </c>
      <c r="F158" s="421"/>
      <c r="G158" s="317">
        <v>2021</v>
      </c>
      <c r="H158" s="59" t="s">
        <v>365</v>
      </c>
      <c r="I158" s="315" t="s">
        <v>220</v>
      </c>
      <c r="J158" s="318" t="s">
        <v>217</v>
      </c>
      <c r="K158" s="59" t="s">
        <v>217</v>
      </c>
      <c r="L158" s="59" t="s">
        <v>177</v>
      </c>
      <c r="M158" s="303" t="s">
        <v>597</v>
      </c>
      <c r="N158" s="303">
        <v>2.11</v>
      </c>
      <c r="O158" s="303">
        <v>2.11</v>
      </c>
      <c r="P158" s="303">
        <v>2.11</v>
      </c>
      <c r="Q158" s="303">
        <v>2.11</v>
      </c>
      <c r="R158" s="303">
        <v>2.11</v>
      </c>
      <c r="S158" s="303">
        <v>2.11</v>
      </c>
      <c r="T158" s="303">
        <v>2.11</v>
      </c>
      <c r="U158" s="303">
        <v>2.11</v>
      </c>
      <c r="V158" s="303">
        <v>2.11</v>
      </c>
      <c r="W158" s="303">
        <v>2.11</v>
      </c>
      <c r="X158" s="303">
        <v>2.11</v>
      </c>
      <c r="Y158" s="303">
        <v>2.11</v>
      </c>
      <c r="Z158" s="304">
        <v>0.18</v>
      </c>
      <c r="AA158" s="304">
        <v>0.18</v>
      </c>
      <c r="AB158" s="304">
        <v>0.18</v>
      </c>
      <c r="AC158" s="304">
        <v>0.18</v>
      </c>
      <c r="AD158" s="304">
        <v>0.18</v>
      </c>
      <c r="AE158" s="304">
        <v>0.18</v>
      </c>
      <c r="AF158" s="304">
        <v>0.18</v>
      </c>
      <c r="AG158" s="304">
        <v>0.18</v>
      </c>
      <c r="AH158" s="304">
        <v>0.18</v>
      </c>
      <c r="AI158" s="304">
        <v>0.18</v>
      </c>
      <c r="AJ158" s="304">
        <v>0.18</v>
      </c>
      <c r="AK158" s="304">
        <v>0.18</v>
      </c>
      <c r="AL158" s="255">
        <v>3720</v>
      </c>
      <c r="AM158" s="254">
        <f t="shared" si="12"/>
        <v>669.6</v>
      </c>
      <c r="AN158" s="255">
        <v>4440</v>
      </c>
      <c r="AO158" s="254">
        <f t="shared" si="13"/>
        <v>799.19999999999993</v>
      </c>
      <c r="AP158" s="255">
        <v>3480</v>
      </c>
      <c r="AQ158" s="254">
        <f t="shared" si="14"/>
        <v>626.4</v>
      </c>
      <c r="AR158" s="255">
        <v>3240</v>
      </c>
      <c r="AS158" s="257">
        <f t="shared" si="15"/>
        <v>583.19999999999993</v>
      </c>
      <c r="AT158" s="255">
        <v>6240</v>
      </c>
      <c r="AU158" s="257">
        <f t="shared" si="16"/>
        <v>1123.2</v>
      </c>
      <c r="AV158" s="255">
        <v>3000</v>
      </c>
      <c r="AW158" s="257">
        <f t="shared" si="17"/>
        <v>540</v>
      </c>
      <c r="AX158" s="255">
        <v>3000</v>
      </c>
      <c r="AY158" s="257">
        <f t="shared" si="18"/>
        <v>540</v>
      </c>
      <c r="AZ158" s="255">
        <v>5000</v>
      </c>
      <c r="BA158" s="257">
        <f t="shared" si="19"/>
        <v>900</v>
      </c>
      <c r="BB158" s="255">
        <v>3000</v>
      </c>
      <c r="BC158" s="257">
        <f t="shared" si="20"/>
        <v>540</v>
      </c>
      <c r="BD158" s="255">
        <v>3000</v>
      </c>
      <c r="BE158" s="257">
        <f t="shared" si="21"/>
        <v>540</v>
      </c>
      <c r="BF158" s="255">
        <v>3000</v>
      </c>
      <c r="BG158" s="257">
        <f t="shared" si="22"/>
        <v>540</v>
      </c>
      <c r="BH158" s="255">
        <v>3000</v>
      </c>
      <c r="BI158" s="257">
        <f t="shared" si="23"/>
        <v>540</v>
      </c>
      <c r="BJ158" s="1" t="s">
        <v>603</v>
      </c>
      <c r="BL158" s="1" t="s">
        <v>457</v>
      </c>
      <c r="BM158" s="1" t="s">
        <v>604</v>
      </c>
    </row>
    <row r="159" spans="1:65" ht="17.25" customHeight="1">
      <c r="A159" s="250" t="s">
        <v>951</v>
      </c>
      <c r="B159" s="59" t="s">
        <v>1014</v>
      </c>
      <c r="C159" s="354" t="s">
        <v>172</v>
      </c>
      <c r="D159" s="424"/>
      <c r="E159" s="357" t="s">
        <v>214</v>
      </c>
      <c r="F159" s="421"/>
      <c r="G159" s="317">
        <v>2021</v>
      </c>
      <c r="H159" s="59" t="s">
        <v>365</v>
      </c>
      <c r="I159" s="315" t="s">
        <v>220</v>
      </c>
      <c r="J159" s="318" t="s">
        <v>217</v>
      </c>
      <c r="K159" s="59" t="s">
        <v>217</v>
      </c>
      <c r="L159" s="59" t="s">
        <v>177</v>
      </c>
      <c r="M159" s="303" t="s">
        <v>598</v>
      </c>
      <c r="N159" s="303">
        <v>2.11</v>
      </c>
      <c r="O159" s="303">
        <v>2.11</v>
      </c>
      <c r="P159" s="303">
        <v>2.11</v>
      </c>
      <c r="Q159" s="303">
        <v>2.11</v>
      </c>
      <c r="R159" s="303">
        <v>2.11</v>
      </c>
      <c r="S159" s="303">
        <v>2.11</v>
      </c>
      <c r="T159" s="303">
        <v>2.11</v>
      </c>
      <c r="U159" s="303">
        <v>2.11</v>
      </c>
      <c r="V159" s="303">
        <v>2.11</v>
      </c>
      <c r="W159" s="303">
        <v>2.11</v>
      </c>
      <c r="X159" s="303">
        <v>2.11</v>
      </c>
      <c r="Y159" s="303">
        <v>2.11</v>
      </c>
      <c r="Z159" s="304">
        <v>0.18</v>
      </c>
      <c r="AA159" s="304">
        <v>0.18</v>
      </c>
      <c r="AB159" s="304">
        <v>0.18</v>
      </c>
      <c r="AC159" s="304">
        <v>0.18</v>
      </c>
      <c r="AD159" s="304">
        <v>0.18</v>
      </c>
      <c r="AE159" s="304">
        <v>0.18</v>
      </c>
      <c r="AF159" s="304">
        <v>0.18</v>
      </c>
      <c r="AG159" s="304">
        <v>0.18</v>
      </c>
      <c r="AH159" s="304">
        <v>0.18</v>
      </c>
      <c r="AI159" s="304">
        <v>0.18</v>
      </c>
      <c r="AJ159" s="304">
        <v>0.18</v>
      </c>
      <c r="AK159" s="304">
        <v>0.18</v>
      </c>
      <c r="AL159" s="255">
        <v>360</v>
      </c>
      <c r="AM159" s="254">
        <f t="shared" si="12"/>
        <v>64.8</v>
      </c>
      <c r="AN159" s="255">
        <v>120</v>
      </c>
      <c r="AO159" s="254">
        <f t="shared" si="13"/>
        <v>21.599999999999998</v>
      </c>
      <c r="AP159" s="255">
        <v>360</v>
      </c>
      <c r="AQ159" s="254">
        <f t="shared" si="14"/>
        <v>64.8</v>
      </c>
      <c r="AR159" s="255">
        <v>240</v>
      </c>
      <c r="AS159" s="257">
        <f t="shared" si="15"/>
        <v>43.199999999999996</v>
      </c>
      <c r="AT159" s="381">
        <v>360</v>
      </c>
      <c r="AU159" s="257">
        <f t="shared" si="16"/>
        <v>64.8</v>
      </c>
      <c r="AV159" s="388"/>
      <c r="AW159" s="257">
        <f t="shared" si="17"/>
        <v>0</v>
      </c>
      <c r="AX159" s="255"/>
      <c r="AY159" s="257">
        <f t="shared" si="18"/>
        <v>0</v>
      </c>
      <c r="AZ159" s="255"/>
      <c r="BA159" s="257">
        <f t="shared" si="19"/>
        <v>0</v>
      </c>
      <c r="BB159" s="255"/>
      <c r="BC159" s="257">
        <f t="shared" si="20"/>
        <v>0</v>
      </c>
      <c r="BD159" s="255"/>
      <c r="BE159" s="257">
        <f t="shared" si="21"/>
        <v>0</v>
      </c>
      <c r="BF159" s="255"/>
      <c r="BG159" s="257">
        <f t="shared" si="22"/>
        <v>0</v>
      </c>
      <c r="BH159" s="255"/>
      <c r="BI159" s="257">
        <f t="shared" si="23"/>
        <v>0</v>
      </c>
      <c r="BJ159" s="1" t="s">
        <v>603</v>
      </c>
      <c r="BL159" s="1" t="s">
        <v>457</v>
      </c>
      <c r="BM159" s="1" t="s">
        <v>604</v>
      </c>
    </row>
    <row r="160" spans="1:65" ht="17.25" customHeight="1">
      <c r="A160" s="250" t="s">
        <v>951</v>
      </c>
      <c r="B160" s="59" t="s">
        <v>1014</v>
      </c>
      <c r="C160" s="354" t="s">
        <v>172</v>
      </c>
      <c r="D160" s="424"/>
      <c r="E160" s="357" t="s">
        <v>214</v>
      </c>
      <c r="F160" s="421"/>
      <c r="G160" s="317">
        <v>2021</v>
      </c>
      <c r="H160" s="59" t="s">
        <v>365</v>
      </c>
      <c r="I160" s="315" t="s">
        <v>220</v>
      </c>
      <c r="J160" s="318" t="s">
        <v>217</v>
      </c>
      <c r="K160" s="59" t="s">
        <v>217</v>
      </c>
      <c r="L160" s="59" t="s">
        <v>177</v>
      </c>
      <c r="M160" s="303" t="s">
        <v>599</v>
      </c>
      <c r="N160" s="303">
        <v>2.11</v>
      </c>
      <c r="O160" s="303">
        <v>2.11</v>
      </c>
      <c r="P160" s="303">
        <v>2.11</v>
      </c>
      <c r="Q160" s="303">
        <v>2.11</v>
      </c>
      <c r="R160" s="303">
        <v>2.11</v>
      </c>
      <c r="S160" s="303">
        <v>2.11</v>
      </c>
      <c r="T160" s="303">
        <v>2.11</v>
      </c>
      <c r="U160" s="303">
        <v>2.11</v>
      </c>
      <c r="V160" s="303">
        <v>2.11</v>
      </c>
      <c r="W160" s="303">
        <v>2.11</v>
      </c>
      <c r="X160" s="303">
        <v>2.11</v>
      </c>
      <c r="Y160" s="303">
        <v>2.11</v>
      </c>
      <c r="Z160" s="304">
        <v>0.18</v>
      </c>
      <c r="AA160" s="304">
        <v>0.18</v>
      </c>
      <c r="AB160" s="304">
        <v>0.18</v>
      </c>
      <c r="AC160" s="304">
        <v>0.18</v>
      </c>
      <c r="AD160" s="304">
        <v>0.18</v>
      </c>
      <c r="AE160" s="304">
        <v>0.18</v>
      </c>
      <c r="AF160" s="304">
        <v>0.18</v>
      </c>
      <c r="AG160" s="304">
        <v>0.18</v>
      </c>
      <c r="AH160" s="304">
        <v>0.18</v>
      </c>
      <c r="AI160" s="304">
        <v>0.18</v>
      </c>
      <c r="AJ160" s="304">
        <v>0.18</v>
      </c>
      <c r="AK160" s="304">
        <v>0.18</v>
      </c>
      <c r="AL160" s="255">
        <v>0</v>
      </c>
      <c r="AM160" s="254">
        <f t="shared" si="12"/>
        <v>0</v>
      </c>
      <c r="AN160" s="255"/>
      <c r="AO160" s="254">
        <f t="shared" si="13"/>
        <v>0</v>
      </c>
      <c r="AP160" s="255"/>
      <c r="AQ160" s="254">
        <f t="shared" si="14"/>
        <v>0</v>
      </c>
      <c r="AR160" s="255"/>
      <c r="AS160" s="257">
        <f t="shared" si="15"/>
        <v>0</v>
      </c>
      <c r="AT160" s="381"/>
      <c r="AU160" s="257">
        <f t="shared" si="16"/>
        <v>0</v>
      </c>
      <c r="AV160" s="388"/>
      <c r="AW160" s="257">
        <f t="shared" si="17"/>
        <v>0</v>
      </c>
      <c r="AX160" s="255"/>
      <c r="AY160" s="257">
        <f t="shared" si="18"/>
        <v>0</v>
      </c>
      <c r="AZ160" s="255"/>
      <c r="BA160" s="257">
        <f t="shared" si="19"/>
        <v>0</v>
      </c>
      <c r="BB160" s="255"/>
      <c r="BC160" s="257">
        <f t="shared" si="20"/>
        <v>0</v>
      </c>
      <c r="BD160" s="255"/>
      <c r="BE160" s="257">
        <f t="shared" si="21"/>
        <v>0</v>
      </c>
      <c r="BF160" s="255"/>
      <c r="BG160" s="257">
        <f t="shared" si="22"/>
        <v>0</v>
      </c>
      <c r="BH160" s="255"/>
      <c r="BI160" s="257">
        <f t="shared" si="23"/>
        <v>0</v>
      </c>
      <c r="BJ160" s="1" t="s">
        <v>603</v>
      </c>
      <c r="BL160" s="1" t="s">
        <v>457</v>
      </c>
      <c r="BM160" s="1" t="s">
        <v>604</v>
      </c>
    </row>
    <row r="161" spans="1:65" ht="17.25" customHeight="1">
      <c r="A161" s="250" t="s">
        <v>951</v>
      </c>
      <c r="B161" s="59" t="s">
        <v>1014</v>
      </c>
      <c r="C161" s="354" t="s">
        <v>172</v>
      </c>
      <c r="D161" s="424"/>
      <c r="E161" s="357" t="s">
        <v>214</v>
      </c>
      <c r="F161" s="421"/>
      <c r="G161" s="317">
        <v>2021</v>
      </c>
      <c r="H161" s="59" t="s">
        <v>365</v>
      </c>
      <c r="I161" s="315" t="s">
        <v>220</v>
      </c>
      <c r="J161" s="318" t="s">
        <v>217</v>
      </c>
      <c r="K161" s="59" t="s">
        <v>217</v>
      </c>
      <c r="L161" s="59" t="s">
        <v>177</v>
      </c>
      <c r="M161" s="303" t="s">
        <v>601</v>
      </c>
      <c r="N161" s="303">
        <v>2.21</v>
      </c>
      <c r="O161" s="303">
        <v>2.21</v>
      </c>
      <c r="P161" s="303">
        <v>2.21</v>
      </c>
      <c r="Q161" s="303">
        <v>2.21</v>
      </c>
      <c r="R161" s="303">
        <v>2.21</v>
      </c>
      <c r="S161" s="303">
        <v>2.21</v>
      </c>
      <c r="T161" s="303">
        <v>2.21</v>
      </c>
      <c r="U161" s="303">
        <v>2.21</v>
      </c>
      <c r="V161" s="303">
        <v>2.21</v>
      </c>
      <c r="W161" s="303">
        <v>2.21</v>
      </c>
      <c r="X161" s="303">
        <v>2.21</v>
      </c>
      <c r="Y161" s="303">
        <v>2.21</v>
      </c>
      <c r="Z161" s="304">
        <v>0.18</v>
      </c>
      <c r="AA161" s="304">
        <v>0.18</v>
      </c>
      <c r="AB161" s="304">
        <v>0.18</v>
      </c>
      <c r="AC161" s="304">
        <v>0.18</v>
      </c>
      <c r="AD161" s="304">
        <v>0.18</v>
      </c>
      <c r="AE161" s="304">
        <v>0.18</v>
      </c>
      <c r="AF161" s="304">
        <v>0.18</v>
      </c>
      <c r="AG161" s="304">
        <v>0.18</v>
      </c>
      <c r="AH161" s="304">
        <v>0.18</v>
      </c>
      <c r="AI161" s="304">
        <v>0.18</v>
      </c>
      <c r="AJ161" s="304">
        <v>0.18</v>
      </c>
      <c r="AK161" s="304">
        <v>0.18</v>
      </c>
      <c r="AL161" s="255"/>
      <c r="AM161" s="254">
        <f t="shared" si="12"/>
        <v>0</v>
      </c>
      <c r="AN161" s="255">
        <v>2160</v>
      </c>
      <c r="AO161" s="254">
        <f t="shared" si="13"/>
        <v>388.8</v>
      </c>
      <c r="AP161" s="255">
        <v>2160</v>
      </c>
      <c r="AQ161" s="254">
        <f t="shared" si="14"/>
        <v>388.8</v>
      </c>
      <c r="AR161" s="255">
        <v>2160</v>
      </c>
      <c r="AS161" s="257">
        <f t="shared" si="15"/>
        <v>388.8</v>
      </c>
      <c r="AT161" s="255"/>
      <c r="AU161" s="257">
        <f t="shared" si="16"/>
        <v>0</v>
      </c>
      <c r="AV161" s="255">
        <v>1000</v>
      </c>
      <c r="AW161" s="257">
        <f t="shared" si="17"/>
        <v>180</v>
      </c>
      <c r="AX161" s="255">
        <v>1000</v>
      </c>
      <c r="AY161" s="257">
        <f t="shared" si="18"/>
        <v>180</v>
      </c>
      <c r="AZ161" s="255">
        <v>1000</v>
      </c>
      <c r="BA161" s="257">
        <f t="shared" si="19"/>
        <v>180</v>
      </c>
      <c r="BB161" s="255">
        <v>1000</v>
      </c>
      <c r="BC161" s="257">
        <f t="shared" si="20"/>
        <v>180</v>
      </c>
      <c r="BD161" s="255">
        <v>1000</v>
      </c>
      <c r="BE161" s="257">
        <f t="shared" si="21"/>
        <v>180</v>
      </c>
      <c r="BF161" s="255">
        <v>1000</v>
      </c>
      <c r="BG161" s="257">
        <f t="shared" si="22"/>
        <v>180</v>
      </c>
      <c r="BH161" s="255">
        <v>1000</v>
      </c>
      <c r="BI161" s="257">
        <f t="shared" si="23"/>
        <v>180</v>
      </c>
      <c r="BJ161" s="1" t="s">
        <v>603</v>
      </c>
      <c r="BL161" s="1" t="s">
        <v>457</v>
      </c>
      <c r="BM161" s="1" t="s">
        <v>604</v>
      </c>
    </row>
    <row r="162" spans="1:65" ht="17.25" customHeight="1">
      <c r="A162" s="250" t="s">
        <v>951</v>
      </c>
      <c r="B162" s="59" t="s">
        <v>1014</v>
      </c>
      <c r="C162" s="354" t="s">
        <v>172</v>
      </c>
      <c r="D162" s="424"/>
      <c r="E162" s="357" t="s">
        <v>214</v>
      </c>
      <c r="F162" s="421"/>
      <c r="G162" s="317">
        <v>2021</v>
      </c>
      <c r="H162" s="59" t="s">
        <v>365</v>
      </c>
      <c r="I162" s="315" t="s">
        <v>220</v>
      </c>
      <c r="J162" s="318" t="s">
        <v>217</v>
      </c>
      <c r="K162" s="59" t="s">
        <v>217</v>
      </c>
      <c r="L162" s="59" t="s">
        <v>177</v>
      </c>
      <c r="M162" s="303" t="s">
        <v>602</v>
      </c>
      <c r="N162" s="303">
        <v>2.21</v>
      </c>
      <c r="O162" s="303">
        <v>2.21</v>
      </c>
      <c r="P162" s="303">
        <v>2.21</v>
      </c>
      <c r="Q162" s="303">
        <v>2.21</v>
      </c>
      <c r="R162" s="303">
        <v>2.21</v>
      </c>
      <c r="S162" s="303">
        <v>2.21</v>
      </c>
      <c r="T162" s="303">
        <v>2.21</v>
      </c>
      <c r="U162" s="303">
        <v>2.21</v>
      </c>
      <c r="V162" s="303">
        <v>2.21</v>
      </c>
      <c r="W162" s="303">
        <v>2.21</v>
      </c>
      <c r="X162" s="303">
        <v>2.21</v>
      </c>
      <c r="Y162" s="303">
        <v>2.21</v>
      </c>
      <c r="Z162" s="304">
        <v>0.18</v>
      </c>
      <c r="AA162" s="304">
        <v>0.18</v>
      </c>
      <c r="AB162" s="304">
        <v>0.18</v>
      </c>
      <c r="AC162" s="304">
        <v>0.18</v>
      </c>
      <c r="AD162" s="304">
        <v>0.18</v>
      </c>
      <c r="AE162" s="304">
        <v>0.18</v>
      </c>
      <c r="AF162" s="304">
        <v>0.18</v>
      </c>
      <c r="AG162" s="304">
        <v>0.18</v>
      </c>
      <c r="AH162" s="304">
        <v>0.18</v>
      </c>
      <c r="AI162" s="304">
        <v>0.18</v>
      </c>
      <c r="AJ162" s="304">
        <v>0.18</v>
      </c>
      <c r="AK162" s="304">
        <v>0.18</v>
      </c>
      <c r="AL162" s="255">
        <v>2880</v>
      </c>
      <c r="AM162" s="254">
        <f t="shared" si="12"/>
        <v>518.4</v>
      </c>
      <c r="AN162" s="255">
        <v>11520</v>
      </c>
      <c r="AO162" s="254">
        <f t="shared" si="13"/>
        <v>2073.6</v>
      </c>
      <c r="AP162" s="255"/>
      <c r="AQ162" s="254">
        <f t="shared" si="14"/>
        <v>0</v>
      </c>
      <c r="AR162" s="255">
        <v>2880</v>
      </c>
      <c r="AS162" s="257">
        <f t="shared" si="15"/>
        <v>518.4</v>
      </c>
      <c r="AT162" s="255"/>
      <c r="AU162" s="257">
        <f t="shared" si="16"/>
        <v>0</v>
      </c>
      <c r="AV162" s="255">
        <v>3000</v>
      </c>
      <c r="AW162" s="257">
        <f t="shared" si="17"/>
        <v>540</v>
      </c>
      <c r="AX162" s="255">
        <v>3000</v>
      </c>
      <c r="AY162" s="257">
        <f t="shared" si="18"/>
        <v>540</v>
      </c>
      <c r="AZ162" s="255">
        <v>3000</v>
      </c>
      <c r="BA162" s="257">
        <f t="shared" si="19"/>
        <v>540</v>
      </c>
      <c r="BB162" s="255">
        <v>3000</v>
      </c>
      <c r="BC162" s="257">
        <f t="shared" si="20"/>
        <v>540</v>
      </c>
      <c r="BD162" s="255">
        <v>3000</v>
      </c>
      <c r="BE162" s="257">
        <f t="shared" si="21"/>
        <v>540</v>
      </c>
      <c r="BF162" s="255">
        <v>3000</v>
      </c>
      <c r="BG162" s="257">
        <f t="shared" si="22"/>
        <v>540</v>
      </c>
      <c r="BH162" s="255">
        <v>3000</v>
      </c>
      <c r="BI162" s="257">
        <f t="shared" si="23"/>
        <v>540</v>
      </c>
      <c r="BJ162" s="1" t="s">
        <v>603</v>
      </c>
      <c r="BL162" s="1" t="s">
        <v>457</v>
      </c>
      <c r="BM162" s="1" t="s">
        <v>604</v>
      </c>
    </row>
    <row r="163" spans="1:65" ht="15" customHeight="1">
      <c r="A163" s="250" t="s">
        <v>951</v>
      </c>
      <c r="B163" s="59" t="s">
        <v>1014</v>
      </c>
      <c r="C163" s="354" t="s">
        <v>172</v>
      </c>
      <c r="D163" s="424"/>
      <c r="E163" s="357" t="s">
        <v>214</v>
      </c>
      <c r="F163" s="421"/>
      <c r="G163" s="317">
        <v>2022</v>
      </c>
      <c r="H163" s="59" t="s">
        <v>366</v>
      </c>
      <c r="I163" s="315" t="s">
        <v>357</v>
      </c>
      <c r="J163" s="318" t="s">
        <v>217</v>
      </c>
      <c r="K163" s="59" t="s">
        <v>217</v>
      </c>
      <c r="L163" s="59" t="s">
        <v>177</v>
      </c>
      <c r="M163" s="303" t="s">
        <v>592</v>
      </c>
      <c r="N163" s="303">
        <v>3.63</v>
      </c>
      <c r="O163" s="303">
        <v>3.63</v>
      </c>
      <c r="P163" s="303">
        <v>3.63</v>
      </c>
      <c r="Q163" s="303">
        <v>3.63</v>
      </c>
      <c r="R163" s="401">
        <v>4.08</v>
      </c>
      <c r="S163" s="401">
        <v>4.08</v>
      </c>
      <c r="T163" s="401">
        <v>4.08</v>
      </c>
      <c r="U163" s="401">
        <v>4.08</v>
      </c>
      <c r="V163" s="401">
        <v>4.08</v>
      </c>
      <c r="W163" s="401">
        <v>4.08</v>
      </c>
      <c r="X163" s="401">
        <v>4.08</v>
      </c>
      <c r="Y163" s="401">
        <v>4.08</v>
      </c>
      <c r="Z163" s="59">
        <v>0.08</v>
      </c>
      <c r="AA163" s="59">
        <v>0.08</v>
      </c>
      <c r="AB163" s="59">
        <v>0.08</v>
      </c>
      <c r="AC163" s="59">
        <v>0.08</v>
      </c>
      <c r="AD163" s="402">
        <v>0.32000000000000028</v>
      </c>
      <c r="AE163" s="402">
        <v>0.32000000000000028</v>
      </c>
      <c r="AF163" s="402">
        <v>0.32000000000000028</v>
      </c>
      <c r="AG163" s="402">
        <v>0.32000000000000028</v>
      </c>
      <c r="AH163" s="402">
        <v>0.32000000000000028</v>
      </c>
      <c r="AI163" s="402">
        <v>0.32000000000000028</v>
      </c>
      <c r="AJ163" s="402">
        <v>0.32000000000000028</v>
      </c>
      <c r="AK163" s="402">
        <v>0.32000000000000028</v>
      </c>
      <c r="AL163" s="255">
        <v>2064</v>
      </c>
      <c r="AM163" s="254">
        <f t="shared" si="12"/>
        <v>165.12</v>
      </c>
      <c r="AN163" s="255">
        <v>2064</v>
      </c>
      <c r="AO163" s="254">
        <f t="shared" si="13"/>
        <v>165.12</v>
      </c>
      <c r="AP163" s="255">
        <v>564</v>
      </c>
      <c r="AQ163" s="254">
        <f t="shared" si="14"/>
        <v>45.12</v>
      </c>
      <c r="AR163" s="255">
        <v>612</v>
      </c>
      <c r="AS163" s="257">
        <f t="shared" si="15"/>
        <v>48.96</v>
      </c>
      <c r="AT163" s="255">
        <v>1140</v>
      </c>
      <c r="AU163" s="257">
        <f t="shared" si="16"/>
        <v>364.8000000000003</v>
      </c>
      <c r="AV163" s="255">
        <v>3000</v>
      </c>
      <c r="AW163" s="257">
        <f t="shared" si="17"/>
        <v>960.00000000000091</v>
      </c>
      <c r="AX163" s="255">
        <v>3000</v>
      </c>
      <c r="AY163" s="257">
        <f t="shared" si="18"/>
        <v>960.00000000000091</v>
      </c>
      <c r="AZ163" s="268">
        <v>4000</v>
      </c>
      <c r="BA163" s="257">
        <f t="shared" si="19"/>
        <v>1280.0000000000011</v>
      </c>
      <c r="BB163" s="268">
        <v>4000</v>
      </c>
      <c r="BC163" s="257">
        <f t="shared" si="20"/>
        <v>1280.0000000000011</v>
      </c>
      <c r="BD163" s="268">
        <v>4000</v>
      </c>
      <c r="BE163" s="257">
        <f t="shared" si="21"/>
        <v>1280.0000000000011</v>
      </c>
      <c r="BF163" s="268">
        <v>4000</v>
      </c>
      <c r="BG163" s="257">
        <f t="shared" si="22"/>
        <v>1280.0000000000011</v>
      </c>
      <c r="BH163" s="268">
        <v>3000</v>
      </c>
      <c r="BI163" s="257">
        <f t="shared" si="23"/>
        <v>960.00000000000091</v>
      </c>
      <c r="BJ163" s="1" t="s">
        <v>605</v>
      </c>
      <c r="BL163" s="1" t="s">
        <v>457</v>
      </c>
      <c r="BM163" s="1" t="s">
        <v>606</v>
      </c>
    </row>
    <row r="164" spans="1:65" ht="15" customHeight="1">
      <c r="A164" s="250" t="s">
        <v>951</v>
      </c>
      <c r="B164" s="59" t="s">
        <v>1014</v>
      </c>
      <c r="C164" s="354" t="s">
        <v>172</v>
      </c>
      <c r="D164" s="424"/>
      <c r="E164" s="357" t="s">
        <v>214</v>
      </c>
      <c r="F164" s="421"/>
      <c r="G164" s="317">
        <v>2022</v>
      </c>
      <c r="H164" s="59" t="s">
        <v>366</v>
      </c>
      <c r="I164" s="315" t="s">
        <v>357</v>
      </c>
      <c r="J164" s="318" t="s">
        <v>217</v>
      </c>
      <c r="K164" s="59" t="s">
        <v>217</v>
      </c>
      <c r="L164" s="59" t="s">
        <v>177</v>
      </c>
      <c r="M164" s="303" t="s">
        <v>455</v>
      </c>
      <c r="N164" s="303">
        <v>3.63</v>
      </c>
      <c r="O164" s="303">
        <v>3.63</v>
      </c>
      <c r="P164" s="303">
        <v>3.63</v>
      </c>
      <c r="Q164" s="303">
        <v>3.63</v>
      </c>
      <c r="R164" s="401">
        <v>4.08</v>
      </c>
      <c r="S164" s="401">
        <v>4.08</v>
      </c>
      <c r="T164" s="401">
        <v>4.08</v>
      </c>
      <c r="U164" s="401">
        <v>4.08</v>
      </c>
      <c r="V164" s="401">
        <v>4.08</v>
      </c>
      <c r="W164" s="401">
        <v>4.08</v>
      </c>
      <c r="X164" s="401">
        <v>4.08</v>
      </c>
      <c r="Y164" s="401">
        <v>4.08</v>
      </c>
      <c r="Z164" s="59">
        <v>0.08</v>
      </c>
      <c r="AA164" s="59">
        <v>0.08</v>
      </c>
      <c r="AB164" s="59">
        <v>0.08</v>
      </c>
      <c r="AC164" s="59">
        <v>0.08</v>
      </c>
      <c r="AD164" s="402">
        <v>0.32000000000000028</v>
      </c>
      <c r="AE164" s="402">
        <v>0.32000000000000028</v>
      </c>
      <c r="AF164" s="402">
        <v>0.32000000000000028</v>
      </c>
      <c r="AG164" s="402">
        <v>0.32000000000000028</v>
      </c>
      <c r="AH164" s="402">
        <v>0.32000000000000028</v>
      </c>
      <c r="AI164" s="402">
        <v>0.32000000000000028</v>
      </c>
      <c r="AJ164" s="402">
        <v>0.32000000000000028</v>
      </c>
      <c r="AK164" s="402">
        <v>0.32000000000000028</v>
      </c>
      <c r="AL164" s="255">
        <v>864</v>
      </c>
      <c r="AM164" s="254">
        <f t="shared" si="12"/>
        <v>69.12</v>
      </c>
      <c r="AN164" s="255">
        <v>1356</v>
      </c>
      <c r="AO164" s="254">
        <f t="shared" si="13"/>
        <v>108.48</v>
      </c>
      <c r="AP164" s="255">
        <v>984</v>
      </c>
      <c r="AQ164" s="254">
        <f t="shared" si="14"/>
        <v>78.72</v>
      </c>
      <c r="AR164" s="255">
        <v>132</v>
      </c>
      <c r="AS164" s="257">
        <f t="shared" si="15"/>
        <v>10.56</v>
      </c>
      <c r="AT164" s="382">
        <v>1884</v>
      </c>
      <c r="AU164" s="257">
        <f t="shared" si="16"/>
        <v>602.88000000000056</v>
      </c>
      <c r="AV164" s="268">
        <v>2000</v>
      </c>
      <c r="AW164" s="257">
        <f t="shared" si="17"/>
        <v>640.00000000000057</v>
      </c>
      <c r="AX164" s="268">
        <v>2000</v>
      </c>
      <c r="AY164" s="257">
        <f t="shared" si="18"/>
        <v>640.00000000000057</v>
      </c>
      <c r="AZ164" s="268">
        <v>3000</v>
      </c>
      <c r="BA164" s="257">
        <f t="shared" si="19"/>
        <v>960.00000000000091</v>
      </c>
      <c r="BB164" s="268">
        <v>3000</v>
      </c>
      <c r="BC164" s="257">
        <f t="shared" si="20"/>
        <v>960.00000000000091</v>
      </c>
      <c r="BD164" s="256">
        <v>2000</v>
      </c>
      <c r="BE164" s="257">
        <f t="shared" si="21"/>
        <v>640.00000000000057</v>
      </c>
      <c r="BF164" s="59">
        <v>5000</v>
      </c>
      <c r="BG164" s="257">
        <f t="shared" si="22"/>
        <v>1600.0000000000014</v>
      </c>
      <c r="BH164" s="59">
        <v>2000</v>
      </c>
      <c r="BI164" s="257">
        <f t="shared" si="23"/>
        <v>640.00000000000057</v>
      </c>
      <c r="BJ164" s="1" t="s">
        <v>605</v>
      </c>
      <c r="BL164" s="1" t="s">
        <v>457</v>
      </c>
      <c r="BM164" s="1" t="s">
        <v>606</v>
      </c>
    </row>
    <row r="165" spans="1:65" ht="15" customHeight="1">
      <c r="A165" s="250" t="s">
        <v>951</v>
      </c>
      <c r="B165" s="59" t="s">
        <v>1014</v>
      </c>
      <c r="C165" s="354" t="s">
        <v>172</v>
      </c>
      <c r="D165" s="424"/>
      <c r="E165" s="357" t="s">
        <v>214</v>
      </c>
      <c r="F165" s="421"/>
      <c r="G165" s="317">
        <v>2022</v>
      </c>
      <c r="H165" s="59" t="s">
        <v>366</v>
      </c>
      <c r="I165" s="315" t="s">
        <v>357</v>
      </c>
      <c r="J165" s="318" t="s">
        <v>217</v>
      </c>
      <c r="K165" s="59" t="s">
        <v>217</v>
      </c>
      <c r="L165" s="59" t="s">
        <v>177</v>
      </c>
      <c r="M165" s="303" t="s">
        <v>595</v>
      </c>
      <c r="N165" s="303">
        <v>3.71</v>
      </c>
      <c r="O165" s="303">
        <v>3.71</v>
      </c>
      <c r="P165" s="303">
        <v>3.71</v>
      </c>
      <c r="Q165" s="303">
        <v>3.71</v>
      </c>
      <c r="R165" s="401">
        <v>4.16</v>
      </c>
      <c r="S165" s="401">
        <v>4.16</v>
      </c>
      <c r="T165" s="401">
        <v>4.16</v>
      </c>
      <c r="U165" s="401">
        <v>4.16</v>
      </c>
      <c r="V165" s="401">
        <v>4.16</v>
      </c>
      <c r="W165" s="401">
        <v>4.16</v>
      </c>
      <c r="X165" s="401">
        <v>4.16</v>
      </c>
      <c r="Y165" s="401">
        <v>4.16</v>
      </c>
      <c r="Z165" s="59">
        <v>0.08</v>
      </c>
      <c r="AA165" s="59">
        <v>0.08</v>
      </c>
      <c r="AB165" s="59">
        <v>0.08</v>
      </c>
      <c r="AC165" s="59">
        <v>0.08</v>
      </c>
      <c r="AD165" s="402">
        <v>0.32000000000000028</v>
      </c>
      <c r="AE165" s="402">
        <v>0.32000000000000028</v>
      </c>
      <c r="AF165" s="402">
        <v>0.32000000000000028</v>
      </c>
      <c r="AG165" s="402">
        <v>0.32000000000000028</v>
      </c>
      <c r="AH165" s="402">
        <v>0.32000000000000028</v>
      </c>
      <c r="AI165" s="402">
        <v>0.32000000000000028</v>
      </c>
      <c r="AJ165" s="402">
        <v>0.32000000000000028</v>
      </c>
      <c r="AK165" s="402">
        <v>0.32000000000000028</v>
      </c>
      <c r="AL165" s="255">
        <v>8460</v>
      </c>
      <c r="AM165" s="254">
        <f t="shared" si="12"/>
        <v>676.80000000000007</v>
      </c>
      <c r="AN165" s="255">
        <v>12708</v>
      </c>
      <c r="AO165" s="254">
        <f t="shared" si="13"/>
        <v>1016.64</v>
      </c>
      <c r="AP165" s="255">
        <v>10092</v>
      </c>
      <c r="AQ165" s="254">
        <f t="shared" si="14"/>
        <v>807.36</v>
      </c>
      <c r="AR165" s="256">
        <v>1476</v>
      </c>
      <c r="AS165" s="257">
        <f t="shared" si="15"/>
        <v>118.08</v>
      </c>
      <c r="AT165" s="382">
        <v>24944</v>
      </c>
      <c r="AU165" s="257">
        <f t="shared" si="16"/>
        <v>7982.0800000000072</v>
      </c>
      <c r="AV165" s="268">
        <v>12000</v>
      </c>
      <c r="AW165" s="257">
        <f t="shared" si="17"/>
        <v>3840.0000000000036</v>
      </c>
      <c r="AX165" s="270">
        <v>10000</v>
      </c>
      <c r="AY165" s="257">
        <f t="shared" si="18"/>
        <v>3200.0000000000027</v>
      </c>
      <c r="AZ165" s="270">
        <v>10000</v>
      </c>
      <c r="BA165" s="257">
        <f t="shared" si="19"/>
        <v>3200.0000000000027</v>
      </c>
      <c r="BB165" s="268">
        <v>13000</v>
      </c>
      <c r="BC165" s="257">
        <f t="shared" si="20"/>
        <v>4160.0000000000036</v>
      </c>
      <c r="BD165" s="256">
        <v>10000</v>
      </c>
      <c r="BE165" s="257">
        <f t="shared" si="21"/>
        <v>3200.0000000000027</v>
      </c>
      <c r="BF165" s="59">
        <v>14000</v>
      </c>
      <c r="BG165" s="257">
        <f t="shared" si="22"/>
        <v>4480.0000000000036</v>
      </c>
      <c r="BH165" s="59">
        <v>10000</v>
      </c>
      <c r="BI165" s="257">
        <f t="shared" si="23"/>
        <v>3200.0000000000027</v>
      </c>
      <c r="BJ165" s="1" t="s">
        <v>605</v>
      </c>
      <c r="BL165" s="1" t="s">
        <v>457</v>
      </c>
      <c r="BM165" s="1" t="s">
        <v>607</v>
      </c>
    </row>
    <row r="166" spans="1:65" ht="15" customHeight="1">
      <c r="A166" s="250" t="s">
        <v>951</v>
      </c>
      <c r="B166" s="59" t="s">
        <v>1014</v>
      </c>
      <c r="C166" s="354" t="s">
        <v>172</v>
      </c>
      <c r="D166" s="424"/>
      <c r="E166" s="357" t="s">
        <v>214</v>
      </c>
      <c r="F166" s="421"/>
      <c r="G166" s="317">
        <v>2022</v>
      </c>
      <c r="H166" s="59" t="s">
        <v>366</v>
      </c>
      <c r="I166" s="315" t="s">
        <v>357</v>
      </c>
      <c r="J166" s="318" t="s">
        <v>217</v>
      </c>
      <c r="K166" s="59" t="s">
        <v>217</v>
      </c>
      <c r="L166" s="59" t="s">
        <v>177</v>
      </c>
      <c r="M166" s="303" t="s">
        <v>597</v>
      </c>
      <c r="N166" s="303">
        <v>3.63</v>
      </c>
      <c r="O166" s="303">
        <v>3.63</v>
      </c>
      <c r="P166" s="303">
        <v>3.63</v>
      </c>
      <c r="Q166" s="303">
        <v>3.63</v>
      </c>
      <c r="R166" s="401">
        <v>4.08</v>
      </c>
      <c r="S166" s="401">
        <v>4.08</v>
      </c>
      <c r="T166" s="401">
        <v>4.08</v>
      </c>
      <c r="U166" s="401">
        <v>4.08</v>
      </c>
      <c r="V166" s="401">
        <v>4.08</v>
      </c>
      <c r="W166" s="401">
        <v>4.08</v>
      </c>
      <c r="X166" s="401">
        <v>4.08</v>
      </c>
      <c r="Y166" s="401">
        <v>4.08</v>
      </c>
      <c r="Z166" s="59">
        <v>0.08</v>
      </c>
      <c r="AA166" s="59">
        <v>0.08</v>
      </c>
      <c r="AB166" s="59">
        <v>0.08</v>
      </c>
      <c r="AC166" s="59">
        <v>0.08</v>
      </c>
      <c r="AD166" s="402">
        <v>0.32000000000000028</v>
      </c>
      <c r="AE166" s="402">
        <v>0.32000000000000028</v>
      </c>
      <c r="AF166" s="402">
        <v>0.32000000000000028</v>
      </c>
      <c r="AG166" s="402">
        <v>0.32000000000000028</v>
      </c>
      <c r="AH166" s="402">
        <v>0.32000000000000028</v>
      </c>
      <c r="AI166" s="402">
        <v>0.32000000000000028</v>
      </c>
      <c r="AJ166" s="402">
        <v>0.32000000000000028</v>
      </c>
      <c r="AK166" s="402">
        <v>0.32000000000000028</v>
      </c>
      <c r="AL166" s="255"/>
      <c r="AM166" s="254">
        <f t="shared" si="12"/>
        <v>0</v>
      </c>
      <c r="AN166" s="255"/>
      <c r="AO166" s="254">
        <f t="shared" si="13"/>
        <v>0</v>
      </c>
      <c r="AP166" s="255">
        <v>0</v>
      </c>
      <c r="AQ166" s="254">
        <f t="shared" si="14"/>
        <v>0</v>
      </c>
      <c r="AR166" s="256">
        <v>0</v>
      </c>
      <c r="AS166" s="257">
        <f t="shared" si="15"/>
        <v>0</v>
      </c>
      <c r="AT166" s="382">
        <v>0</v>
      </c>
      <c r="AU166" s="257">
        <f t="shared" si="16"/>
        <v>0</v>
      </c>
      <c r="AV166" s="268"/>
      <c r="AW166" s="257">
        <f t="shared" si="17"/>
        <v>0</v>
      </c>
      <c r="AX166" s="270"/>
      <c r="AY166" s="257">
        <f t="shared" si="18"/>
        <v>0</v>
      </c>
      <c r="AZ166" s="268"/>
      <c r="BA166" s="257">
        <f t="shared" si="19"/>
        <v>0</v>
      </c>
      <c r="BB166" s="268"/>
      <c r="BC166" s="257">
        <f t="shared" si="20"/>
        <v>0</v>
      </c>
      <c r="BD166" s="256"/>
      <c r="BE166" s="257">
        <f t="shared" si="21"/>
        <v>0</v>
      </c>
      <c r="BF166" s="59"/>
      <c r="BG166" s="257">
        <f t="shared" si="22"/>
        <v>0</v>
      </c>
      <c r="BH166" s="59"/>
      <c r="BI166" s="257">
        <f t="shared" si="23"/>
        <v>0</v>
      </c>
      <c r="BJ166" s="1" t="s">
        <v>605</v>
      </c>
      <c r="BL166" s="1" t="s">
        <v>457</v>
      </c>
      <c r="BM166" s="1" t="s">
        <v>607</v>
      </c>
    </row>
    <row r="167" spans="1:65" ht="15" customHeight="1">
      <c r="A167" s="250" t="s">
        <v>951</v>
      </c>
      <c r="B167" s="59" t="s">
        <v>1014</v>
      </c>
      <c r="C167" s="354" t="s">
        <v>172</v>
      </c>
      <c r="D167" s="424"/>
      <c r="E167" s="357" t="s">
        <v>214</v>
      </c>
      <c r="F167" s="421"/>
      <c r="G167" s="317">
        <v>2022</v>
      </c>
      <c r="H167" s="59" t="s">
        <v>366</v>
      </c>
      <c r="I167" s="315" t="s">
        <v>357</v>
      </c>
      <c r="J167" s="318" t="s">
        <v>217</v>
      </c>
      <c r="K167" s="59" t="s">
        <v>217</v>
      </c>
      <c r="L167" s="59" t="s">
        <v>177</v>
      </c>
      <c r="M167" s="303" t="s">
        <v>598</v>
      </c>
      <c r="N167" s="303">
        <v>3.63</v>
      </c>
      <c r="O167" s="303">
        <v>3.63</v>
      </c>
      <c r="P167" s="303">
        <v>3.63</v>
      </c>
      <c r="Q167" s="303">
        <v>3.63</v>
      </c>
      <c r="R167" s="401">
        <v>4.08</v>
      </c>
      <c r="S167" s="401">
        <v>4.08</v>
      </c>
      <c r="T167" s="401">
        <v>4.08</v>
      </c>
      <c r="U167" s="401">
        <v>4.08</v>
      </c>
      <c r="V167" s="401">
        <v>4.08</v>
      </c>
      <c r="W167" s="401">
        <v>4.08</v>
      </c>
      <c r="X167" s="401">
        <v>4.08</v>
      </c>
      <c r="Y167" s="401">
        <v>4.08</v>
      </c>
      <c r="Z167" s="59">
        <v>0.08</v>
      </c>
      <c r="AA167" s="59">
        <v>0.08</v>
      </c>
      <c r="AB167" s="59">
        <v>0.08</v>
      </c>
      <c r="AC167" s="59">
        <v>0.08</v>
      </c>
      <c r="AD167" s="402">
        <v>0.32000000000000028</v>
      </c>
      <c r="AE167" s="402">
        <v>0.32000000000000028</v>
      </c>
      <c r="AF167" s="402">
        <v>0.32000000000000028</v>
      </c>
      <c r="AG167" s="402">
        <v>0.32000000000000028</v>
      </c>
      <c r="AH167" s="402">
        <v>0.32000000000000028</v>
      </c>
      <c r="AI167" s="402">
        <v>0.32000000000000028</v>
      </c>
      <c r="AJ167" s="402">
        <v>0.32000000000000028</v>
      </c>
      <c r="AK167" s="402">
        <v>0.32000000000000028</v>
      </c>
      <c r="AL167" s="255">
        <v>6612</v>
      </c>
      <c r="AM167" s="254">
        <f t="shared" si="12"/>
        <v>528.96</v>
      </c>
      <c r="AN167" s="255">
        <v>3792</v>
      </c>
      <c r="AO167" s="254">
        <f t="shared" si="13"/>
        <v>303.36</v>
      </c>
      <c r="AP167" s="255">
        <v>2172</v>
      </c>
      <c r="AQ167" s="254">
        <f t="shared" si="14"/>
        <v>173.76</v>
      </c>
      <c r="AR167" s="255">
        <v>372</v>
      </c>
      <c r="AS167" s="257">
        <f t="shared" si="15"/>
        <v>29.76</v>
      </c>
      <c r="AT167" s="255">
        <v>792</v>
      </c>
      <c r="AU167" s="257">
        <f t="shared" si="16"/>
        <v>253.44000000000023</v>
      </c>
      <c r="AV167" s="255">
        <v>5000</v>
      </c>
      <c r="AW167" s="257">
        <f t="shared" si="17"/>
        <v>1600.0000000000014</v>
      </c>
      <c r="AX167" s="255">
        <v>5000</v>
      </c>
      <c r="AY167" s="257">
        <f t="shared" si="18"/>
        <v>1600.0000000000014</v>
      </c>
      <c r="AZ167" s="255">
        <v>5000</v>
      </c>
      <c r="BA167" s="257">
        <f t="shared" si="19"/>
        <v>1600.0000000000014</v>
      </c>
      <c r="BB167" s="255">
        <v>5000</v>
      </c>
      <c r="BC167" s="257">
        <f t="shared" si="20"/>
        <v>1600.0000000000014</v>
      </c>
      <c r="BD167" s="255">
        <v>5000</v>
      </c>
      <c r="BE167" s="257">
        <f t="shared" si="21"/>
        <v>1600.0000000000014</v>
      </c>
      <c r="BF167" s="255">
        <v>5000</v>
      </c>
      <c r="BG167" s="257">
        <f t="shared" si="22"/>
        <v>1600.0000000000014</v>
      </c>
      <c r="BH167" s="255">
        <v>5000</v>
      </c>
      <c r="BI167" s="257">
        <f t="shared" si="23"/>
        <v>1600.0000000000014</v>
      </c>
      <c r="BJ167" s="1" t="s">
        <v>605</v>
      </c>
      <c r="BL167" s="1" t="s">
        <v>457</v>
      </c>
      <c r="BM167" s="1" t="s">
        <v>607</v>
      </c>
    </row>
    <row r="168" spans="1:65" ht="15" customHeight="1">
      <c r="A168" s="250" t="s">
        <v>951</v>
      </c>
      <c r="B168" s="59" t="s">
        <v>1014</v>
      </c>
      <c r="C168" s="354" t="s">
        <v>172</v>
      </c>
      <c r="D168" s="424"/>
      <c r="E168" s="357" t="s">
        <v>214</v>
      </c>
      <c r="F168" s="421"/>
      <c r="G168" s="317">
        <v>2022</v>
      </c>
      <c r="H168" s="59" t="s">
        <v>366</v>
      </c>
      <c r="I168" s="315" t="s">
        <v>357</v>
      </c>
      <c r="J168" s="318" t="s">
        <v>217</v>
      </c>
      <c r="K168" s="59" t="s">
        <v>217</v>
      </c>
      <c r="L168" s="59" t="s">
        <v>177</v>
      </c>
      <c r="M168" s="303" t="s">
        <v>599</v>
      </c>
      <c r="N168" s="303">
        <v>3.63</v>
      </c>
      <c r="O168" s="303">
        <v>3.63</v>
      </c>
      <c r="P168" s="303">
        <v>3.63</v>
      </c>
      <c r="Q168" s="303">
        <v>3.63</v>
      </c>
      <c r="R168" s="401">
        <v>4.08</v>
      </c>
      <c r="S168" s="401">
        <v>4.08</v>
      </c>
      <c r="T168" s="401">
        <v>4.08</v>
      </c>
      <c r="U168" s="401">
        <v>4.08</v>
      </c>
      <c r="V168" s="401">
        <v>4.08</v>
      </c>
      <c r="W168" s="401">
        <v>4.08</v>
      </c>
      <c r="X168" s="401">
        <v>4.08</v>
      </c>
      <c r="Y168" s="401">
        <v>4.08</v>
      </c>
      <c r="Z168" s="59">
        <v>0.08</v>
      </c>
      <c r="AA168" s="59">
        <v>0.08</v>
      </c>
      <c r="AB168" s="59">
        <v>0.08</v>
      </c>
      <c r="AC168" s="59">
        <v>0.08</v>
      </c>
      <c r="AD168" s="402">
        <v>0.32000000000000028</v>
      </c>
      <c r="AE168" s="402">
        <v>0.32000000000000028</v>
      </c>
      <c r="AF168" s="402">
        <v>0.32000000000000028</v>
      </c>
      <c r="AG168" s="402">
        <v>0.32000000000000028</v>
      </c>
      <c r="AH168" s="402">
        <v>0.32000000000000028</v>
      </c>
      <c r="AI168" s="402">
        <v>0.32000000000000028</v>
      </c>
      <c r="AJ168" s="402">
        <v>0.32000000000000028</v>
      </c>
      <c r="AK168" s="402">
        <v>0.32000000000000028</v>
      </c>
      <c r="AL168" s="255">
        <v>432</v>
      </c>
      <c r="AM168" s="254">
        <f t="shared" si="12"/>
        <v>34.56</v>
      </c>
      <c r="AN168" s="255">
        <v>1248</v>
      </c>
      <c r="AO168" s="254">
        <f t="shared" si="13"/>
        <v>99.84</v>
      </c>
      <c r="AP168" s="255">
        <v>396</v>
      </c>
      <c r="AQ168" s="254">
        <f t="shared" si="14"/>
        <v>31.68</v>
      </c>
      <c r="AR168" s="255">
        <v>420</v>
      </c>
      <c r="AS168" s="257">
        <f t="shared" si="15"/>
        <v>33.6</v>
      </c>
      <c r="AT168" s="255"/>
      <c r="AU168" s="257">
        <f t="shared" si="16"/>
        <v>0</v>
      </c>
      <c r="AV168" s="255">
        <v>500</v>
      </c>
      <c r="AW168" s="257">
        <f t="shared" si="17"/>
        <v>160.00000000000014</v>
      </c>
      <c r="AX168" s="255">
        <v>500</v>
      </c>
      <c r="AY168" s="257">
        <f t="shared" si="18"/>
        <v>160.00000000000014</v>
      </c>
      <c r="AZ168" s="255">
        <v>500</v>
      </c>
      <c r="BA168" s="257">
        <f t="shared" si="19"/>
        <v>160.00000000000014</v>
      </c>
      <c r="BB168" s="255">
        <v>500</v>
      </c>
      <c r="BC168" s="257">
        <f t="shared" si="20"/>
        <v>160.00000000000014</v>
      </c>
      <c r="BD168" s="255">
        <v>500</v>
      </c>
      <c r="BE168" s="257">
        <f t="shared" si="21"/>
        <v>160.00000000000014</v>
      </c>
      <c r="BF168" s="255">
        <v>500</v>
      </c>
      <c r="BG168" s="257">
        <f t="shared" si="22"/>
        <v>160.00000000000014</v>
      </c>
      <c r="BH168" s="255">
        <v>500</v>
      </c>
      <c r="BI168" s="257">
        <f t="shared" si="23"/>
        <v>160.00000000000014</v>
      </c>
      <c r="BJ168" s="1" t="s">
        <v>605</v>
      </c>
      <c r="BL168" s="1" t="s">
        <v>457</v>
      </c>
      <c r="BM168" s="1" t="s">
        <v>607</v>
      </c>
    </row>
    <row r="169" spans="1:65" ht="15" customHeight="1">
      <c r="A169" s="250" t="s">
        <v>951</v>
      </c>
      <c r="B169" s="59" t="s">
        <v>1014</v>
      </c>
      <c r="C169" s="354" t="s">
        <v>172</v>
      </c>
      <c r="D169" s="424"/>
      <c r="E169" s="357" t="s">
        <v>214</v>
      </c>
      <c r="F169" s="421"/>
      <c r="G169" s="317">
        <v>2022</v>
      </c>
      <c r="H169" s="59" t="s">
        <v>366</v>
      </c>
      <c r="I169" s="315" t="s">
        <v>357</v>
      </c>
      <c r="J169" s="318" t="s">
        <v>217</v>
      </c>
      <c r="K169" s="59" t="s">
        <v>217</v>
      </c>
      <c r="L169" s="59" t="s">
        <v>177</v>
      </c>
      <c r="M169" s="303" t="s">
        <v>600</v>
      </c>
      <c r="N169" s="303">
        <v>3.45</v>
      </c>
      <c r="O169" s="303">
        <v>3.45</v>
      </c>
      <c r="P169" s="303">
        <v>3.45</v>
      </c>
      <c r="Q169" s="303">
        <v>3.45</v>
      </c>
      <c r="R169" s="401">
        <v>3.9</v>
      </c>
      <c r="S169" s="401">
        <v>3.9</v>
      </c>
      <c r="T169" s="401">
        <v>3.9</v>
      </c>
      <c r="U169" s="401">
        <v>3.9</v>
      </c>
      <c r="V169" s="401">
        <v>3.9</v>
      </c>
      <c r="W169" s="401">
        <v>3.9</v>
      </c>
      <c r="X169" s="401">
        <v>3.9</v>
      </c>
      <c r="Y169" s="401">
        <v>3.9</v>
      </c>
      <c r="Z169" s="59">
        <v>0.08</v>
      </c>
      <c r="AA169" s="59">
        <v>0.08</v>
      </c>
      <c r="AB169" s="59">
        <v>0.08</v>
      </c>
      <c r="AC169" s="59">
        <v>0.08</v>
      </c>
      <c r="AD169" s="402">
        <v>0.32000000000000028</v>
      </c>
      <c r="AE169" s="402">
        <v>0.32000000000000028</v>
      </c>
      <c r="AF169" s="402">
        <v>0.32000000000000028</v>
      </c>
      <c r="AG169" s="402">
        <v>0.32000000000000028</v>
      </c>
      <c r="AH169" s="402">
        <v>0.32000000000000028</v>
      </c>
      <c r="AI169" s="402">
        <v>0.32000000000000028</v>
      </c>
      <c r="AJ169" s="402">
        <v>0.32000000000000028</v>
      </c>
      <c r="AK169" s="402">
        <v>0.32000000000000028</v>
      </c>
      <c r="AL169" s="255">
        <v>9180</v>
      </c>
      <c r="AM169" s="254">
        <f t="shared" si="12"/>
        <v>734.4</v>
      </c>
      <c r="AN169" s="255"/>
      <c r="AO169" s="254">
        <f t="shared" si="13"/>
        <v>0</v>
      </c>
      <c r="AP169" s="255"/>
      <c r="AQ169" s="254">
        <f t="shared" si="14"/>
        <v>0</v>
      </c>
      <c r="AR169" s="255">
        <v>9180</v>
      </c>
      <c r="AS169" s="257">
        <f t="shared" si="15"/>
        <v>734.4</v>
      </c>
      <c r="AT169" s="255"/>
      <c r="AU169" s="257">
        <f t="shared" si="16"/>
        <v>0</v>
      </c>
      <c r="AV169" s="255">
        <v>5000</v>
      </c>
      <c r="AW169" s="257">
        <f t="shared" si="17"/>
        <v>1600.0000000000014</v>
      </c>
      <c r="AX169" s="255">
        <v>5000</v>
      </c>
      <c r="AY169" s="257">
        <f t="shared" si="18"/>
        <v>1600.0000000000014</v>
      </c>
      <c r="AZ169" s="255">
        <v>5000</v>
      </c>
      <c r="BA169" s="257">
        <f t="shared" si="19"/>
        <v>1600.0000000000014</v>
      </c>
      <c r="BB169" s="255">
        <v>5000</v>
      </c>
      <c r="BC169" s="257">
        <f t="shared" si="20"/>
        <v>1600.0000000000014</v>
      </c>
      <c r="BD169" s="255">
        <v>5000</v>
      </c>
      <c r="BE169" s="257">
        <f t="shared" si="21"/>
        <v>1600.0000000000014</v>
      </c>
      <c r="BF169" s="255">
        <v>5000</v>
      </c>
      <c r="BG169" s="257">
        <f t="shared" si="22"/>
        <v>1600.0000000000014</v>
      </c>
      <c r="BH169" s="255">
        <v>5000</v>
      </c>
      <c r="BI169" s="257">
        <f t="shared" si="23"/>
        <v>1600.0000000000014</v>
      </c>
      <c r="BJ169" s="1" t="s">
        <v>605</v>
      </c>
      <c r="BL169" s="1" t="s">
        <v>457</v>
      </c>
      <c r="BM169" s="1" t="s">
        <v>607</v>
      </c>
    </row>
    <row r="170" spans="1:65" ht="15" customHeight="1">
      <c r="A170" s="250" t="s">
        <v>951</v>
      </c>
      <c r="B170" s="59" t="s">
        <v>1014</v>
      </c>
      <c r="C170" s="354" t="s">
        <v>172</v>
      </c>
      <c r="D170" s="424"/>
      <c r="E170" s="357" t="s">
        <v>214</v>
      </c>
      <c r="F170" s="421"/>
      <c r="G170" s="317">
        <v>2022</v>
      </c>
      <c r="H170" s="59" t="s">
        <v>366</v>
      </c>
      <c r="I170" s="315" t="s">
        <v>357</v>
      </c>
      <c r="J170" s="318" t="s">
        <v>217</v>
      </c>
      <c r="K170" s="59" t="s">
        <v>217</v>
      </c>
      <c r="L170" s="59" t="s">
        <v>177</v>
      </c>
      <c r="M170" s="303" t="s">
        <v>602</v>
      </c>
      <c r="N170" s="303">
        <v>3.67</v>
      </c>
      <c r="O170" s="303">
        <v>3.67</v>
      </c>
      <c r="P170" s="303">
        <v>3.67</v>
      </c>
      <c r="Q170" s="303">
        <v>3.67</v>
      </c>
      <c r="R170" s="401">
        <v>4.12</v>
      </c>
      <c r="S170" s="401">
        <v>4.12</v>
      </c>
      <c r="T170" s="401">
        <v>4.12</v>
      </c>
      <c r="U170" s="401">
        <v>4.12</v>
      </c>
      <c r="V170" s="401">
        <v>4.12</v>
      </c>
      <c r="W170" s="401">
        <v>4.12</v>
      </c>
      <c r="X170" s="401">
        <v>4.12</v>
      </c>
      <c r="Y170" s="401">
        <v>4.12</v>
      </c>
      <c r="Z170" s="59">
        <v>0.08</v>
      </c>
      <c r="AA170" s="59">
        <v>0.08</v>
      </c>
      <c r="AB170" s="59">
        <v>0.08</v>
      </c>
      <c r="AC170" s="59">
        <v>0.08</v>
      </c>
      <c r="AD170" s="402">
        <v>0.32000000000000028</v>
      </c>
      <c r="AE170" s="402">
        <v>0.32000000000000028</v>
      </c>
      <c r="AF170" s="402">
        <v>0.32000000000000028</v>
      </c>
      <c r="AG170" s="402">
        <v>0.32000000000000028</v>
      </c>
      <c r="AH170" s="402">
        <v>0.32000000000000028</v>
      </c>
      <c r="AI170" s="402">
        <v>0.32000000000000028</v>
      </c>
      <c r="AJ170" s="402">
        <v>0.32000000000000028</v>
      </c>
      <c r="AK170" s="402">
        <v>0.32000000000000028</v>
      </c>
      <c r="AL170" s="255">
        <v>588</v>
      </c>
      <c r="AM170" s="254">
        <f t="shared" si="12"/>
        <v>47.04</v>
      </c>
      <c r="AN170" s="255"/>
      <c r="AO170" s="254">
        <f t="shared" si="13"/>
        <v>0</v>
      </c>
      <c r="AP170" s="255"/>
      <c r="AQ170" s="254">
        <f t="shared" si="14"/>
        <v>0</v>
      </c>
      <c r="AR170" s="256"/>
      <c r="AS170" s="257">
        <f t="shared" si="15"/>
        <v>0</v>
      </c>
      <c r="AT170" s="256"/>
      <c r="AU170" s="257">
        <f t="shared" si="16"/>
        <v>0</v>
      </c>
      <c r="AV170" s="268">
        <v>2000</v>
      </c>
      <c r="AW170" s="257">
        <f t="shared" si="17"/>
        <v>640.00000000000057</v>
      </c>
      <c r="AX170" s="268">
        <v>2000</v>
      </c>
      <c r="AY170" s="257">
        <f t="shared" si="18"/>
        <v>640.00000000000057</v>
      </c>
      <c r="AZ170" s="268">
        <v>3000</v>
      </c>
      <c r="BA170" s="257">
        <f t="shared" si="19"/>
        <v>960.00000000000091</v>
      </c>
      <c r="BB170" s="268">
        <v>2000</v>
      </c>
      <c r="BC170" s="257">
        <f t="shared" si="20"/>
        <v>640.00000000000057</v>
      </c>
      <c r="BD170" s="268">
        <v>2000</v>
      </c>
      <c r="BE170" s="257">
        <f t="shared" si="21"/>
        <v>640.00000000000057</v>
      </c>
      <c r="BF170" s="59">
        <v>5000</v>
      </c>
      <c r="BG170" s="257">
        <f t="shared" si="22"/>
        <v>1600.0000000000014</v>
      </c>
      <c r="BH170" s="59">
        <v>2000</v>
      </c>
      <c r="BI170" s="257">
        <f t="shared" si="23"/>
        <v>640.00000000000057</v>
      </c>
      <c r="BJ170" s="1" t="s">
        <v>605</v>
      </c>
      <c r="BL170" s="1" t="s">
        <v>457</v>
      </c>
      <c r="BM170" s="1" t="s">
        <v>607</v>
      </c>
    </row>
    <row r="171" spans="1:65" ht="15.75" customHeight="1">
      <c r="A171" s="250" t="s">
        <v>951</v>
      </c>
      <c r="B171" s="59" t="s">
        <v>1014</v>
      </c>
      <c r="C171" s="354" t="s">
        <v>172</v>
      </c>
      <c r="D171" s="424"/>
      <c r="E171" s="357" t="s">
        <v>214</v>
      </c>
      <c r="F171" s="421"/>
      <c r="G171" s="317">
        <v>2022</v>
      </c>
      <c r="H171" s="59" t="s">
        <v>366</v>
      </c>
      <c r="I171" s="315" t="s">
        <v>367</v>
      </c>
      <c r="J171" s="318" t="s">
        <v>217</v>
      </c>
      <c r="K171" s="59" t="s">
        <v>217</v>
      </c>
      <c r="L171" s="59" t="s">
        <v>177</v>
      </c>
      <c r="M171" s="303" t="s">
        <v>592</v>
      </c>
      <c r="N171" s="303">
        <v>1.5</v>
      </c>
      <c r="O171" s="303">
        <v>1.5</v>
      </c>
      <c r="P171" s="303">
        <v>1.5</v>
      </c>
      <c r="Q171" s="303">
        <v>1.5</v>
      </c>
      <c r="R171" s="303">
        <v>1.5</v>
      </c>
      <c r="S171" s="303">
        <v>1.5</v>
      </c>
      <c r="T171" s="303">
        <v>1.5</v>
      </c>
      <c r="U171" s="303">
        <v>1.5</v>
      </c>
      <c r="V171" s="303">
        <v>1.5</v>
      </c>
      <c r="W171" s="303">
        <v>1.5</v>
      </c>
      <c r="X171" s="303">
        <v>1.5</v>
      </c>
      <c r="Y171" s="303">
        <v>1.5</v>
      </c>
      <c r="Z171" s="59">
        <v>0.02</v>
      </c>
      <c r="AA171" s="59">
        <v>0.02</v>
      </c>
      <c r="AB171" s="59">
        <v>0.02</v>
      </c>
      <c r="AC171" s="59">
        <v>0.02</v>
      </c>
      <c r="AD171" s="59">
        <v>0.02</v>
      </c>
      <c r="AE171" s="59">
        <v>0.02</v>
      </c>
      <c r="AF171" s="59">
        <v>0.02</v>
      </c>
      <c r="AG171" s="59">
        <v>0.02</v>
      </c>
      <c r="AH171" s="59">
        <v>0.02</v>
      </c>
      <c r="AI171" s="59">
        <v>0.02</v>
      </c>
      <c r="AJ171" s="59">
        <v>0.02</v>
      </c>
      <c r="AK171" s="59">
        <v>0.02</v>
      </c>
      <c r="AL171" s="255">
        <v>1080</v>
      </c>
      <c r="AM171" s="254">
        <f t="shared" si="12"/>
        <v>21.6</v>
      </c>
      <c r="AN171" s="255">
        <v>960</v>
      </c>
      <c r="AO171" s="254">
        <f t="shared" si="13"/>
        <v>19.2</v>
      </c>
      <c r="AP171" s="255">
        <v>360</v>
      </c>
      <c r="AQ171" s="254">
        <f t="shared" si="14"/>
        <v>7.2</v>
      </c>
      <c r="AR171" s="255">
        <v>360</v>
      </c>
      <c r="AS171" s="257">
        <f t="shared" si="15"/>
        <v>7.2</v>
      </c>
      <c r="AT171" s="382">
        <v>360</v>
      </c>
      <c r="AU171" s="257">
        <f t="shared" si="16"/>
        <v>7.2</v>
      </c>
      <c r="AV171" s="268"/>
      <c r="AW171" s="257">
        <f t="shared" si="17"/>
        <v>0</v>
      </c>
      <c r="AX171" s="270"/>
      <c r="AY171" s="257">
        <f t="shared" si="18"/>
        <v>0</v>
      </c>
      <c r="AZ171" s="268"/>
      <c r="BA171" s="257">
        <f t="shared" si="19"/>
        <v>0</v>
      </c>
      <c r="BB171" s="268"/>
      <c r="BC171" s="257">
        <f t="shared" si="20"/>
        <v>0</v>
      </c>
      <c r="BD171" s="256"/>
      <c r="BE171" s="257">
        <f t="shared" si="21"/>
        <v>0</v>
      </c>
      <c r="BF171" s="59"/>
      <c r="BG171" s="257">
        <f t="shared" si="22"/>
        <v>0</v>
      </c>
      <c r="BH171" s="59"/>
      <c r="BI171" s="257">
        <f t="shared" si="23"/>
        <v>0</v>
      </c>
      <c r="BJ171" s="1" t="s">
        <v>608</v>
      </c>
      <c r="BL171" s="1" t="s">
        <v>457</v>
      </c>
      <c r="BM171" s="1" t="s">
        <v>609</v>
      </c>
    </row>
    <row r="172" spans="1:65" ht="15.75" customHeight="1">
      <c r="A172" s="250" t="s">
        <v>951</v>
      </c>
      <c r="B172" s="59" t="s">
        <v>1014</v>
      </c>
      <c r="C172" s="354" t="s">
        <v>172</v>
      </c>
      <c r="D172" s="424"/>
      <c r="E172" s="357" t="s">
        <v>214</v>
      </c>
      <c r="F172" s="421"/>
      <c r="G172" s="317">
        <v>2022</v>
      </c>
      <c r="H172" s="59" t="s">
        <v>366</v>
      </c>
      <c r="I172" s="315" t="s">
        <v>367</v>
      </c>
      <c r="J172" s="318" t="s">
        <v>217</v>
      </c>
      <c r="K172" s="59" t="s">
        <v>217</v>
      </c>
      <c r="L172" s="59" t="s">
        <v>177</v>
      </c>
      <c r="M172" s="303" t="s">
        <v>455</v>
      </c>
      <c r="N172" s="303">
        <v>1.5</v>
      </c>
      <c r="O172" s="303">
        <v>1.5</v>
      </c>
      <c r="P172" s="303">
        <v>1.5</v>
      </c>
      <c r="Q172" s="303">
        <v>1.5</v>
      </c>
      <c r="R172" s="303">
        <v>1.5</v>
      </c>
      <c r="S172" s="303">
        <v>1.5</v>
      </c>
      <c r="T172" s="303">
        <v>1.5</v>
      </c>
      <c r="U172" s="303">
        <v>1.5</v>
      </c>
      <c r="V172" s="303">
        <v>1.5</v>
      </c>
      <c r="W172" s="303">
        <v>1.5</v>
      </c>
      <c r="X172" s="303">
        <v>1.5</v>
      </c>
      <c r="Y172" s="303">
        <v>1.5</v>
      </c>
      <c r="Z172" s="59">
        <v>0.02</v>
      </c>
      <c r="AA172" s="59">
        <v>0.02</v>
      </c>
      <c r="AB172" s="59">
        <v>0.02</v>
      </c>
      <c r="AC172" s="59">
        <v>0.02</v>
      </c>
      <c r="AD172" s="59">
        <v>0.02</v>
      </c>
      <c r="AE172" s="59">
        <v>0.02</v>
      </c>
      <c r="AF172" s="59">
        <v>0.02</v>
      </c>
      <c r="AG172" s="59">
        <v>0.02</v>
      </c>
      <c r="AH172" s="59">
        <v>0.02</v>
      </c>
      <c r="AI172" s="59">
        <v>0.02</v>
      </c>
      <c r="AJ172" s="59">
        <v>0.02</v>
      </c>
      <c r="AK172" s="59">
        <v>0.02</v>
      </c>
      <c r="AL172" s="255">
        <v>5520</v>
      </c>
      <c r="AM172" s="254">
        <f t="shared" si="12"/>
        <v>110.4</v>
      </c>
      <c r="AN172" s="255">
        <v>3120</v>
      </c>
      <c r="AO172" s="254">
        <f t="shared" si="13"/>
        <v>62.4</v>
      </c>
      <c r="AP172" s="255">
        <v>2400</v>
      </c>
      <c r="AQ172" s="254">
        <f t="shared" si="14"/>
        <v>48</v>
      </c>
      <c r="AR172" s="255">
        <v>240</v>
      </c>
      <c r="AS172" s="257">
        <f t="shared" si="15"/>
        <v>4.8</v>
      </c>
      <c r="AT172" s="382">
        <v>2280</v>
      </c>
      <c r="AU172" s="257">
        <f t="shared" si="16"/>
        <v>45.6</v>
      </c>
      <c r="AV172" s="382">
        <v>3000</v>
      </c>
      <c r="AW172" s="257">
        <f t="shared" si="17"/>
        <v>60</v>
      </c>
      <c r="AX172" s="382">
        <v>3000</v>
      </c>
      <c r="AY172" s="257">
        <f t="shared" si="18"/>
        <v>60</v>
      </c>
      <c r="AZ172" s="382">
        <v>3000</v>
      </c>
      <c r="BA172" s="257">
        <f t="shared" si="19"/>
        <v>60</v>
      </c>
      <c r="BB172" s="382">
        <v>3000</v>
      </c>
      <c r="BC172" s="257">
        <f t="shared" si="20"/>
        <v>60</v>
      </c>
      <c r="BD172" s="382">
        <v>3000</v>
      </c>
      <c r="BE172" s="257">
        <f t="shared" si="21"/>
        <v>60</v>
      </c>
      <c r="BF172" s="59">
        <v>4000</v>
      </c>
      <c r="BG172" s="257">
        <f t="shared" si="22"/>
        <v>80</v>
      </c>
      <c r="BH172" s="59">
        <v>3000</v>
      </c>
      <c r="BI172" s="257">
        <f t="shared" si="23"/>
        <v>60</v>
      </c>
      <c r="BJ172" s="1" t="s">
        <v>608</v>
      </c>
      <c r="BL172" s="1" t="s">
        <v>457</v>
      </c>
      <c r="BM172" s="1" t="s">
        <v>609</v>
      </c>
    </row>
    <row r="173" spans="1:65" ht="15.75" customHeight="1">
      <c r="A173" s="250" t="s">
        <v>951</v>
      </c>
      <c r="B173" s="59" t="s">
        <v>1014</v>
      </c>
      <c r="C173" s="354" t="s">
        <v>172</v>
      </c>
      <c r="D173" s="424"/>
      <c r="E173" s="357" t="s">
        <v>214</v>
      </c>
      <c r="F173" s="421"/>
      <c r="G173" s="317">
        <v>2022</v>
      </c>
      <c r="H173" s="59" t="s">
        <v>366</v>
      </c>
      <c r="I173" s="315" t="s">
        <v>367</v>
      </c>
      <c r="J173" s="318" t="s">
        <v>217</v>
      </c>
      <c r="K173" s="59" t="s">
        <v>217</v>
      </c>
      <c r="L173" s="59" t="s">
        <v>177</v>
      </c>
      <c r="M173" s="303" t="s">
        <v>595</v>
      </c>
      <c r="N173" s="303">
        <v>1.5</v>
      </c>
      <c r="O173" s="303">
        <v>1.5</v>
      </c>
      <c r="P173" s="303">
        <v>1.5</v>
      </c>
      <c r="Q173" s="303">
        <v>1.5</v>
      </c>
      <c r="R173" s="303">
        <v>1.5</v>
      </c>
      <c r="S173" s="303">
        <v>1.5</v>
      </c>
      <c r="T173" s="303">
        <v>1.5</v>
      </c>
      <c r="U173" s="303">
        <v>1.5</v>
      </c>
      <c r="V173" s="303">
        <v>1.5</v>
      </c>
      <c r="W173" s="303">
        <v>1.5</v>
      </c>
      <c r="X173" s="303">
        <v>1.5</v>
      </c>
      <c r="Y173" s="303">
        <v>1.5</v>
      </c>
      <c r="Z173" s="59">
        <v>0.02</v>
      </c>
      <c r="AA173" s="59">
        <v>0.02</v>
      </c>
      <c r="AB173" s="59">
        <v>0.02</v>
      </c>
      <c r="AC173" s="59">
        <v>0.02</v>
      </c>
      <c r="AD173" s="59">
        <v>0.02</v>
      </c>
      <c r="AE173" s="59">
        <v>0.02</v>
      </c>
      <c r="AF173" s="59">
        <v>0.02</v>
      </c>
      <c r="AG173" s="59">
        <v>0.02</v>
      </c>
      <c r="AH173" s="59">
        <v>0.02</v>
      </c>
      <c r="AI173" s="59">
        <v>0.02</v>
      </c>
      <c r="AJ173" s="59">
        <v>0.02</v>
      </c>
      <c r="AK173" s="59">
        <v>0.02</v>
      </c>
      <c r="AL173" s="255"/>
      <c r="AM173" s="254">
        <f t="shared" si="12"/>
        <v>0</v>
      </c>
      <c r="AN173" s="255">
        <v>120</v>
      </c>
      <c r="AO173" s="254">
        <f t="shared" si="13"/>
        <v>2.4</v>
      </c>
      <c r="AP173" s="255">
        <v>120</v>
      </c>
      <c r="AQ173" s="254">
        <f t="shared" si="14"/>
        <v>2.4</v>
      </c>
      <c r="AR173" s="255">
        <v>240</v>
      </c>
      <c r="AS173" s="257">
        <f t="shared" si="15"/>
        <v>4.8</v>
      </c>
      <c r="AT173" s="382">
        <v>360</v>
      </c>
      <c r="AU173" s="257">
        <f t="shared" si="16"/>
        <v>7.2</v>
      </c>
      <c r="AV173" s="268"/>
      <c r="AW173" s="257">
        <f t="shared" si="17"/>
        <v>0</v>
      </c>
      <c r="AX173" s="270"/>
      <c r="AY173" s="257">
        <f t="shared" si="18"/>
        <v>0</v>
      </c>
      <c r="AZ173" s="268"/>
      <c r="BA173" s="257">
        <f t="shared" si="19"/>
        <v>0</v>
      </c>
      <c r="BB173" s="268"/>
      <c r="BC173" s="257">
        <f t="shared" si="20"/>
        <v>0</v>
      </c>
      <c r="BD173" s="256"/>
      <c r="BE173" s="257">
        <f t="shared" si="21"/>
        <v>0</v>
      </c>
      <c r="BF173" s="59"/>
      <c r="BG173" s="257">
        <f t="shared" si="22"/>
        <v>0</v>
      </c>
      <c r="BH173" s="59"/>
      <c r="BI173" s="257">
        <f t="shared" si="23"/>
        <v>0</v>
      </c>
      <c r="BJ173" s="1" t="s">
        <v>608</v>
      </c>
      <c r="BL173" s="1" t="s">
        <v>457</v>
      </c>
      <c r="BM173" s="1" t="s">
        <v>609</v>
      </c>
    </row>
    <row r="174" spans="1:65" ht="15.75" customHeight="1">
      <c r="A174" s="250" t="s">
        <v>951</v>
      </c>
      <c r="B174" s="59" t="s">
        <v>1014</v>
      </c>
      <c r="C174" s="354" t="s">
        <v>172</v>
      </c>
      <c r="D174" s="424"/>
      <c r="E174" s="357" t="s">
        <v>214</v>
      </c>
      <c r="F174" s="421"/>
      <c r="G174" s="317">
        <v>2022</v>
      </c>
      <c r="H174" s="59" t="s">
        <v>366</v>
      </c>
      <c r="I174" s="315" t="s">
        <v>367</v>
      </c>
      <c r="J174" s="318" t="s">
        <v>217</v>
      </c>
      <c r="K174" s="59" t="s">
        <v>217</v>
      </c>
      <c r="L174" s="59" t="s">
        <v>177</v>
      </c>
      <c r="M174" s="303" t="s">
        <v>597</v>
      </c>
      <c r="N174" s="303">
        <v>1.5</v>
      </c>
      <c r="O174" s="303">
        <v>1.5</v>
      </c>
      <c r="P174" s="303">
        <v>1.5</v>
      </c>
      <c r="Q174" s="303">
        <v>1.5</v>
      </c>
      <c r="R174" s="303">
        <v>1.5</v>
      </c>
      <c r="S174" s="303">
        <v>1.5</v>
      </c>
      <c r="T174" s="303">
        <v>1.5</v>
      </c>
      <c r="U174" s="303">
        <v>1.5</v>
      </c>
      <c r="V174" s="303">
        <v>1.5</v>
      </c>
      <c r="W174" s="303">
        <v>1.5</v>
      </c>
      <c r="X174" s="303">
        <v>1.5</v>
      </c>
      <c r="Y174" s="303">
        <v>1.5</v>
      </c>
      <c r="Z174" s="59">
        <v>0.02</v>
      </c>
      <c r="AA174" s="59">
        <v>0.02</v>
      </c>
      <c r="AB174" s="59">
        <v>0.02</v>
      </c>
      <c r="AC174" s="59">
        <v>0.02</v>
      </c>
      <c r="AD174" s="59">
        <v>0.02</v>
      </c>
      <c r="AE174" s="59">
        <v>0.02</v>
      </c>
      <c r="AF174" s="59">
        <v>0.02</v>
      </c>
      <c r="AG174" s="59">
        <v>0.02</v>
      </c>
      <c r="AH174" s="59">
        <v>0.02</v>
      </c>
      <c r="AI174" s="59">
        <v>0.02</v>
      </c>
      <c r="AJ174" s="59">
        <v>0.02</v>
      </c>
      <c r="AK174" s="59">
        <v>0.02</v>
      </c>
      <c r="AL174" s="255"/>
      <c r="AM174" s="254">
        <f t="shared" ref="AM174:AM261" si="24">Z174*AL174</f>
        <v>0</v>
      </c>
      <c r="AN174" s="255"/>
      <c r="AO174" s="254">
        <f t="shared" ref="AO174:AO261" si="25">AA174*AN174</f>
        <v>0</v>
      </c>
      <c r="AP174" s="255">
        <v>0</v>
      </c>
      <c r="AQ174" s="254">
        <f t="shared" ref="AQ174:AQ261" si="26">AB174*AP174</f>
        <v>0</v>
      </c>
      <c r="AR174" s="255">
        <v>0</v>
      </c>
      <c r="AS174" s="257">
        <f t="shared" ref="AS174:AS261" si="27">AC174*AR174</f>
        <v>0</v>
      </c>
      <c r="AT174" s="382">
        <v>0</v>
      </c>
      <c r="AU174" s="257">
        <f t="shared" ref="AU174:AU261" si="28">AD174*AT174</f>
        <v>0</v>
      </c>
      <c r="AV174" s="268"/>
      <c r="AW174" s="257">
        <f t="shared" ref="AW174:AW261" si="29">AE174*AV174</f>
        <v>0</v>
      </c>
      <c r="AX174" s="270"/>
      <c r="AY174" s="257">
        <f t="shared" ref="AY174:AY261" si="30">AF174*AX174</f>
        <v>0</v>
      </c>
      <c r="AZ174" s="268"/>
      <c r="BA174" s="257">
        <f t="shared" ref="BA174:BA261" si="31">AG174*AZ174</f>
        <v>0</v>
      </c>
      <c r="BB174" s="268"/>
      <c r="BC174" s="257">
        <f t="shared" ref="BC174:BC261" si="32">AH174*BB174</f>
        <v>0</v>
      </c>
      <c r="BD174" s="256"/>
      <c r="BE174" s="257">
        <f t="shared" ref="BE174:BE261" si="33">AI174*BD174</f>
        <v>0</v>
      </c>
      <c r="BF174" s="59"/>
      <c r="BG174" s="257">
        <f t="shared" ref="BG174:BG261" si="34">AJ174*BF174</f>
        <v>0</v>
      </c>
      <c r="BH174" s="59"/>
      <c r="BI174" s="257">
        <f t="shared" ref="BI174:BI261" si="35">AK174*BH174</f>
        <v>0</v>
      </c>
      <c r="BJ174" s="1" t="s">
        <v>608</v>
      </c>
      <c r="BL174" s="1" t="s">
        <v>457</v>
      </c>
      <c r="BM174" s="1" t="s">
        <v>609</v>
      </c>
    </row>
    <row r="175" spans="1:65" ht="15.75" customHeight="1">
      <c r="A175" s="250" t="s">
        <v>951</v>
      </c>
      <c r="B175" s="59" t="s">
        <v>1014</v>
      </c>
      <c r="C175" s="354" t="s">
        <v>172</v>
      </c>
      <c r="D175" s="424"/>
      <c r="E175" s="357" t="s">
        <v>214</v>
      </c>
      <c r="F175" s="421"/>
      <c r="G175" s="317">
        <v>2022</v>
      </c>
      <c r="H175" s="59" t="s">
        <v>366</v>
      </c>
      <c r="I175" s="315" t="s">
        <v>367</v>
      </c>
      <c r="J175" s="318" t="s">
        <v>217</v>
      </c>
      <c r="K175" s="59" t="s">
        <v>217</v>
      </c>
      <c r="L175" s="59" t="s">
        <v>177</v>
      </c>
      <c r="M175" s="303" t="s">
        <v>598</v>
      </c>
      <c r="N175" s="303">
        <v>1.5</v>
      </c>
      <c r="O175" s="303">
        <v>1.5</v>
      </c>
      <c r="P175" s="303">
        <v>1.5</v>
      </c>
      <c r="Q175" s="303">
        <v>1.5</v>
      </c>
      <c r="R175" s="303">
        <v>1.5</v>
      </c>
      <c r="S175" s="303">
        <v>1.5</v>
      </c>
      <c r="T175" s="303">
        <v>1.5</v>
      </c>
      <c r="U175" s="303">
        <v>1.5</v>
      </c>
      <c r="V175" s="303">
        <v>1.5</v>
      </c>
      <c r="W175" s="303">
        <v>1.5</v>
      </c>
      <c r="X175" s="303">
        <v>1.5</v>
      </c>
      <c r="Y175" s="303">
        <v>1.5</v>
      </c>
      <c r="Z175" s="59">
        <v>0.02</v>
      </c>
      <c r="AA175" s="59">
        <v>0.02</v>
      </c>
      <c r="AB175" s="59">
        <v>0.02</v>
      </c>
      <c r="AC175" s="59">
        <v>0.02</v>
      </c>
      <c r="AD175" s="59">
        <v>0.02</v>
      </c>
      <c r="AE175" s="59">
        <v>0.02</v>
      </c>
      <c r="AF175" s="59">
        <v>0.02</v>
      </c>
      <c r="AG175" s="59">
        <v>0.02</v>
      </c>
      <c r="AH175" s="59">
        <v>0.02</v>
      </c>
      <c r="AI175" s="59">
        <v>0.02</v>
      </c>
      <c r="AJ175" s="59">
        <v>0.02</v>
      </c>
      <c r="AK175" s="59">
        <v>0.02</v>
      </c>
      <c r="AL175" s="255">
        <v>8160</v>
      </c>
      <c r="AM175" s="254">
        <f t="shared" si="24"/>
        <v>163.20000000000002</v>
      </c>
      <c r="AN175" s="255">
        <v>4320</v>
      </c>
      <c r="AO175" s="254">
        <f t="shared" si="25"/>
        <v>86.4</v>
      </c>
      <c r="AP175" s="255">
        <v>2160</v>
      </c>
      <c r="AQ175" s="254">
        <f t="shared" si="26"/>
        <v>43.2</v>
      </c>
      <c r="AR175" s="255">
        <v>1080</v>
      </c>
      <c r="AS175" s="257">
        <f t="shared" si="27"/>
        <v>21.6</v>
      </c>
      <c r="AT175" s="382">
        <v>360</v>
      </c>
      <c r="AU175" s="257">
        <f t="shared" si="28"/>
        <v>7.2</v>
      </c>
      <c r="AV175" s="268">
        <v>5000</v>
      </c>
      <c r="AW175" s="257">
        <f t="shared" si="29"/>
        <v>100</v>
      </c>
      <c r="AX175" s="268">
        <v>5000</v>
      </c>
      <c r="AY175" s="257">
        <f t="shared" si="30"/>
        <v>100</v>
      </c>
      <c r="AZ175" s="268">
        <v>5000</v>
      </c>
      <c r="BA175" s="257">
        <f t="shared" si="31"/>
        <v>100</v>
      </c>
      <c r="BB175" s="268">
        <v>7000</v>
      </c>
      <c r="BC175" s="257">
        <f t="shared" si="32"/>
        <v>140</v>
      </c>
      <c r="BD175" s="268">
        <v>7000</v>
      </c>
      <c r="BE175" s="257">
        <f t="shared" si="33"/>
        <v>140</v>
      </c>
      <c r="BF175" s="59">
        <v>5000</v>
      </c>
      <c r="BG175" s="257">
        <f t="shared" si="34"/>
        <v>100</v>
      </c>
      <c r="BH175" s="59">
        <v>5000</v>
      </c>
      <c r="BI175" s="257">
        <f t="shared" si="35"/>
        <v>100</v>
      </c>
      <c r="BJ175" s="1" t="s">
        <v>608</v>
      </c>
      <c r="BL175" s="1" t="s">
        <v>457</v>
      </c>
      <c r="BM175" s="1" t="s">
        <v>609</v>
      </c>
    </row>
    <row r="176" spans="1:65" ht="15.75" customHeight="1">
      <c r="A176" s="250" t="s">
        <v>951</v>
      </c>
      <c r="B176" s="59" t="s">
        <v>1014</v>
      </c>
      <c r="C176" s="354" t="s">
        <v>172</v>
      </c>
      <c r="D176" s="424"/>
      <c r="E176" s="357" t="s">
        <v>214</v>
      </c>
      <c r="F176" s="421"/>
      <c r="G176" s="317">
        <v>2022</v>
      </c>
      <c r="H176" s="59" t="s">
        <v>366</v>
      </c>
      <c r="I176" s="315" t="s">
        <v>367</v>
      </c>
      <c r="J176" s="318" t="s">
        <v>217</v>
      </c>
      <c r="K176" s="59" t="s">
        <v>217</v>
      </c>
      <c r="L176" s="59" t="s">
        <v>177</v>
      </c>
      <c r="M176" s="303" t="s">
        <v>599</v>
      </c>
      <c r="N176" s="303">
        <v>1.5</v>
      </c>
      <c r="O176" s="303">
        <v>1.5</v>
      </c>
      <c r="P176" s="303">
        <v>1.5</v>
      </c>
      <c r="Q176" s="303">
        <v>1.5</v>
      </c>
      <c r="R176" s="303">
        <v>1.5</v>
      </c>
      <c r="S176" s="303">
        <v>1.5</v>
      </c>
      <c r="T176" s="303">
        <v>1.5</v>
      </c>
      <c r="U176" s="303">
        <v>1.5</v>
      </c>
      <c r="V176" s="303">
        <v>1.5</v>
      </c>
      <c r="W176" s="303">
        <v>1.5</v>
      </c>
      <c r="X176" s="303">
        <v>1.5</v>
      </c>
      <c r="Y176" s="303">
        <v>1.5</v>
      </c>
      <c r="Z176" s="59">
        <v>0.02</v>
      </c>
      <c r="AA176" s="59">
        <v>0.02</v>
      </c>
      <c r="AB176" s="59">
        <v>0.02</v>
      </c>
      <c r="AC176" s="59">
        <v>0.02</v>
      </c>
      <c r="AD176" s="59">
        <v>0.02</v>
      </c>
      <c r="AE176" s="59">
        <v>0.02</v>
      </c>
      <c r="AF176" s="59">
        <v>0.02</v>
      </c>
      <c r="AG176" s="59">
        <v>0.02</v>
      </c>
      <c r="AH176" s="59">
        <v>0.02</v>
      </c>
      <c r="AI176" s="59">
        <v>0.02</v>
      </c>
      <c r="AJ176" s="59">
        <v>0.02</v>
      </c>
      <c r="AK176" s="59">
        <v>0.02</v>
      </c>
      <c r="AL176" s="255"/>
      <c r="AM176" s="254">
        <f t="shared" si="24"/>
        <v>0</v>
      </c>
      <c r="AN176" s="255">
        <v>120</v>
      </c>
      <c r="AO176" s="254">
        <f t="shared" si="25"/>
        <v>2.4</v>
      </c>
      <c r="AP176" s="255"/>
      <c r="AQ176" s="254">
        <f t="shared" si="26"/>
        <v>0</v>
      </c>
      <c r="AR176" s="255"/>
      <c r="AS176" s="257">
        <f t="shared" si="27"/>
        <v>0</v>
      </c>
      <c r="AT176" s="382"/>
      <c r="AU176" s="257">
        <f t="shared" si="28"/>
        <v>0</v>
      </c>
      <c r="AV176" s="268"/>
      <c r="AW176" s="257">
        <f t="shared" si="29"/>
        <v>0</v>
      </c>
      <c r="AX176" s="270"/>
      <c r="AY176" s="257">
        <f t="shared" si="30"/>
        <v>0</v>
      </c>
      <c r="AZ176" s="268"/>
      <c r="BA176" s="257">
        <f t="shared" si="31"/>
        <v>0</v>
      </c>
      <c r="BB176" s="268"/>
      <c r="BC176" s="257">
        <f t="shared" si="32"/>
        <v>0</v>
      </c>
      <c r="BD176" s="268"/>
      <c r="BE176" s="257">
        <f t="shared" si="33"/>
        <v>0</v>
      </c>
      <c r="BF176" s="59"/>
      <c r="BG176" s="257">
        <f t="shared" si="34"/>
        <v>0</v>
      </c>
      <c r="BH176" s="59"/>
      <c r="BI176" s="257">
        <f t="shared" si="35"/>
        <v>0</v>
      </c>
      <c r="BJ176" s="1" t="s">
        <v>608</v>
      </c>
      <c r="BL176" s="1" t="s">
        <v>457</v>
      </c>
      <c r="BM176" s="1" t="s">
        <v>609</v>
      </c>
    </row>
    <row r="177" spans="1:65" ht="15.75" customHeight="1">
      <c r="A177" s="250" t="s">
        <v>951</v>
      </c>
      <c r="B177" s="59" t="s">
        <v>1014</v>
      </c>
      <c r="C177" s="354" t="s">
        <v>172</v>
      </c>
      <c r="D177" s="424"/>
      <c r="E177" s="357"/>
      <c r="F177" s="421"/>
      <c r="G177" s="317">
        <v>2022</v>
      </c>
      <c r="H177" s="59" t="s">
        <v>366</v>
      </c>
      <c r="I177" s="315" t="s">
        <v>367</v>
      </c>
      <c r="J177" s="318" t="s">
        <v>217</v>
      </c>
      <c r="K177" s="59" t="s">
        <v>217</v>
      </c>
      <c r="L177" s="59" t="s">
        <v>177</v>
      </c>
      <c r="M177" s="303" t="s">
        <v>601</v>
      </c>
      <c r="N177" s="303">
        <v>1.6</v>
      </c>
      <c r="O177" s="303">
        <v>1.6</v>
      </c>
      <c r="P177" s="303">
        <v>1.6</v>
      </c>
      <c r="Q177" s="303">
        <v>1.6</v>
      </c>
      <c r="R177" s="303">
        <v>1.6</v>
      </c>
      <c r="S177" s="303">
        <v>1.6</v>
      </c>
      <c r="T177" s="303">
        <v>1.6</v>
      </c>
      <c r="U177" s="303">
        <v>1.6</v>
      </c>
      <c r="V177" s="303">
        <v>1.6</v>
      </c>
      <c r="W177" s="303">
        <v>1.6</v>
      </c>
      <c r="X177" s="303">
        <v>1.6</v>
      </c>
      <c r="Y177" s="303">
        <v>1.6</v>
      </c>
      <c r="Z177" s="59">
        <v>0.02</v>
      </c>
      <c r="AA177" s="59">
        <v>0.02</v>
      </c>
      <c r="AB177" s="59">
        <v>0.02</v>
      </c>
      <c r="AC177" s="59">
        <v>0.02</v>
      </c>
      <c r="AD177" s="59">
        <v>0.02</v>
      </c>
      <c r="AE177" s="59">
        <v>0.02</v>
      </c>
      <c r="AF177" s="59">
        <v>0.02</v>
      </c>
      <c r="AG177" s="59">
        <v>0.02</v>
      </c>
      <c r="AH177" s="59">
        <v>0.02</v>
      </c>
      <c r="AI177" s="59">
        <v>0.02</v>
      </c>
      <c r="AJ177" s="59">
        <v>0.02</v>
      </c>
      <c r="AK177" s="59">
        <v>0.02</v>
      </c>
      <c r="AL177" s="255">
        <v>29760</v>
      </c>
      <c r="AM177" s="254">
        <f t="shared" si="24"/>
        <v>595.20000000000005</v>
      </c>
      <c r="AN177" s="255"/>
      <c r="AO177" s="254">
        <f t="shared" si="25"/>
        <v>0</v>
      </c>
      <c r="AP177" s="255"/>
      <c r="AQ177" s="254">
        <f t="shared" si="26"/>
        <v>0</v>
      </c>
      <c r="AR177" s="255">
        <v>8640</v>
      </c>
      <c r="AS177" s="257">
        <f t="shared" si="27"/>
        <v>172.8</v>
      </c>
      <c r="AT177" s="382">
        <v>8640</v>
      </c>
      <c r="AU177" s="257">
        <f t="shared" si="28"/>
        <v>172.8</v>
      </c>
      <c r="AV177" s="268"/>
      <c r="AW177" s="257">
        <f t="shared" si="29"/>
        <v>0</v>
      </c>
      <c r="AX177" s="270"/>
      <c r="AY177" s="257">
        <f t="shared" si="30"/>
        <v>0</v>
      </c>
      <c r="AZ177" s="268"/>
      <c r="BA177" s="257">
        <f t="shared" si="31"/>
        <v>0</v>
      </c>
      <c r="BB177" s="268"/>
      <c r="BC177" s="257">
        <f t="shared" si="32"/>
        <v>0</v>
      </c>
      <c r="BD177" s="268"/>
      <c r="BE177" s="257">
        <f t="shared" si="33"/>
        <v>0</v>
      </c>
      <c r="BF177" s="59"/>
      <c r="BG177" s="257">
        <f t="shared" si="34"/>
        <v>0</v>
      </c>
      <c r="BH177" s="59"/>
      <c r="BI177" s="257">
        <f t="shared" si="35"/>
        <v>0</v>
      </c>
      <c r="BJ177" s="1" t="s">
        <v>608</v>
      </c>
      <c r="BL177" s="1" t="s">
        <v>457</v>
      </c>
      <c r="BM177" s="1" t="s">
        <v>609</v>
      </c>
    </row>
    <row r="178" spans="1:65" ht="15.75" customHeight="1">
      <c r="A178" s="250" t="s">
        <v>951</v>
      </c>
      <c r="B178" s="59" t="s">
        <v>1014</v>
      </c>
      <c r="C178" s="354" t="s">
        <v>172</v>
      </c>
      <c r="D178" s="424"/>
      <c r="E178" s="357" t="s">
        <v>214</v>
      </c>
      <c r="F178" s="421"/>
      <c r="G178" s="317">
        <v>2022</v>
      </c>
      <c r="H178" s="59" t="s">
        <v>366</v>
      </c>
      <c r="I178" s="315" t="s">
        <v>367</v>
      </c>
      <c r="J178" s="318" t="s">
        <v>217</v>
      </c>
      <c r="K178" s="59" t="s">
        <v>217</v>
      </c>
      <c r="L178" s="59" t="s">
        <v>177</v>
      </c>
      <c r="M178" s="303" t="s">
        <v>602</v>
      </c>
      <c r="N178" s="303">
        <v>1.6</v>
      </c>
      <c r="O178" s="303">
        <v>1.6</v>
      </c>
      <c r="P178" s="303">
        <v>1.6</v>
      </c>
      <c r="Q178" s="303">
        <v>1.6</v>
      </c>
      <c r="R178" s="303">
        <v>1.6</v>
      </c>
      <c r="S178" s="303">
        <v>1.6</v>
      </c>
      <c r="T178" s="303">
        <v>1.6</v>
      </c>
      <c r="U178" s="303">
        <v>1.6</v>
      </c>
      <c r="V178" s="303">
        <v>1.6</v>
      </c>
      <c r="W178" s="303">
        <v>1.6</v>
      </c>
      <c r="X178" s="303">
        <v>1.6</v>
      </c>
      <c r="Y178" s="303">
        <v>1.6</v>
      </c>
      <c r="Z178" s="59">
        <v>0.02</v>
      </c>
      <c r="AA178" s="59">
        <v>0.02</v>
      </c>
      <c r="AB178" s="59">
        <v>0.02</v>
      </c>
      <c r="AC178" s="59">
        <v>0.02</v>
      </c>
      <c r="AD178" s="59">
        <v>0.02</v>
      </c>
      <c r="AE178" s="59">
        <v>0.02</v>
      </c>
      <c r="AF178" s="59">
        <v>0.02</v>
      </c>
      <c r="AG178" s="59">
        <v>0.02</v>
      </c>
      <c r="AH178" s="59">
        <v>0.02</v>
      </c>
      <c r="AI178" s="59">
        <v>0.02</v>
      </c>
      <c r="AJ178" s="59">
        <v>0.02</v>
      </c>
      <c r="AK178" s="59">
        <v>0.02</v>
      </c>
      <c r="AL178" s="255">
        <v>4800</v>
      </c>
      <c r="AM178" s="254">
        <f t="shared" si="24"/>
        <v>96</v>
      </c>
      <c r="AN178" s="255">
        <v>4800</v>
      </c>
      <c r="AO178" s="254">
        <f t="shared" si="25"/>
        <v>96</v>
      </c>
      <c r="AP178" s="255">
        <v>4800</v>
      </c>
      <c r="AQ178" s="254">
        <f t="shared" si="26"/>
        <v>96</v>
      </c>
      <c r="AR178" s="255">
        <v>4800</v>
      </c>
      <c r="AS178" s="257">
        <f t="shared" si="27"/>
        <v>96</v>
      </c>
      <c r="AT178" s="255">
        <v>2400</v>
      </c>
      <c r="AU178" s="257">
        <f t="shared" si="28"/>
        <v>48</v>
      </c>
      <c r="AV178" s="255">
        <v>1000</v>
      </c>
      <c r="AW178" s="257">
        <f t="shared" si="29"/>
        <v>20</v>
      </c>
      <c r="AX178" s="255">
        <v>1000</v>
      </c>
      <c r="AY178" s="257">
        <f t="shared" si="30"/>
        <v>20</v>
      </c>
      <c r="AZ178" s="255">
        <v>1000</v>
      </c>
      <c r="BA178" s="257">
        <f t="shared" si="31"/>
        <v>20</v>
      </c>
      <c r="BB178" s="255">
        <v>1000</v>
      </c>
      <c r="BC178" s="257">
        <f t="shared" si="32"/>
        <v>20</v>
      </c>
      <c r="BD178" s="255">
        <v>1000</v>
      </c>
      <c r="BE178" s="257">
        <f t="shared" si="33"/>
        <v>20</v>
      </c>
      <c r="BF178" s="255">
        <v>1000</v>
      </c>
      <c r="BG178" s="257">
        <f t="shared" si="34"/>
        <v>20</v>
      </c>
      <c r="BH178" s="255">
        <v>1000</v>
      </c>
      <c r="BI178" s="257">
        <f t="shared" si="35"/>
        <v>20</v>
      </c>
      <c r="BJ178" s="1" t="s">
        <v>608</v>
      </c>
      <c r="BL178" s="1" t="s">
        <v>457</v>
      </c>
      <c r="BM178" s="1" t="s">
        <v>609</v>
      </c>
    </row>
    <row r="179" spans="1:65" ht="15.75" customHeight="1">
      <c r="A179" s="250" t="s">
        <v>951</v>
      </c>
      <c r="B179" s="59" t="s">
        <v>1014</v>
      </c>
      <c r="C179" s="354" t="s">
        <v>172</v>
      </c>
      <c r="D179" s="424"/>
      <c r="E179" s="357" t="s">
        <v>214</v>
      </c>
      <c r="F179" s="421"/>
      <c r="G179" s="317">
        <v>2024</v>
      </c>
      <c r="H179" s="59" t="s">
        <v>610</v>
      </c>
      <c r="I179" s="315" t="s">
        <v>190</v>
      </c>
      <c r="J179" s="318" t="s">
        <v>217</v>
      </c>
      <c r="K179" s="59" t="s">
        <v>217</v>
      </c>
      <c r="L179" s="59" t="s">
        <v>177</v>
      </c>
      <c r="M179" s="303" t="s">
        <v>592</v>
      </c>
      <c r="N179" s="300">
        <v>5.05</v>
      </c>
      <c r="O179" s="300">
        <v>5.05</v>
      </c>
      <c r="P179" s="300">
        <v>5.05</v>
      </c>
      <c r="Q179" s="300">
        <v>5.05</v>
      </c>
      <c r="R179" s="404">
        <v>5.51</v>
      </c>
      <c r="S179" s="404">
        <v>5.51</v>
      </c>
      <c r="T179" s="404">
        <v>5.51</v>
      </c>
      <c r="U179" s="404">
        <v>5.51</v>
      </c>
      <c r="V179" s="404">
        <v>5.51</v>
      </c>
      <c r="W179" s="404">
        <v>5.51</v>
      </c>
      <c r="X179" s="404">
        <v>5.51</v>
      </c>
      <c r="Y179" s="404">
        <v>5.51</v>
      </c>
      <c r="Z179" s="59">
        <v>0.26</v>
      </c>
      <c r="AA179" s="59">
        <v>0.26</v>
      </c>
      <c r="AB179" s="59">
        <v>0.26</v>
      </c>
      <c r="AC179" s="59">
        <v>0.26</v>
      </c>
      <c r="AD179" s="402">
        <v>0.50999999999999979</v>
      </c>
      <c r="AE179" s="402">
        <v>0.50999999999999979</v>
      </c>
      <c r="AF179" s="402">
        <v>0.50999999999999979</v>
      </c>
      <c r="AG179" s="402">
        <v>0.50999999999999979</v>
      </c>
      <c r="AH179" s="402">
        <v>0.50999999999999979</v>
      </c>
      <c r="AI179" s="402">
        <v>0.50999999999999979</v>
      </c>
      <c r="AJ179" s="402">
        <v>0.50999999999999979</v>
      </c>
      <c r="AK179" s="402">
        <v>0.50999999999999979</v>
      </c>
      <c r="AL179" s="255">
        <v>1620</v>
      </c>
      <c r="AM179" s="254">
        <f t="shared" si="24"/>
        <v>421.2</v>
      </c>
      <c r="AN179" s="255">
        <v>1164</v>
      </c>
      <c r="AO179" s="254">
        <f t="shared" si="25"/>
        <v>302.64</v>
      </c>
      <c r="AP179" s="255">
        <v>636</v>
      </c>
      <c r="AQ179" s="254">
        <f t="shared" si="26"/>
        <v>165.36</v>
      </c>
      <c r="AR179" s="255">
        <v>1572</v>
      </c>
      <c r="AS179" s="257">
        <f t="shared" si="27"/>
        <v>408.72</v>
      </c>
      <c r="AT179" s="255">
        <v>360</v>
      </c>
      <c r="AU179" s="257">
        <f t="shared" si="28"/>
        <v>183.59999999999991</v>
      </c>
      <c r="AV179" s="255">
        <v>1000</v>
      </c>
      <c r="AW179" s="257">
        <f t="shared" si="29"/>
        <v>509.99999999999977</v>
      </c>
      <c r="AX179" s="255">
        <v>1000</v>
      </c>
      <c r="AY179" s="257">
        <f t="shared" si="30"/>
        <v>509.99999999999977</v>
      </c>
      <c r="AZ179" s="255">
        <v>1000</v>
      </c>
      <c r="BA179" s="257">
        <f t="shared" si="31"/>
        <v>509.99999999999977</v>
      </c>
      <c r="BB179" s="255">
        <v>1000</v>
      </c>
      <c r="BC179" s="257">
        <f t="shared" si="32"/>
        <v>509.99999999999977</v>
      </c>
      <c r="BD179" s="255">
        <v>1000</v>
      </c>
      <c r="BE179" s="257">
        <f t="shared" si="33"/>
        <v>509.99999999999977</v>
      </c>
      <c r="BF179" s="255">
        <v>1000</v>
      </c>
      <c r="BG179" s="257">
        <f t="shared" si="34"/>
        <v>509.99999999999977</v>
      </c>
      <c r="BH179" s="255">
        <v>1000</v>
      </c>
      <c r="BI179" s="257">
        <f t="shared" si="35"/>
        <v>509.99999999999977</v>
      </c>
      <c r="BJ179" s="1" t="s">
        <v>611</v>
      </c>
      <c r="BK179" s="1" t="s">
        <v>612</v>
      </c>
      <c r="BL179" s="1" t="s">
        <v>457</v>
      </c>
      <c r="BM179" s="1" t="s">
        <v>613</v>
      </c>
    </row>
    <row r="180" spans="1:65" ht="15.75" customHeight="1">
      <c r="A180" s="250" t="s">
        <v>951</v>
      </c>
      <c r="B180" s="59" t="s">
        <v>1014</v>
      </c>
      <c r="C180" s="354" t="s">
        <v>172</v>
      </c>
      <c r="D180" s="424"/>
      <c r="E180" s="357" t="s">
        <v>214</v>
      </c>
      <c r="F180" s="421"/>
      <c r="G180" s="317">
        <v>2024</v>
      </c>
      <c r="H180" s="59" t="s">
        <v>610</v>
      </c>
      <c r="I180" s="315" t="s">
        <v>190</v>
      </c>
      <c r="J180" s="318" t="s">
        <v>217</v>
      </c>
      <c r="K180" s="59" t="s">
        <v>217</v>
      </c>
      <c r="L180" s="59" t="s">
        <v>177</v>
      </c>
      <c r="M180" s="303" t="s">
        <v>455</v>
      </c>
      <c r="N180" s="300">
        <v>5.05</v>
      </c>
      <c r="O180" s="300">
        <v>5.05</v>
      </c>
      <c r="P180" s="300">
        <v>5.05</v>
      </c>
      <c r="Q180" s="300">
        <v>5.05</v>
      </c>
      <c r="R180" s="404">
        <v>5.51</v>
      </c>
      <c r="S180" s="404">
        <v>5.51</v>
      </c>
      <c r="T180" s="404">
        <v>5.51</v>
      </c>
      <c r="U180" s="404">
        <v>5.51</v>
      </c>
      <c r="V180" s="404">
        <v>5.51</v>
      </c>
      <c r="W180" s="404">
        <v>5.51</v>
      </c>
      <c r="X180" s="404">
        <v>5.51</v>
      </c>
      <c r="Y180" s="404">
        <v>5.51</v>
      </c>
      <c r="Z180" s="59">
        <v>0.26</v>
      </c>
      <c r="AA180" s="59">
        <v>0.26</v>
      </c>
      <c r="AB180" s="59">
        <v>0.26</v>
      </c>
      <c r="AC180" s="59">
        <v>0.26</v>
      </c>
      <c r="AD180" s="402">
        <v>0.50999999999999979</v>
      </c>
      <c r="AE180" s="402">
        <v>0.50999999999999979</v>
      </c>
      <c r="AF180" s="402">
        <v>0.50999999999999979</v>
      </c>
      <c r="AG180" s="402">
        <v>0.50999999999999979</v>
      </c>
      <c r="AH180" s="402">
        <v>0.50999999999999979</v>
      </c>
      <c r="AI180" s="402">
        <v>0.50999999999999979</v>
      </c>
      <c r="AJ180" s="402">
        <v>0.50999999999999979</v>
      </c>
      <c r="AK180" s="402">
        <v>0.50999999999999979</v>
      </c>
      <c r="AL180" s="255">
        <v>396</v>
      </c>
      <c r="AM180" s="254">
        <f t="shared" si="24"/>
        <v>102.96000000000001</v>
      </c>
      <c r="AN180" s="255">
        <v>1020</v>
      </c>
      <c r="AO180" s="254">
        <f t="shared" si="25"/>
        <v>265.2</v>
      </c>
      <c r="AP180" s="255">
        <v>168</v>
      </c>
      <c r="AQ180" s="254">
        <f t="shared" si="26"/>
        <v>43.68</v>
      </c>
      <c r="AR180" s="255">
        <v>588</v>
      </c>
      <c r="AS180" s="257">
        <f t="shared" si="27"/>
        <v>152.88</v>
      </c>
      <c r="AT180" s="255">
        <v>2280</v>
      </c>
      <c r="AU180" s="257">
        <f t="shared" si="28"/>
        <v>1162.7999999999995</v>
      </c>
      <c r="AV180" s="255">
        <v>500</v>
      </c>
      <c r="AW180" s="257">
        <f t="shared" si="29"/>
        <v>254.99999999999989</v>
      </c>
      <c r="AX180" s="255">
        <v>500</v>
      </c>
      <c r="AY180" s="257">
        <f t="shared" si="30"/>
        <v>254.99999999999989</v>
      </c>
      <c r="AZ180" s="255">
        <v>500</v>
      </c>
      <c r="BA180" s="257">
        <f t="shared" si="31"/>
        <v>254.99999999999989</v>
      </c>
      <c r="BB180" s="255">
        <v>500</v>
      </c>
      <c r="BC180" s="257">
        <f t="shared" si="32"/>
        <v>254.99999999999989</v>
      </c>
      <c r="BD180" s="255">
        <v>500</v>
      </c>
      <c r="BE180" s="257">
        <f t="shared" si="33"/>
        <v>254.99999999999989</v>
      </c>
      <c r="BF180" s="255">
        <v>500</v>
      </c>
      <c r="BG180" s="257">
        <f t="shared" si="34"/>
        <v>254.99999999999989</v>
      </c>
      <c r="BH180" s="255">
        <v>500</v>
      </c>
      <c r="BI180" s="257">
        <f t="shared" si="35"/>
        <v>254.99999999999989</v>
      </c>
      <c r="BJ180" s="1" t="s">
        <v>611</v>
      </c>
      <c r="BK180" s="1" t="s">
        <v>612</v>
      </c>
      <c r="BL180" s="1" t="s">
        <v>457</v>
      </c>
      <c r="BM180" s="1" t="s">
        <v>613</v>
      </c>
    </row>
    <row r="181" spans="1:65" ht="15.75" customHeight="1">
      <c r="A181" s="250" t="s">
        <v>951</v>
      </c>
      <c r="B181" s="59" t="s">
        <v>1014</v>
      </c>
      <c r="C181" s="354" t="s">
        <v>172</v>
      </c>
      <c r="D181" s="424"/>
      <c r="E181" s="357" t="s">
        <v>214</v>
      </c>
      <c r="F181" s="421"/>
      <c r="G181" s="317">
        <v>2024</v>
      </c>
      <c r="H181" s="59" t="s">
        <v>610</v>
      </c>
      <c r="I181" s="315" t="s">
        <v>190</v>
      </c>
      <c r="J181" s="318" t="s">
        <v>217</v>
      </c>
      <c r="K181" s="59" t="s">
        <v>217</v>
      </c>
      <c r="L181" s="59" t="s">
        <v>177</v>
      </c>
      <c r="M181" s="303" t="s">
        <v>595</v>
      </c>
      <c r="N181" s="300">
        <v>5.13</v>
      </c>
      <c r="O181" s="300">
        <v>5.13</v>
      </c>
      <c r="P181" s="300">
        <v>5.13</v>
      </c>
      <c r="Q181" s="300">
        <v>5.13</v>
      </c>
      <c r="R181" s="404">
        <v>5.59</v>
      </c>
      <c r="S181" s="404">
        <v>5.59</v>
      </c>
      <c r="T181" s="404">
        <v>5.59</v>
      </c>
      <c r="U181" s="404">
        <v>5.59</v>
      </c>
      <c r="V181" s="404">
        <v>5.59</v>
      </c>
      <c r="W181" s="404">
        <v>5.59</v>
      </c>
      <c r="X181" s="404">
        <v>5.59</v>
      </c>
      <c r="Y181" s="404">
        <v>5.59</v>
      </c>
      <c r="Z181" s="59">
        <v>0.26</v>
      </c>
      <c r="AA181" s="59">
        <v>0.26</v>
      </c>
      <c r="AB181" s="59">
        <v>0.26</v>
      </c>
      <c r="AC181" s="59">
        <v>0.26</v>
      </c>
      <c r="AD181" s="402">
        <v>0.50999999999999979</v>
      </c>
      <c r="AE181" s="402">
        <v>0.50999999999999979</v>
      </c>
      <c r="AF181" s="402">
        <v>0.50999999999999979</v>
      </c>
      <c r="AG181" s="402">
        <v>0.50999999999999979</v>
      </c>
      <c r="AH181" s="402">
        <v>0.50999999999999979</v>
      </c>
      <c r="AI181" s="402">
        <v>0.50999999999999979</v>
      </c>
      <c r="AJ181" s="402">
        <v>0.50999999999999979</v>
      </c>
      <c r="AK181" s="402">
        <v>0.50999999999999979</v>
      </c>
      <c r="AL181" s="255">
        <v>1224</v>
      </c>
      <c r="AM181" s="254">
        <f t="shared" si="24"/>
        <v>318.24</v>
      </c>
      <c r="AN181" s="255">
        <v>612</v>
      </c>
      <c r="AO181" s="254">
        <f t="shared" si="25"/>
        <v>159.12</v>
      </c>
      <c r="AP181" s="255">
        <v>48</v>
      </c>
      <c r="AQ181" s="254">
        <f t="shared" si="26"/>
        <v>12.48</v>
      </c>
      <c r="AR181" s="255">
        <v>348</v>
      </c>
      <c r="AS181" s="257">
        <f t="shared" si="27"/>
        <v>90.48</v>
      </c>
      <c r="AT181" s="382">
        <v>360</v>
      </c>
      <c r="AU181" s="257">
        <f t="shared" si="28"/>
        <v>183.59999999999991</v>
      </c>
      <c r="AV181" s="382">
        <v>1000</v>
      </c>
      <c r="AW181" s="257">
        <f t="shared" si="29"/>
        <v>509.99999999999977</v>
      </c>
      <c r="AX181" s="382">
        <v>1000</v>
      </c>
      <c r="AY181" s="257">
        <f t="shared" si="30"/>
        <v>509.99999999999977</v>
      </c>
      <c r="AZ181" s="268">
        <v>1500</v>
      </c>
      <c r="BA181" s="257">
        <f t="shared" si="31"/>
        <v>764.99999999999966</v>
      </c>
      <c r="BB181" s="268">
        <v>1500</v>
      </c>
      <c r="BC181" s="257">
        <f t="shared" si="32"/>
        <v>764.99999999999966</v>
      </c>
      <c r="BD181" s="256">
        <v>1000</v>
      </c>
      <c r="BE181" s="257">
        <f t="shared" si="33"/>
        <v>509.99999999999977</v>
      </c>
      <c r="BF181" s="59">
        <v>2000</v>
      </c>
      <c r="BG181" s="257">
        <f t="shared" si="34"/>
        <v>1019.9999999999995</v>
      </c>
      <c r="BH181" s="59">
        <v>1000</v>
      </c>
      <c r="BI181" s="257">
        <f t="shared" si="35"/>
        <v>509.99999999999977</v>
      </c>
      <c r="BJ181" s="1" t="s">
        <v>611</v>
      </c>
      <c r="BK181" s="1" t="s">
        <v>612</v>
      </c>
      <c r="BL181" s="1" t="s">
        <v>457</v>
      </c>
      <c r="BM181" s="1" t="s">
        <v>614</v>
      </c>
    </row>
    <row r="182" spans="1:65" ht="15.75" customHeight="1">
      <c r="A182" s="250" t="s">
        <v>951</v>
      </c>
      <c r="B182" s="59" t="s">
        <v>1014</v>
      </c>
      <c r="C182" s="354" t="s">
        <v>172</v>
      </c>
      <c r="D182" s="424"/>
      <c r="E182" s="357" t="s">
        <v>214</v>
      </c>
      <c r="F182" s="421"/>
      <c r="G182" s="317">
        <v>2024</v>
      </c>
      <c r="H182" s="59" t="s">
        <v>610</v>
      </c>
      <c r="I182" s="315" t="s">
        <v>190</v>
      </c>
      <c r="J182" s="318" t="s">
        <v>217</v>
      </c>
      <c r="K182" s="59" t="s">
        <v>217</v>
      </c>
      <c r="L182" s="59" t="s">
        <v>177</v>
      </c>
      <c r="M182" s="303" t="s">
        <v>597</v>
      </c>
      <c r="N182" s="300">
        <v>5.05</v>
      </c>
      <c r="O182" s="300">
        <v>5.05</v>
      </c>
      <c r="P182" s="300">
        <v>5.05</v>
      </c>
      <c r="Q182" s="300">
        <v>5.05</v>
      </c>
      <c r="R182" s="404">
        <v>5.51</v>
      </c>
      <c r="S182" s="404">
        <v>5.51</v>
      </c>
      <c r="T182" s="404">
        <v>5.51</v>
      </c>
      <c r="U182" s="404">
        <v>5.51</v>
      </c>
      <c r="V182" s="404">
        <v>5.51</v>
      </c>
      <c r="W182" s="404">
        <v>5.51</v>
      </c>
      <c r="X182" s="404">
        <v>5.51</v>
      </c>
      <c r="Y182" s="404">
        <v>5.51</v>
      </c>
      <c r="Z182" s="59">
        <v>0.26</v>
      </c>
      <c r="AA182" s="59">
        <v>0.26</v>
      </c>
      <c r="AB182" s="59">
        <v>0.26</v>
      </c>
      <c r="AC182" s="59">
        <v>0.26</v>
      </c>
      <c r="AD182" s="402">
        <v>0.50999999999999979</v>
      </c>
      <c r="AE182" s="402">
        <v>0.50999999999999979</v>
      </c>
      <c r="AF182" s="402">
        <v>0.50999999999999979</v>
      </c>
      <c r="AG182" s="402">
        <v>0.50999999999999979</v>
      </c>
      <c r="AH182" s="402">
        <v>0.50999999999999979</v>
      </c>
      <c r="AI182" s="402">
        <v>0.50999999999999979</v>
      </c>
      <c r="AJ182" s="402">
        <v>0.50999999999999979</v>
      </c>
      <c r="AK182" s="402">
        <v>0.50999999999999979</v>
      </c>
      <c r="AL182" s="255">
        <v>480</v>
      </c>
      <c r="AM182" s="254">
        <f t="shared" si="24"/>
        <v>124.80000000000001</v>
      </c>
      <c r="AN182" s="270"/>
      <c r="AO182" s="254">
        <f t="shared" si="25"/>
        <v>0</v>
      </c>
      <c r="AP182" s="255">
        <v>240</v>
      </c>
      <c r="AQ182" s="254">
        <f t="shared" si="26"/>
        <v>62.400000000000006</v>
      </c>
      <c r="AR182" s="256">
        <v>240</v>
      </c>
      <c r="AS182" s="257">
        <f t="shared" si="27"/>
        <v>62.400000000000006</v>
      </c>
      <c r="AT182" s="382">
        <v>0</v>
      </c>
      <c r="AU182" s="257">
        <f t="shared" si="28"/>
        <v>0</v>
      </c>
      <c r="AV182" s="268"/>
      <c r="AW182" s="257">
        <f t="shared" si="29"/>
        <v>0</v>
      </c>
      <c r="AX182" s="268"/>
      <c r="AY182" s="257">
        <f t="shared" si="30"/>
        <v>0</v>
      </c>
      <c r="AZ182" s="268"/>
      <c r="BA182" s="257">
        <f t="shared" si="31"/>
        <v>0</v>
      </c>
      <c r="BB182" s="268"/>
      <c r="BC182" s="257">
        <f t="shared" si="32"/>
        <v>0</v>
      </c>
      <c r="BD182" s="268"/>
      <c r="BE182" s="257">
        <f t="shared" si="33"/>
        <v>0</v>
      </c>
      <c r="BF182" s="59"/>
      <c r="BG182" s="257">
        <f t="shared" si="34"/>
        <v>0</v>
      </c>
      <c r="BH182" s="59"/>
      <c r="BI182" s="257">
        <f t="shared" si="35"/>
        <v>0</v>
      </c>
      <c r="BJ182" s="1" t="s">
        <v>611</v>
      </c>
      <c r="BK182" s="1" t="s">
        <v>612</v>
      </c>
      <c r="BL182" s="1" t="s">
        <v>457</v>
      </c>
      <c r="BM182" s="1" t="s">
        <v>614</v>
      </c>
    </row>
    <row r="183" spans="1:65" ht="15.75" customHeight="1">
      <c r="A183" s="250" t="s">
        <v>951</v>
      </c>
      <c r="B183" s="59" t="s">
        <v>1014</v>
      </c>
      <c r="C183" s="354" t="s">
        <v>172</v>
      </c>
      <c r="D183" s="424"/>
      <c r="E183" s="357" t="s">
        <v>214</v>
      </c>
      <c r="F183" s="421"/>
      <c r="G183" s="317">
        <v>2024</v>
      </c>
      <c r="H183" s="59" t="s">
        <v>610</v>
      </c>
      <c r="I183" s="315" t="s">
        <v>190</v>
      </c>
      <c r="J183" s="318" t="s">
        <v>217</v>
      </c>
      <c r="K183" s="59" t="s">
        <v>217</v>
      </c>
      <c r="L183" s="59" t="s">
        <v>177</v>
      </c>
      <c r="M183" s="303" t="s">
        <v>598</v>
      </c>
      <c r="N183" s="300">
        <v>5.05</v>
      </c>
      <c r="O183" s="300">
        <v>5.05</v>
      </c>
      <c r="P183" s="300">
        <v>5.05</v>
      </c>
      <c r="Q183" s="300">
        <v>5.05</v>
      </c>
      <c r="R183" s="404">
        <v>5.51</v>
      </c>
      <c r="S183" s="404">
        <v>5.51</v>
      </c>
      <c r="T183" s="404">
        <v>5.51</v>
      </c>
      <c r="U183" s="404">
        <v>5.51</v>
      </c>
      <c r="V183" s="404">
        <v>5.51</v>
      </c>
      <c r="W183" s="404">
        <v>5.51</v>
      </c>
      <c r="X183" s="404">
        <v>5.51</v>
      </c>
      <c r="Y183" s="404">
        <v>5.51</v>
      </c>
      <c r="Z183" s="59">
        <v>0.26</v>
      </c>
      <c r="AA183" s="59">
        <v>0.26</v>
      </c>
      <c r="AB183" s="59">
        <v>0.26</v>
      </c>
      <c r="AC183" s="59">
        <v>0.26</v>
      </c>
      <c r="AD183" s="402">
        <v>0.50999999999999979</v>
      </c>
      <c r="AE183" s="402">
        <v>0.50999999999999979</v>
      </c>
      <c r="AF183" s="402">
        <v>0.50999999999999979</v>
      </c>
      <c r="AG183" s="402">
        <v>0.50999999999999979</v>
      </c>
      <c r="AH183" s="402">
        <v>0.50999999999999979</v>
      </c>
      <c r="AI183" s="402">
        <v>0.50999999999999979</v>
      </c>
      <c r="AJ183" s="402">
        <v>0.50999999999999979</v>
      </c>
      <c r="AK183" s="402">
        <v>0.50999999999999979</v>
      </c>
      <c r="AL183" s="255">
        <v>1884</v>
      </c>
      <c r="AM183" s="254">
        <f t="shared" si="24"/>
        <v>489.84000000000003</v>
      </c>
      <c r="AN183" s="270">
        <v>984</v>
      </c>
      <c r="AO183" s="254">
        <f t="shared" si="25"/>
        <v>255.84</v>
      </c>
      <c r="AP183" s="255">
        <v>1356</v>
      </c>
      <c r="AQ183" s="254">
        <f t="shared" si="26"/>
        <v>352.56</v>
      </c>
      <c r="AR183" s="256">
        <v>780</v>
      </c>
      <c r="AS183" s="257">
        <f t="shared" si="27"/>
        <v>202.8</v>
      </c>
      <c r="AT183" s="382">
        <v>360</v>
      </c>
      <c r="AU183" s="257">
        <f t="shared" si="28"/>
        <v>183.59999999999991</v>
      </c>
      <c r="AV183" s="268"/>
      <c r="AW183" s="257">
        <f t="shared" si="29"/>
        <v>0</v>
      </c>
      <c r="AX183" s="268"/>
      <c r="AY183" s="257">
        <f t="shared" si="30"/>
        <v>0</v>
      </c>
      <c r="AZ183" s="268"/>
      <c r="BA183" s="257">
        <f t="shared" si="31"/>
        <v>0</v>
      </c>
      <c r="BB183" s="268"/>
      <c r="BC183" s="257">
        <f t="shared" si="32"/>
        <v>0</v>
      </c>
      <c r="BD183" s="268"/>
      <c r="BE183" s="257">
        <f t="shared" si="33"/>
        <v>0</v>
      </c>
      <c r="BF183" s="59"/>
      <c r="BG183" s="257">
        <f t="shared" si="34"/>
        <v>0</v>
      </c>
      <c r="BH183" s="59"/>
      <c r="BI183" s="257">
        <f t="shared" si="35"/>
        <v>0</v>
      </c>
      <c r="BJ183" s="1" t="s">
        <v>611</v>
      </c>
      <c r="BK183" s="1" t="s">
        <v>612</v>
      </c>
      <c r="BL183" s="1" t="s">
        <v>457</v>
      </c>
      <c r="BM183" s="1" t="s">
        <v>614</v>
      </c>
    </row>
    <row r="184" spans="1:65" ht="15.75" customHeight="1">
      <c r="A184" s="250" t="s">
        <v>951</v>
      </c>
      <c r="B184" s="59" t="s">
        <v>1014</v>
      </c>
      <c r="C184" s="354" t="s">
        <v>172</v>
      </c>
      <c r="D184" s="424"/>
      <c r="E184" s="357" t="s">
        <v>214</v>
      </c>
      <c r="F184" s="421"/>
      <c r="G184" s="317">
        <v>2024</v>
      </c>
      <c r="H184" s="59" t="s">
        <v>610</v>
      </c>
      <c r="I184" s="315" t="s">
        <v>190</v>
      </c>
      <c r="J184" s="318" t="s">
        <v>217</v>
      </c>
      <c r="K184" s="59" t="s">
        <v>217</v>
      </c>
      <c r="L184" s="59" t="s">
        <v>177</v>
      </c>
      <c r="M184" s="303" t="s">
        <v>599</v>
      </c>
      <c r="N184" s="300">
        <v>5.05</v>
      </c>
      <c r="O184" s="300">
        <v>5.05</v>
      </c>
      <c r="P184" s="300">
        <v>5.05</v>
      </c>
      <c r="Q184" s="300">
        <v>5.05</v>
      </c>
      <c r="R184" s="404">
        <v>5.51</v>
      </c>
      <c r="S184" s="404">
        <v>5.51</v>
      </c>
      <c r="T184" s="404">
        <v>5.51</v>
      </c>
      <c r="U184" s="404">
        <v>5.51</v>
      </c>
      <c r="V184" s="404">
        <v>5.51</v>
      </c>
      <c r="W184" s="404">
        <v>5.51</v>
      </c>
      <c r="X184" s="404">
        <v>5.51</v>
      </c>
      <c r="Y184" s="404">
        <v>5.51</v>
      </c>
      <c r="Z184" s="59">
        <v>0.26</v>
      </c>
      <c r="AA184" s="59">
        <v>0.26</v>
      </c>
      <c r="AB184" s="59">
        <v>0.26</v>
      </c>
      <c r="AC184" s="59">
        <v>0.26</v>
      </c>
      <c r="AD184" s="402">
        <v>0.50999999999999979</v>
      </c>
      <c r="AE184" s="402">
        <v>0.50999999999999979</v>
      </c>
      <c r="AF184" s="402">
        <v>0.50999999999999979</v>
      </c>
      <c r="AG184" s="402">
        <v>0.50999999999999979</v>
      </c>
      <c r="AH184" s="402">
        <v>0.50999999999999979</v>
      </c>
      <c r="AI184" s="402">
        <v>0.50999999999999979</v>
      </c>
      <c r="AJ184" s="402">
        <v>0.50999999999999979</v>
      </c>
      <c r="AK184" s="402">
        <v>0.50999999999999979</v>
      </c>
      <c r="AL184" s="255">
        <v>0</v>
      </c>
      <c r="AM184" s="254">
        <f t="shared" si="24"/>
        <v>0</v>
      </c>
      <c r="AN184" s="270">
        <v>12</v>
      </c>
      <c r="AO184" s="254">
        <f t="shared" si="25"/>
        <v>3.12</v>
      </c>
      <c r="AP184" s="255"/>
      <c r="AQ184" s="254">
        <f t="shared" si="26"/>
        <v>0</v>
      </c>
      <c r="AR184" s="256"/>
      <c r="AS184" s="257">
        <f t="shared" si="27"/>
        <v>0</v>
      </c>
      <c r="AT184" s="382"/>
      <c r="AU184" s="257">
        <f t="shared" si="28"/>
        <v>0</v>
      </c>
      <c r="AV184" s="268"/>
      <c r="AW184" s="257">
        <f t="shared" si="29"/>
        <v>0</v>
      </c>
      <c r="AX184" s="268"/>
      <c r="AY184" s="257">
        <f t="shared" si="30"/>
        <v>0</v>
      </c>
      <c r="AZ184" s="268"/>
      <c r="BA184" s="257">
        <f t="shared" si="31"/>
        <v>0</v>
      </c>
      <c r="BB184" s="268"/>
      <c r="BC184" s="257">
        <f t="shared" si="32"/>
        <v>0</v>
      </c>
      <c r="BD184" s="268"/>
      <c r="BE184" s="257">
        <f t="shared" si="33"/>
        <v>0</v>
      </c>
      <c r="BF184" s="59"/>
      <c r="BG184" s="257">
        <f t="shared" si="34"/>
        <v>0</v>
      </c>
      <c r="BH184" s="59"/>
      <c r="BI184" s="257">
        <f t="shared" si="35"/>
        <v>0</v>
      </c>
      <c r="BJ184" s="1" t="s">
        <v>611</v>
      </c>
      <c r="BK184" s="1" t="s">
        <v>612</v>
      </c>
      <c r="BL184" s="1" t="s">
        <v>457</v>
      </c>
      <c r="BM184" s="1" t="s">
        <v>614</v>
      </c>
    </row>
    <row r="185" spans="1:65" ht="15.75" customHeight="1">
      <c r="A185" s="250" t="s">
        <v>951</v>
      </c>
      <c r="B185" s="59" t="s">
        <v>1014</v>
      </c>
      <c r="C185" s="354" t="s">
        <v>172</v>
      </c>
      <c r="D185" s="424"/>
      <c r="E185" s="357" t="s">
        <v>214</v>
      </c>
      <c r="F185" s="421"/>
      <c r="G185" s="317">
        <v>2024</v>
      </c>
      <c r="H185" s="59" t="s">
        <v>610</v>
      </c>
      <c r="I185" s="315" t="s">
        <v>190</v>
      </c>
      <c r="J185" s="318" t="s">
        <v>217</v>
      </c>
      <c r="K185" s="59" t="s">
        <v>217</v>
      </c>
      <c r="L185" s="59" t="s">
        <v>177</v>
      </c>
      <c r="M185" s="303" t="s">
        <v>600</v>
      </c>
      <c r="N185" s="300">
        <v>4.87</v>
      </c>
      <c r="O185" s="300">
        <v>4.87</v>
      </c>
      <c r="P185" s="300">
        <v>4.87</v>
      </c>
      <c r="Q185" s="300">
        <v>4.87</v>
      </c>
      <c r="R185" s="404">
        <v>5.33</v>
      </c>
      <c r="S185" s="404">
        <v>5.33</v>
      </c>
      <c r="T185" s="404">
        <v>5.33</v>
      </c>
      <c r="U185" s="404">
        <v>5.33</v>
      </c>
      <c r="V185" s="404">
        <v>5.33</v>
      </c>
      <c r="W185" s="404">
        <v>5.33</v>
      </c>
      <c r="X185" s="404">
        <v>5.33</v>
      </c>
      <c r="Y185" s="404">
        <v>5.33</v>
      </c>
      <c r="Z185" s="59">
        <v>0.26</v>
      </c>
      <c r="AA185" s="59">
        <v>0.26</v>
      </c>
      <c r="AB185" s="59">
        <v>0.26</v>
      </c>
      <c r="AC185" s="59">
        <v>0.26</v>
      </c>
      <c r="AD185" s="402">
        <v>0.50999999999999979</v>
      </c>
      <c r="AE185" s="402">
        <v>0.50999999999999979</v>
      </c>
      <c r="AF185" s="402">
        <v>0.50999999999999979</v>
      </c>
      <c r="AG185" s="402">
        <v>0.50999999999999979</v>
      </c>
      <c r="AH185" s="402">
        <v>0.50999999999999979</v>
      </c>
      <c r="AI185" s="402">
        <v>0.50999999999999979</v>
      </c>
      <c r="AJ185" s="402">
        <v>0.50999999999999979</v>
      </c>
      <c r="AK185" s="402">
        <v>0.50999999999999979</v>
      </c>
      <c r="AL185" s="255"/>
      <c r="AM185" s="254">
        <f t="shared" si="24"/>
        <v>0</v>
      </c>
      <c r="AN185" s="270"/>
      <c r="AO185" s="254">
        <f t="shared" si="25"/>
        <v>0</v>
      </c>
      <c r="AP185" s="255"/>
      <c r="AQ185" s="254">
        <f t="shared" si="26"/>
        <v>0</v>
      </c>
      <c r="AR185" s="256"/>
      <c r="AS185" s="257">
        <f t="shared" si="27"/>
        <v>0</v>
      </c>
      <c r="AT185" s="382"/>
      <c r="AU185" s="257">
        <f t="shared" si="28"/>
        <v>0</v>
      </c>
      <c r="AV185" s="268"/>
      <c r="AW185" s="257">
        <f t="shared" si="29"/>
        <v>0</v>
      </c>
      <c r="AX185" s="268"/>
      <c r="AY185" s="257">
        <f t="shared" si="30"/>
        <v>0</v>
      </c>
      <c r="AZ185" s="268"/>
      <c r="BA185" s="257">
        <f t="shared" si="31"/>
        <v>0</v>
      </c>
      <c r="BB185" s="268"/>
      <c r="BC185" s="257">
        <f t="shared" si="32"/>
        <v>0</v>
      </c>
      <c r="BD185" s="268"/>
      <c r="BE185" s="257">
        <f t="shared" si="33"/>
        <v>0</v>
      </c>
      <c r="BF185" s="59"/>
      <c r="BG185" s="257">
        <f t="shared" si="34"/>
        <v>0</v>
      </c>
      <c r="BH185" s="59"/>
      <c r="BI185" s="257">
        <f t="shared" si="35"/>
        <v>0</v>
      </c>
      <c r="BJ185" s="1" t="s">
        <v>611</v>
      </c>
      <c r="BK185" s="1" t="s">
        <v>612</v>
      </c>
      <c r="BL185" s="1" t="s">
        <v>457</v>
      </c>
      <c r="BM185" s="1" t="s">
        <v>614</v>
      </c>
    </row>
    <row r="186" spans="1:65" ht="15.75" customHeight="1">
      <c r="A186" s="250" t="s">
        <v>951</v>
      </c>
      <c r="B186" s="59" t="s">
        <v>1014</v>
      </c>
      <c r="C186" s="354" t="s">
        <v>172</v>
      </c>
      <c r="D186" s="424"/>
      <c r="E186" s="357" t="s">
        <v>214</v>
      </c>
      <c r="F186" s="421"/>
      <c r="G186" s="317">
        <v>2024</v>
      </c>
      <c r="H186" s="59" t="s">
        <v>610</v>
      </c>
      <c r="I186" s="315" t="s">
        <v>190</v>
      </c>
      <c r="J186" s="318" t="s">
        <v>217</v>
      </c>
      <c r="K186" s="59" t="s">
        <v>217</v>
      </c>
      <c r="L186" s="59" t="s">
        <v>177</v>
      </c>
      <c r="M186" s="303" t="s">
        <v>602</v>
      </c>
      <c r="N186" s="300">
        <v>5.09</v>
      </c>
      <c r="O186" s="300">
        <v>5.09</v>
      </c>
      <c r="P186" s="300">
        <v>5.09</v>
      </c>
      <c r="Q186" s="300">
        <v>5.09</v>
      </c>
      <c r="R186" s="404">
        <v>5.55</v>
      </c>
      <c r="S186" s="404">
        <v>5.55</v>
      </c>
      <c r="T186" s="404">
        <v>5.55</v>
      </c>
      <c r="U186" s="404">
        <v>5.55</v>
      </c>
      <c r="V186" s="404">
        <v>5.55</v>
      </c>
      <c r="W186" s="404">
        <v>5.55</v>
      </c>
      <c r="X186" s="404">
        <v>5.55</v>
      </c>
      <c r="Y186" s="404">
        <v>5.55</v>
      </c>
      <c r="Z186" s="59">
        <v>0.26</v>
      </c>
      <c r="AA186" s="59">
        <v>0.26</v>
      </c>
      <c r="AB186" s="59">
        <v>0.26</v>
      </c>
      <c r="AC186" s="59">
        <v>0.26</v>
      </c>
      <c r="AD186" s="402">
        <v>0.50999999999999979</v>
      </c>
      <c r="AE186" s="402">
        <v>0.50999999999999979</v>
      </c>
      <c r="AF186" s="402">
        <v>0.50999999999999979</v>
      </c>
      <c r="AG186" s="402">
        <v>0.50999999999999979</v>
      </c>
      <c r="AH186" s="402">
        <v>0.50999999999999979</v>
      </c>
      <c r="AI186" s="402">
        <v>0.50999999999999979</v>
      </c>
      <c r="AJ186" s="402">
        <v>0.50999999999999979</v>
      </c>
      <c r="AK186" s="402">
        <v>0.50999999999999979</v>
      </c>
      <c r="AL186" s="255"/>
      <c r="AM186" s="254">
        <f t="shared" si="24"/>
        <v>0</v>
      </c>
      <c r="AN186" s="255">
        <v>12312</v>
      </c>
      <c r="AO186" s="254">
        <f t="shared" si="25"/>
        <v>3201.12</v>
      </c>
      <c r="AP186" s="255">
        <v>648</v>
      </c>
      <c r="AQ186" s="254">
        <f t="shared" si="26"/>
        <v>168.48000000000002</v>
      </c>
      <c r="AR186" s="255"/>
      <c r="AS186" s="257">
        <f t="shared" si="27"/>
        <v>0</v>
      </c>
      <c r="AT186" s="255"/>
      <c r="AU186" s="257">
        <f t="shared" si="28"/>
        <v>0</v>
      </c>
      <c r="AV186" s="268">
        <v>5000</v>
      </c>
      <c r="AW186" s="257">
        <f t="shared" si="29"/>
        <v>2549.9999999999991</v>
      </c>
      <c r="AX186" s="268">
        <v>5000</v>
      </c>
      <c r="AY186" s="257">
        <f t="shared" si="30"/>
        <v>2549.9999999999991</v>
      </c>
      <c r="AZ186" s="268">
        <v>6000</v>
      </c>
      <c r="BA186" s="257">
        <f t="shared" si="31"/>
        <v>3059.9999999999986</v>
      </c>
      <c r="BB186" s="268">
        <v>5000</v>
      </c>
      <c r="BC186" s="257">
        <f t="shared" si="32"/>
        <v>2549.9999999999991</v>
      </c>
      <c r="BD186" s="268">
        <v>5000</v>
      </c>
      <c r="BE186" s="257">
        <f t="shared" si="33"/>
        <v>2549.9999999999991</v>
      </c>
      <c r="BF186" s="268">
        <v>5000</v>
      </c>
      <c r="BG186" s="257">
        <f t="shared" si="34"/>
        <v>2549.9999999999991</v>
      </c>
      <c r="BH186" s="268">
        <v>5000</v>
      </c>
      <c r="BI186" s="257">
        <f t="shared" si="35"/>
        <v>2549.9999999999991</v>
      </c>
      <c r="BJ186" s="1" t="s">
        <v>611</v>
      </c>
      <c r="BK186" s="1" t="s">
        <v>612</v>
      </c>
      <c r="BL186" s="1" t="s">
        <v>457</v>
      </c>
      <c r="BM186" s="1" t="s">
        <v>614</v>
      </c>
    </row>
    <row r="187" spans="1:65" ht="15.75" customHeight="1">
      <c r="A187" s="250" t="s">
        <v>951</v>
      </c>
      <c r="B187" s="59" t="s">
        <v>1014</v>
      </c>
      <c r="C187" s="354" t="s">
        <v>172</v>
      </c>
      <c r="D187" s="424"/>
      <c r="E187" s="357" t="s">
        <v>214</v>
      </c>
      <c r="F187" s="421"/>
      <c r="G187" s="317">
        <v>2024</v>
      </c>
      <c r="H187" s="59" t="s">
        <v>615</v>
      </c>
      <c r="I187" s="315" t="s">
        <v>220</v>
      </c>
      <c r="J187" s="318" t="s">
        <v>217</v>
      </c>
      <c r="K187" s="59" t="s">
        <v>217</v>
      </c>
      <c r="L187" s="59" t="s">
        <v>177</v>
      </c>
      <c r="M187" s="303" t="s">
        <v>592</v>
      </c>
      <c r="N187" s="303">
        <v>2.13</v>
      </c>
      <c r="O187" s="303">
        <v>2.13</v>
      </c>
      <c r="P187" s="303">
        <v>2.13</v>
      </c>
      <c r="Q187" s="303">
        <v>2.13</v>
      </c>
      <c r="R187" s="303">
        <v>2.13</v>
      </c>
      <c r="S187" s="303">
        <v>2.13</v>
      </c>
      <c r="T187" s="303">
        <v>2.13</v>
      </c>
      <c r="U187" s="303">
        <v>2.13</v>
      </c>
      <c r="V187" s="303">
        <v>2.13</v>
      </c>
      <c r="W187" s="303">
        <v>2.13</v>
      </c>
      <c r="X187" s="303">
        <v>2.13</v>
      </c>
      <c r="Y187" s="303">
        <v>2.13</v>
      </c>
      <c r="Z187" s="59">
        <v>0.16</v>
      </c>
      <c r="AA187" s="59">
        <v>0.16</v>
      </c>
      <c r="AB187" s="59">
        <v>0.16</v>
      </c>
      <c r="AC187" s="59">
        <v>0.16</v>
      </c>
      <c r="AD187" s="59">
        <v>0.16</v>
      </c>
      <c r="AE187" s="59">
        <v>0.16</v>
      </c>
      <c r="AF187" s="59">
        <v>0.16</v>
      </c>
      <c r="AG187" s="59">
        <v>0.16</v>
      </c>
      <c r="AH187" s="59">
        <v>0.16</v>
      </c>
      <c r="AI187" s="59">
        <v>0.16</v>
      </c>
      <c r="AJ187" s="59">
        <v>0.16</v>
      </c>
      <c r="AK187" s="59">
        <v>0.16</v>
      </c>
      <c r="AL187" s="255">
        <v>1320</v>
      </c>
      <c r="AM187" s="254">
        <f t="shared" si="24"/>
        <v>211.20000000000002</v>
      </c>
      <c r="AN187" s="255">
        <v>600</v>
      </c>
      <c r="AO187" s="254">
        <f t="shared" si="25"/>
        <v>96</v>
      </c>
      <c r="AP187" s="255">
        <v>1200</v>
      </c>
      <c r="AQ187" s="254">
        <f t="shared" si="26"/>
        <v>192</v>
      </c>
      <c r="AR187" s="255">
        <v>1200</v>
      </c>
      <c r="AS187" s="257">
        <f t="shared" si="27"/>
        <v>192</v>
      </c>
      <c r="AT187" s="255">
        <v>360</v>
      </c>
      <c r="AU187" s="257">
        <f t="shared" si="28"/>
        <v>57.6</v>
      </c>
      <c r="AV187" s="255">
        <v>1000</v>
      </c>
      <c r="AW187" s="257">
        <f t="shared" si="29"/>
        <v>160</v>
      </c>
      <c r="AX187" s="255">
        <v>1000</v>
      </c>
      <c r="AY187" s="257">
        <f t="shared" si="30"/>
        <v>160</v>
      </c>
      <c r="AZ187" s="255">
        <v>1000</v>
      </c>
      <c r="BA187" s="257">
        <f t="shared" si="31"/>
        <v>160</v>
      </c>
      <c r="BB187" s="255">
        <v>1000</v>
      </c>
      <c r="BC187" s="257">
        <f t="shared" si="32"/>
        <v>160</v>
      </c>
      <c r="BD187" s="255">
        <v>1000</v>
      </c>
      <c r="BE187" s="257">
        <f t="shared" si="33"/>
        <v>160</v>
      </c>
      <c r="BF187" s="255">
        <v>1000</v>
      </c>
      <c r="BG187" s="257">
        <f t="shared" si="34"/>
        <v>160</v>
      </c>
      <c r="BH187" s="255">
        <v>1000</v>
      </c>
      <c r="BI187" s="257">
        <f t="shared" si="35"/>
        <v>160</v>
      </c>
      <c r="BJ187" s="1" t="s">
        <v>616</v>
      </c>
      <c r="BK187" s="1" t="s">
        <v>617</v>
      </c>
      <c r="BL187" s="1" t="s">
        <v>457</v>
      </c>
      <c r="BM187" s="1" t="s">
        <v>618</v>
      </c>
    </row>
    <row r="188" spans="1:65" ht="15.75" customHeight="1">
      <c r="A188" s="250" t="s">
        <v>951</v>
      </c>
      <c r="B188" s="59" t="s">
        <v>1014</v>
      </c>
      <c r="C188" s="354" t="s">
        <v>172</v>
      </c>
      <c r="D188" s="424"/>
      <c r="E188" s="357" t="s">
        <v>214</v>
      </c>
      <c r="F188" s="421"/>
      <c r="G188" s="317">
        <v>2024</v>
      </c>
      <c r="H188" s="59" t="s">
        <v>615</v>
      </c>
      <c r="I188" s="315" t="s">
        <v>220</v>
      </c>
      <c r="J188" s="318" t="s">
        <v>217</v>
      </c>
      <c r="K188" s="59" t="s">
        <v>217</v>
      </c>
      <c r="L188" s="59" t="s">
        <v>177</v>
      </c>
      <c r="M188" s="303" t="s">
        <v>455</v>
      </c>
      <c r="N188" s="303">
        <v>2.13</v>
      </c>
      <c r="O188" s="303">
        <v>2.13</v>
      </c>
      <c r="P188" s="303">
        <v>2.13</v>
      </c>
      <c r="Q188" s="303">
        <v>2.13</v>
      </c>
      <c r="R188" s="303">
        <v>2.13</v>
      </c>
      <c r="S188" s="303">
        <v>2.13</v>
      </c>
      <c r="T188" s="303">
        <v>2.13</v>
      </c>
      <c r="U188" s="303">
        <v>2.13</v>
      </c>
      <c r="V188" s="303">
        <v>2.13</v>
      </c>
      <c r="W188" s="303">
        <v>2.13</v>
      </c>
      <c r="X188" s="303">
        <v>2.13</v>
      </c>
      <c r="Y188" s="303">
        <v>2.13</v>
      </c>
      <c r="Z188" s="59">
        <v>0.16</v>
      </c>
      <c r="AA188" s="59">
        <v>0.16</v>
      </c>
      <c r="AB188" s="59">
        <v>0.16</v>
      </c>
      <c r="AC188" s="59">
        <v>0.16</v>
      </c>
      <c r="AD188" s="59">
        <v>0.16</v>
      </c>
      <c r="AE188" s="59">
        <v>0.16</v>
      </c>
      <c r="AF188" s="59">
        <v>0.16</v>
      </c>
      <c r="AG188" s="59">
        <v>0.16</v>
      </c>
      <c r="AH188" s="59">
        <v>0.16</v>
      </c>
      <c r="AI188" s="59">
        <v>0.16</v>
      </c>
      <c r="AJ188" s="59">
        <v>0.16</v>
      </c>
      <c r="AK188" s="59">
        <v>0.16</v>
      </c>
      <c r="AL188" s="255">
        <v>1560</v>
      </c>
      <c r="AM188" s="254">
        <f t="shared" si="24"/>
        <v>249.6</v>
      </c>
      <c r="AN188" s="255">
        <v>840</v>
      </c>
      <c r="AO188" s="254">
        <f t="shared" si="25"/>
        <v>134.4</v>
      </c>
      <c r="AP188" s="255">
        <v>720</v>
      </c>
      <c r="AQ188" s="254">
        <f t="shared" si="26"/>
        <v>115.2</v>
      </c>
      <c r="AR188" s="255">
        <v>600</v>
      </c>
      <c r="AS188" s="257">
        <f t="shared" si="27"/>
        <v>96</v>
      </c>
      <c r="AT188" s="255">
        <v>2280</v>
      </c>
      <c r="AU188" s="257">
        <f t="shared" si="28"/>
        <v>364.8</v>
      </c>
      <c r="AV188" s="255">
        <v>500</v>
      </c>
      <c r="AW188" s="257">
        <f t="shared" si="29"/>
        <v>80</v>
      </c>
      <c r="AX188" s="255">
        <v>500</v>
      </c>
      <c r="AY188" s="257">
        <f t="shared" si="30"/>
        <v>80</v>
      </c>
      <c r="AZ188" s="255">
        <v>500</v>
      </c>
      <c r="BA188" s="257">
        <f t="shared" si="31"/>
        <v>80</v>
      </c>
      <c r="BB188" s="255">
        <v>500</v>
      </c>
      <c r="BC188" s="257">
        <f t="shared" si="32"/>
        <v>80</v>
      </c>
      <c r="BD188" s="255">
        <v>500</v>
      </c>
      <c r="BE188" s="257">
        <f t="shared" si="33"/>
        <v>80</v>
      </c>
      <c r="BF188" s="255">
        <v>500</v>
      </c>
      <c r="BG188" s="257">
        <f t="shared" si="34"/>
        <v>80</v>
      </c>
      <c r="BH188" s="255">
        <v>500</v>
      </c>
      <c r="BI188" s="257">
        <f t="shared" si="35"/>
        <v>80</v>
      </c>
      <c r="BJ188" s="1" t="s">
        <v>616</v>
      </c>
      <c r="BK188" s="1" t="s">
        <v>617</v>
      </c>
      <c r="BL188" s="1" t="s">
        <v>457</v>
      </c>
      <c r="BM188" s="1" t="s">
        <v>618</v>
      </c>
    </row>
    <row r="189" spans="1:65" ht="15.75" customHeight="1">
      <c r="A189" s="250" t="s">
        <v>951</v>
      </c>
      <c r="B189" s="59" t="s">
        <v>1014</v>
      </c>
      <c r="C189" s="354" t="s">
        <v>172</v>
      </c>
      <c r="D189" s="424"/>
      <c r="E189" s="357" t="s">
        <v>214</v>
      </c>
      <c r="F189" s="421"/>
      <c r="G189" s="317">
        <v>2024</v>
      </c>
      <c r="H189" s="59" t="s">
        <v>615</v>
      </c>
      <c r="I189" s="315" t="s">
        <v>220</v>
      </c>
      <c r="J189" s="318" t="s">
        <v>217</v>
      </c>
      <c r="K189" s="59" t="s">
        <v>217</v>
      </c>
      <c r="L189" s="59" t="s">
        <v>177</v>
      </c>
      <c r="M189" s="303" t="s">
        <v>595</v>
      </c>
      <c r="N189" s="303">
        <v>2.13</v>
      </c>
      <c r="O189" s="303">
        <v>2.13</v>
      </c>
      <c r="P189" s="303">
        <v>2.13</v>
      </c>
      <c r="Q189" s="303">
        <v>2.13</v>
      </c>
      <c r="R189" s="303">
        <v>2.13</v>
      </c>
      <c r="S189" s="303">
        <v>2.13</v>
      </c>
      <c r="T189" s="303">
        <v>2.13</v>
      </c>
      <c r="U189" s="303">
        <v>2.13</v>
      </c>
      <c r="V189" s="303">
        <v>2.13</v>
      </c>
      <c r="W189" s="303">
        <v>2.13</v>
      </c>
      <c r="X189" s="303">
        <v>2.13</v>
      </c>
      <c r="Y189" s="303">
        <v>2.13</v>
      </c>
      <c r="Z189" s="59">
        <v>0.16</v>
      </c>
      <c r="AA189" s="59">
        <v>0.16</v>
      </c>
      <c r="AB189" s="59">
        <v>0.16</v>
      </c>
      <c r="AC189" s="59">
        <v>0.16</v>
      </c>
      <c r="AD189" s="59">
        <v>0.16</v>
      </c>
      <c r="AE189" s="59">
        <v>0.16</v>
      </c>
      <c r="AF189" s="59">
        <v>0.16</v>
      </c>
      <c r="AG189" s="59">
        <v>0.16</v>
      </c>
      <c r="AH189" s="59">
        <v>0.16</v>
      </c>
      <c r="AI189" s="59">
        <v>0.16</v>
      </c>
      <c r="AJ189" s="59">
        <v>0.16</v>
      </c>
      <c r="AK189" s="59">
        <v>0.16</v>
      </c>
      <c r="AL189" s="255">
        <v>960</v>
      </c>
      <c r="AM189" s="254">
        <f t="shared" si="24"/>
        <v>153.6</v>
      </c>
      <c r="AN189" s="255">
        <v>3000</v>
      </c>
      <c r="AO189" s="254">
        <f t="shared" si="25"/>
        <v>480</v>
      </c>
      <c r="AP189" s="255">
        <v>0</v>
      </c>
      <c r="AQ189" s="254">
        <f t="shared" si="26"/>
        <v>0</v>
      </c>
      <c r="AR189" s="255">
        <v>0</v>
      </c>
      <c r="AS189" s="257">
        <f t="shared" si="27"/>
        <v>0</v>
      </c>
      <c r="AT189" s="382">
        <v>360</v>
      </c>
      <c r="AU189" s="257">
        <f t="shared" si="28"/>
        <v>57.6</v>
      </c>
      <c r="AV189" s="382">
        <v>3000</v>
      </c>
      <c r="AW189" s="257">
        <f t="shared" si="29"/>
        <v>480</v>
      </c>
      <c r="AX189" s="382">
        <v>3000</v>
      </c>
      <c r="AY189" s="257">
        <f t="shared" si="30"/>
        <v>480</v>
      </c>
      <c r="AZ189" s="268">
        <v>4000</v>
      </c>
      <c r="BA189" s="257">
        <f t="shared" si="31"/>
        <v>640</v>
      </c>
      <c r="BB189" s="268">
        <v>4000</v>
      </c>
      <c r="BC189" s="257">
        <f t="shared" si="32"/>
        <v>640</v>
      </c>
      <c r="BD189" s="268">
        <v>4000</v>
      </c>
      <c r="BE189" s="257">
        <f t="shared" si="33"/>
        <v>640</v>
      </c>
      <c r="BF189" s="59">
        <v>5000</v>
      </c>
      <c r="BG189" s="257">
        <f t="shared" si="34"/>
        <v>800</v>
      </c>
      <c r="BH189" s="59">
        <v>3000</v>
      </c>
      <c r="BI189" s="257">
        <f t="shared" si="35"/>
        <v>480</v>
      </c>
      <c r="BJ189" s="1" t="s">
        <v>616</v>
      </c>
      <c r="BK189" s="1" t="s">
        <v>617</v>
      </c>
      <c r="BL189" s="1" t="s">
        <v>457</v>
      </c>
      <c r="BM189" s="1" t="s">
        <v>618</v>
      </c>
    </row>
    <row r="190" spans="1:65" ht="15.75" customHeight="1">
      <c r="A190" s="250" t="s">
        <v>951</v>
      </c>
      <c r="B190" s="59" t="s">
        <v>1014</v>
      </c>
      <c r="C190" s="354" t="s">
        <v>172</v>
      </c>
      <c r="D190" s="424"/>
      <c r="E190" s="357" t="s">
        <v>214</v>
      </c>
      <c r="F190" s="421"/>
      <c r="G190" s="317">
        <v>2024</v>
      </c>
      <c r="H190" s="59" t="s">
        <v>615</v>
      </c>
      <c r="I190" s="315" t="s">
        <v>220</v>
      </c>
      <c r="J190" s="318" t="s">
        <v>217</v>
      </c>
      <c r="K190" s="59" t="s">
        <v>217</v>
      </c>
      <c r="L190" s="59" t="s">
        <v>177</v>
      </c>
      <c r="M190" s="303" t="s">
        <v>597</v>
      </c>
      <c r="N190" s="303">
        <v>2.13</v>
      </c>
      <c r="O190" s="303">
        <v>2.13</v>
      </c>
      <c r="P190" s="303">
        <v>2.13</v>
      </c>
      <c r="Q190" s="303">
        <v>2.13</v>
      </c>
      <c r="R190" s="303">
        <v>2.13</v>
      </c>
      <c r="S190" s="303">
        <v>2.13</v>
      </c>
      <c r="T190" s="303">
        <v>2.13</v>
      </c>
      <c r="U190" s="303">
        <v>2.13</v>
      </c>
      <c r="V190" s="303">
        <v>2.13</v>
      </c>
      <c r="W190" s="303">
        <v>2.13</v>
      </c>
      <c r="X190" s="303">
        <v>2.13</v>
      </c>
      <c r="Y190" s="303">
        <v>2.13</v>
      </c>
      <c r="Z190" s="59">
        <v>0.16</v>
      </c>
      <c r="AA190" s="59">
        <v>0.16</v>
      </c>
      <c r="AB190" s="59">
        <v>0.16</v>
      </c>
      <c r="AC190" s="59">
        <v>0.16</v>
      </c>
      <c r="AD190" s="59">
        <v>0.16</v>
      </c>
      <c r="AE190" s="59">
        <v>0.16</v>
      </c>
      <c r="AF190" s="59">
        <v>0.16</v>
      </c>
      <c r="AG190" s="59">
        <v>0.16</v>
      </c>
      <c r="AH190" s="59">
        <v>0.16</v>
      </c>
      <c r="AI190" s="59">
        <v>0.16</v>
      </c>
      <c r="AJ190" s="59">
        <v>0.16</v>
      </c>
      <c r="AK190" s="59">
        <v>0.16</v>
      </c>
      <c r="AL190" s="255"/>
      <c r="AM190" s="254">
        <f t="shared" si="24"/>
        <v>0</v>
      </c>
      <c r="AN190" s="270"/>
      <c r="AO190" s="254">
        <f t="shared" si="25"/>
        <v>0</v>
      </c>
      <c r="AP190" s="255">
        <v>0</v>
      </c>
      <c r="AQ190" s="254">
        <f t="shared" si="26"/>
        <v>0</v>
      </c>
      <c r="AR190" s="256">
        <v>0</v>
      </c>
      <c r="AS190" s="257">
        <f t="shared" si="27"/>
        <v>0</v>
      </c>
      <c r="AT190" s="382">
        <v>0</v>
      </c>
      <c r="AU190" s="257">
        <f t="shared" si="28"/>
        <v>0</v>
      </c>
      <c r="AV190" s="268"/>
      <c r="AW190" s="257">
        <f t="shared" si="29"/>
        <v>0</v>
      </c>
      <c r="AX190" s="268"/>
      <c r="AY190" s="257">
        <f t="shared" si="30"/>
        <v>0</v>
      </c>
      <c r="AZ190" s="268"/>
      <c r="BA190" s="257">
        <f t="shared" si="31"/>
        <v>0</v>
      </c>
      <c r="BB190" s="268"/>
      <c r="BC190" s="257">
        <f t="shared" si="32"/>
        <v>0</v>
      </c>
      <c r="BD190" s="256"/>
      <c r="BE190" s="257">
        <f t="shared" si="33"/>
        <v>0</v>
      </c>
      <c r="BF190" s="59"/>
      <c r="BG190" s="257">
        <f t="shared" si="34"/>
        <v>0</v>
      </c>
      <c r="BH190" s="59"/>
      <c r="BI190" s="257">
        <f t="shared" si="35"/>
        <v>0</v>
      </c>
      <c r="BJ190" s="1" t="s">
        <v>616</v>
      </c>
      <c r="BK190" s="1" t="s">
        <v>617</v>
      </c>
      <c r="BL190" s="1" t="s">
        <v>457</v>
      </c>
      <c r="BM190" s="1" t="s">
        <v>618</v>
      </c>
    </row>
    <row r="191" spans="1:65" ht="15.75" customHeight="1">
      <c r="A191" s="250" t="s">
        <v>951</v>
      </c>
      <c r="B191" s="59" t="s">
        <v>1014</v>
      </c>
      <c r="C191" s="354" t="s">
        <v>172</v>
      </c>
      <c r="D191" s="424"/>
      <c r="E191" s="357" t="s">
        <v>214</v>
      </c>
      <c r="F191" s="421"/>
      <c r="G191" s="317">
        <v>2024</v>
      </c>
      <c r="H191" s="59" t="s">
        <v>615</v>
      </c>
      <c r="I191" s="315" t="s">
        <v>220</v>
      </c>
      <c r="J191" s="318" t="s">
        <v>217</v>
      </c>
      <c r="K191" s="59" t="s">
        <v>217</v>
      </c>
      <c r="L191" s="59" t="s">
        <v>177</v>
      </c>
      <c r="M191" s="303" t="s">
        <v>598</v>
      </c>
      <c r="N191" s="303">
        <v>2.13</v>
      </c>
      <c r="O191" s="303">
        <v>2.13</v>
      </c>
      <c r="P191" s="303">
        <v>2.13</v>
      </c>
      <c r="Q191" s="303">
        <v>2.13</v>
      </c>
      <c r="R191" s="303">
        <v>2.13</v>
      </c>
      <c r="S191" s="303">
        <v>2.13</v>
      </c>
      <c r="T191" s="303">
        <v>2.13</v>
      </c>
      <c r="U191" s="303">
        <v>2.13</v>
      </c>
      <c r="V191" s="303">
        <v>2.13</v>
      </c>
      <c r="W191" s="303">
        <v>2.13</v>
      </c>
      <c r="X191" s="303">
        <v>2.13</v>
      </c>
      <c r="Y191" s="303">
        <v>2.13</v>
      </c>
      <c r="Z191" s="59">
        <v>0.16</v>
      </c>
      <c r="AA191" s="59">
        <v>0.16</v>
      </c>
      <c r="AB191" s="59">
        <v>0.16</v>
      </c>
      <c r="AC191" s="59">
        <v>0.16</v>
      </c>
      <c r="AD191" s="59">
        <v>0.16</v>
      </c>
      <c r="AE191" s="59">
        <v>0.16</v>
      </c>
      <c r="AF191" s="59">
        <v>0.16</v>
      </c>
      <c r="AG191" s="59">
        <v>0.16</v>
      </c>
      <c r="AH191" s="59">
        <v>0.16</v>
      </c>
      <c r="AI191" s="59">
        <v>0.16</v>
      </c>
      <c r="AJ191" s="59">
        <v>0.16</v>
      </c>
      <c r="AK191" s="59">
        <v>0.16</v>
      </c>
      <c r="AL191" s="255">
        <v>360</v>
      </c>
      <c r="AM191" s="254">
        <f t="shared" si="24"/>
        <v>57.6</v>
      </c>
      <c r="AN191" s="255">
        <v>120</v>
      </c>
      <c r="AO191" s="254">
        <f t="shared" si="25"/>
        <v>19.2</v>
      </c>
      <c r="AP191" s="255">
        <v>840</v>
      </c>
      <c r="AQ191" s="254">
        <f t="shared" si="26"/>
        <v>134.4</v>
      </c>
      <c r="AR191" s="255">
        <v>480</v>
      </c>
      <c r="AS191" s="257">
        <f t="shared" si="27"/>
        <v>76.8</v>
      </c>
      <c r="AT191" s="255">
        <v>360</v>
      </c>
      <c r="AU191" s="257">
        <f t="shared" si="28"/>
        <v>57.6</v>
      </c>
      <c r="AV191" s="255">
        <v>500</v>
      </c>
      <c r="AW191" s="257">
        <f t="shared" si="29"/>
        <v>80</v>
      </c>
      <c r="AX191" s="255">
        <v>500</v>
      </c>
      <c r="AY191" s="257">
        <f t="shared" si="30"/>
        <v>80</v>
      </c>
      <c r="AZ191" s="255">
        <v>500</v>
      </c>
      <c r="BA191" s="257">
        <f t="shared" si="31"/>
        <v>80</v>
      </c>
      <c r="BB191" s="255">
        <v>500</v>
      </c>
      <c r="BC191" s="257">
        <f t="shared" si="32"/>
        <v>80</v>
      </c>
      <c r="BD191" s="255">
        <v>500</v>
      </c>
      <c r="BE191" s="257">
        <f t="shared" si="33"/>
        <v>80</v>
      </c>
      <c r="BF191" s="255">
        <v>500</v>
      </c>
      <c r="BG191" s="257">
        <f t="shared" si="34"/>
        <v>80</v>
      </c>
      <c r="BH191" s="255">
        <v>500</v>
      </c>
      <c r="BI191" s="257">
        <f t="shared" si="35"/>
        <v>80</v>
      </c>
      <c r="BJ191" s="1" t="s">
        <v>616</v>
      </c>
      <c r="BK191" s="1" t="s">
        <v>617</v>
      </c>
      <c r="BL191" s="1" t="s">
        <v>457</v>
      </c>
      <c r="BM191" s="1" t="s">
        <v>618</v>
      </c>
    </row>
    <row r="192" spans="1:65" ht="15.75" customHeight="1">
      <c r="A192" s="250" t="s">
        <v>951</v>
      </c>
      <c r="B192" s="59" t="s">
        <v>1014</v>
      </c>
      <c r="C192" s="354" t="s">
        <v>172</v>
      </c>
      <c r="D192" s="424"/>
      <c r="E192" s="357" t="s">
        <v>214</v>
      </c>
      <c r="F192" s="421"/>
      <c r="G192" s="317">
        <v>2024</v>
      </c>
      <c r="H192" s="59" t="s">
        <v>615</v>
      </c>
      <c r="I192" s="315" t="s">
        <v>220</v>
      </c>
      <c r="J192" s="318" t="s">
        <v>217</v>
      </c>
      <c r="K192" s="59" t="s">
        <v>217</v>
      </c>
      <c r="L192" s="59" t="s">
        <v>177</v>
      </c>
      <c r="M192" s="303" t="s">
        <v>599</v>
      </c>
      <c r="N192" s="303">
        <v>2.13</v>
      </c>
      <c r="O192" s="303">
        <v>2.13</v>
      </c>
      <c r="P192" s="303">
        <v>2.13</v>
      </c>
      <c r="Q192" s="303">
        <v>2.13</v>
      </c>
      <c r="R192" s="303">
        <v>2.13</v>
      </c>
      <c r="S192" s="303">
        <v>2.13</v>
      </c>
      <c r="T192" s="303">
        <v>2.13</v>
      </c>
      <c r="U192" s="303">
        <v>2.13</v>
      </c>
      <c r="V192" s="303">
        <v>2.13</v>
      </c>
      <c r="W192" s="303">
        <v>2.13</v>
      </c>
      <c r="X192" s="303">
        <v>2.13</v>
      </c>
      <c r="Y192" s="303">
        <v>2.13</v>
      </c>
      <c r="Z192" s="59">
        <v>0.16</v>
      </c>
      <c r="AA192" s="59">
        <v>0.16</v>
      </c>
      <c r="AB192" s="59">
        <v>0.16</v>
      </c>
      <c r="AC192" s="59">
        <v>0.16</v>
      </c>
      <c r="AD192" s="59">
        <v>0.16</v>
      </c>
      <c r="AE192" s="59">
        <v>0.16</v>
      </c>
      <c r="AF192" s="59">
        <v>0.16</v>
      </c>
      <c r="AG192" s="59">
        <v>0.16</v>
      </c>
      <c r="AH192" s="59">
        <v>0.16</v>
      </c>
      <c r="AI192" s="59">
        <v>0.16</v>
      </c>
      <c r="AJ192" s="59">
        <v>0.16</v>
      </c>
      <c r="AK192" s="59">
        <v>0.16</v>
      </c>
      <c r="AL192" s="255"/>
      <c r="AM192" s="254">
        <f t="shared" si="24"/>
        <v>0</v>
      </c>
      <c r="AN192" s="270"/>
      <c r="AO192" s="254">
        <f t="shared" si="25"/>
        <v>0</v>
      </c>
      <c r="AP192" s="255"/>
      <c r="AQ192" s="254">
        <f t="shared" si="26"/>
        <v>0</v>
      </c>
      <c r="AR192" s="256"/>
      <c r="AS192" s="257">
        <f t="shared" si="27"/>
        <v>0</v>
      </c>
      <c r="AT192" s="382"/>
      <c r="AU192" s="257">
        <f t="shared" si="28"/>
        <v>0</v>
      </c>
      <c r="AV192" s="268"/>
      <c r="AW192" s="257">
        <f t="shared" si="29"/>
        <v>0</v>
      </c>
      <c r="AX192" s="268"/>
      <c r="AY192" s="257">
        <f t="shared" si="30"/>
        <v>0</v>
      </c>
      <c r="AZ192" s="268"/>
      <c r="BA192" s="257">
        <f t="shared" si="31"/>
        <v>0</v>
      </c>
      <c r="BB192" s="268"/>
      <c r="BC192" s="257">
        <f t="shared" si="32"/>
        <v>0</v>
      </c>
      <c r="BD192" s="268"/>
      <c r="BE192" s="257">
        <f t="shared" si="33"/>
        <v>0</v>
      </c>
      <c r="BF192" s="59"/>
      <c r="BG192" s="257">
        <f t="shared" si="34"/>
        <v>0</v>
      </c>
      <c r="BH192" s="59"/>
      <c r="BI192" s="257">
        <f t="shared" si="35"/>
        <v>0</v>
      </c>
      <c r="BJ192" s="1" t="s">
        <v>616</v>
      </c>
      <c r="BK192" s="1" t="s">
        <v>617</v>
      </c>
      <c r="BL192" s="1" t="s">
        <v>457</v>
      </c>
      <c r="BM192" s="1" t="s">
        <v>618</v>
      </c>
    </row>
    <row r="193" spans="1:65" ht="15.75" customHeight="1">
      <c r="A193" s="250" t="s">
        <v>951</v>
      </c>
      <c r="B193" s="59" t="s">
        <v>1014</v>
      </c>
      <c r="C193" s="354" t="s">
        <v>172</v>
      </c>
      <c r="D193" s="424"/>
      <c r="E193" s="357"/>
      <c r="F193" s="421"/>
      <c r="G193" s="317">
        <v>2024</v>
      </c>
      <c r="H193" s="59" t="s">
        <v>615</v>
      </c>
      <c r="I193" s="315" t="s">
        <v>220</v>
      </c>
      <c r="J193" s="318" t="s">
        <v>217</v>
      </c>
      <c r="K193" s="59" t="s">
        <v>217</v>
      </c>
      <c r="L193" s="59" t="s">
        <v>177</v>
      </c>
      <c r="M193" s="303" t="s">
        <v>601</v>
      </c>
      <c r="N193" s="303">
        <v>2.23</v>
      </c>
      <c r="O193" s="303">
        <v>2.23</v>
      </c>
      <c r="P193" s="303">
        <v>2.23</v>
      </c>
      <c r="Q193" s="303">
        <v>2.23</v>
      </c>
      <c r="R193" s="303">
        <v>2.23</v>
      </c>
      <c r="S193" s="303">
        <v>2.23</v>
      </c>
      <c r="T193" s="303">
        <v>2.23</v>
      </c>
      <c r="U193" s="303">
        <v>2.23</v>
      </c>
      <c r="V193" s="303">
        <v>2.23</v>
      </c>
      <c r="W193" s="303">
        <v>2.23</v>
      </c>
      <c r="X193" s="303">
        <v>2.23</v>
      </c>
      <c r="Y193" s="303">
        <v>2.23</v>
      </c>
      <c r="Z193" s="59">
        <v>0.16</v>
      </c>
      <c r="AA193" s="59">
        <v>0.16</v>
      </c>
      <c r="AB193" s="59">
        <v>0.16</v>
      </c>
      <c r="AC193" s="59">
        <v>0.16</v>
      </c>
      <c r="AD193" s="59">
        <v>0.16</v>
      </c>
      <c r="AE193" s="59">
        <v>0.16</v>
      </c>
      <c r="AF193" s="59">
        <v>0.16</v>
      </c>
      <c r="AG193" s="59">
        <v>0.16</v>
      </c>
      <c r="AH193" s="59">
        <v>0.16</v>
      </c>
      <c r="AI193" s="59">
        <v>0.16</v>
      </c>
      <c r="AJ193" s="59">
        <v>0.16</v>
      </c>
      <c r="AK193" s="59">
        <v>0.16</v>
      </c>
      <c r="AL193" s="255"/>
      <c r="AM193" s="254">
        <f t="shared" si="24"/>
        <v>0</v>
      </c>
      <c r="AN193" s="255">
        <v>2160</v>
      </c>
      <c r="AO193" s="254">
        <f t="shared" si="25"/>
        <v>345.6</v>
      </c>
      <c r="AP193" s="255">
        <v>2160</v>
      </c>
      <c r="AQ193" s="254">
        <f t="shared" si="26"/>
        <v>345.6</v>
      </c>
      <c r="AR193" s="255">
        <v>2160</v>
      </c>
      <c r="AS193" s="257">
        <f t="shared" si="27"/>
        <v>345.6</v>
      </c>
      <c r="AT193" s="255">
        <v>2160</v>
      </c>
      <c r="AU193" s="257">
        <f t="shared" si="28"/>
        <v>345.6</v>
      </c>
      <c r="AV193" s="255">
        <v>1000</v>
      </c>
      <c r="AW193" s="257">
        <f t="shared" si="29"/>
        <v>160</v>
      </c>
      <c r="AX193" s="255">
        <v>1000</v>
      </c>
      <c r="AY193" s="257">
        <f t="shared" si="30"/>
        <v>160</v>
      </c>
      <c r="AZ193" s="255">
        <v>1000</v>
      </c>
      <c r="BA193" s="257">
        <f t="shared" si="31"/>
        <v>160</v>
      </c>
      <c r="BB193" s="255">
        <v>1000</v>
      </c>
      <c r="BC193" s="257">
        <f t="shared" si="32"/>
        <v>160</v>
      </c>
      <c r="BD193" s="255">
        <v>1000</v>
      </c>
      <c r="BE193" s="257">
        <f t="shared" si="33"/>
        <v>160</v>
      </c>
      <c r="BF193" s="255">
        <v>1000</v>
      </c>
      <c r="BG193" s="257">
        <f t="shared" si="34"/>
        <v>160</v>
      </c>
      <c r="BH193" s="255">
        <v>1000</v>
      </c>
      <c r="BI193" s="257">
        <f t="shared" si="35"/>
        <v>160</v>
      </c>
      <c r="BJ193" s="1" t="s">
        <v>616</v>
      </c>
      <c r="BK193" s="1" t="s">
        <v>617</v>
      </c>
      <c r="BL193" s="1" t="s">
        <v>457</v>
      </c>
      <c r="BM193" s="1" t="s">
        <v>618</v>
      </c>
    </row>
    <row r="194" spans="1:65" ht="15.75" customHeight="1">
      <c r="A194" s="250" t="s">
        <v>951</v>
      </c>
      <c r="B194" s="59" t="s">
        <v>1014</v>
      </c>
      <c r="C194" s="354" t="s">
        <v>172</v>
      </c>
      <c r="D194" s="424"/>
      <c r="E194" s="357" t="s">
        <v>214</v>
      </c>
      <c r="F194" s="421"/>
      <c r="G194" s="317">
        <v>2024</v>
      </c>
      <c r="H194" s="59" t="s">
        <v>615</v>
      </c>
      <c r="I194" s="315" t="s">
        <v>220</v>
      </c>
      <c r="J194" s="318" t="s">
        <v>217</v>
      </c>
      <c r="K194" s="59" t="s">
        <v>217</v>
      </c>
      <c r="L194" s="59" t="s">
        <v>177</v>
      </c>
      <c r="M194" s="303" t="s">
        <v>602</v>
      </c>
      <c r="N194" s="303">
        <v>2.23</v>
      </c>
      <c r="O194" s="303">
        <v>2.23</v>
      </c>
      <c r="P194" s="303">
        <v>2.23</v>
      </c>
      <c r="Q194" s="303">
        <v>2.23</v>
      </c>
      <c r="R194" s="303">
        <v>2.23</v>
      </c>
      <c r="S194" s="303">
        <v>2.23</v>
      </c>
      <c r="T194" s="303">
        <v>2.23</v>
      </c>
      <c r="U194" s="303">
        <v>2.23</v>
      </c>
      <c r="V194" s="303">
        <v>2.23</v>
      </c>
      <c r="W194" s="303">
        <v>2.23</v>
      </c>
      <c r="X194" s="303">
        <v>2.23</v>
      </c>
      <c r="Y194" s="303">
        <v>2.23</v>
      </c>
      <c r="Z194" s="59">
        <v>0.16</v>
      </c>
      <c r="AA194" s="59">
        <v>0.16</v>
      </c>
      <c r="AB194" s="59">
        <v>0.16</v>
      </c>
      <c r="AC194" s="59">
        <v>0.16</v>
      </c>
      <c r="AD194" s="59">
        <v>0.16</v>
      </c>
      <c r="AE194" s="59">
        <v>0.16</v>
      </c>
      <c r="AF194" s="59">
        <v>0.16</v>
      </c>
      <c r="AG194" s="59">
        <v>0.16</v>
      </c>
      <c r="AH194" s="59">
        <v>0.16</v>
      </c>
      <c r="AI194" s="59">
        <v>0.16</v>
      </c>
      <c r="AJ194" s="59">
        <v>0.16</v>
      </c>
      <c r="AK194" s="59">
        <v>0.16</v>
      </c>
      <c r="AL194" s="255"/>
      <c r="AM194" s="254">
        <f t="shared" si="24"/>
        <v>0</v>
      </c>
      <c r="AN194" s="255"/>
      <c r="AO194" s="254">
        <f t="shared" si="25"/>
        <v>0</v>
      </c>
      <c r="AP194" s="255">
        <v>8640</v>
      </c>
      <c r="AQ194" s="254">
        <f t="shared" si="26"/>
        <v>1382.4</v>
      </c>
      <c r="AR194" s="255">
        <v>2880</v>
      </c>
      <c r="AS194" s="257">
        <f t="shared" si="27"/>
        <v>460.8</v>
      </c>
      <c r="AT194" s="255"/>
      <c r="AU194" s="257">
        <f t="shared" si="28"/>
        <v>0</v>
      </c>
      <c r="AV194" s="255">
        <v>5000</v>
      </c>
      <c r="AW194" s="257">
        <f t="shared" si="29"/>
        <v>800</v>
      </c>
      <c r="AX194" s="255">
        <v>5000</v>
      </c>
      <c r="AY194" s="257">
        <f t="shared" si="30"/>
        <v>800</v>
      </c>
      <c r="AZ194" s="255">
        <v>5000</v>
      </c>
      <c r="BA194" s="257">
        <f t="shared" si="31"/>
        <v>800</v>
      </c>
      <c r="BB194" s="255">
        <v>5000</v>
      </c>
      <c r="BC194" s="257">
        <f t="shared" si="32"/>
        <v>800</v>
      </c>
      <c r="BD194" s="255">
        <v>5000</v>
      </c>
      <c r="BE194" s="257">
        <f t="shared" si="33"/>
        <v>800</v>
      </c>
      <c r="BF194" s="255">
        <v>5000</v>
      </c>
      <c r="BG194" s="257">
        <f t="shared" si="34"/>
        <v>800</v>
      </c>
      <c r="BH194" s="255">
        <v>5000</v>
      </c>
      <c r="BI194" s="257">
        <f t="shared" si="35"/>
        <v>800</v>
      </c>
      <c r="BJ194" s="1" t="s">
        <v>616</v>
      </c>
      <c r="BK194" s="1" t="s">
        <v>617</v>
      </c>
      <c r="BL194" s="1" t="s">
        <v>457</v>
      </c>
      <c r="BM194" s="1" t="s">
        <v>618</v>
      </c>
    </row>
    <row r="195" spans="1:65" s="14" customFormat="1" ht="15.75" customHeight="1">
      <c r="A195" s="250" t="s">
        <v>951</v>
      </c>
      <c r="B195" s="59" t="s">
        <v>1014</v>
      </c>
      <c r="C195" s="354" t="s">
        <v>172</v>
      </c>
      <c r="D195" s="424"/>
      <c r="E195" s="357" t="s">
        <v>214</v>
      </c>
      <c r="F195" s="421"/>
      <c r="G195" s="317">
        <v>2024</v>
      </c>
      <c r="H195" s="59" t="s">
        <v>619</v>
      </c>
      <c r="I195" s="315" t="s">
        <v>357</v>
      </c>
      <c r="J195" s="318" t="s">
        <v>217</v>
      </c>
      <c r="K195" s="59" t="s">
        <v>217</v>
      </c>
      <c r="L195" s="59" t="s">
        <v>177</v>
      </c>
      <c r="M195" s="303" t="s">
        <v>592</v>
      </c>
      <c r="N195" s="303">
        <v>3.73</v>
      </c>
      <c r="O195" s="303">
        <v>3.73</v>
      </c>
      <c r="P195" s="303">
        <v>3.73</v>
      </c>
      <c r="Q195" s="303">
        <v>3.64</v>
      </c>
      <c r="R195" s="401">
        <v>4.09</v>
      </c>
      <c r="S195" s="401">
        <v>4.09</v>
      </c>
      <c r="T195" s="401">
        <v>4.09</v>
      </c>
      <c r="U195" s="401">
        <v>4.09</v>
      </c>
      <c r="V195" s="401">
        <v>4.09</v>
      </c>
      <c r="W195" s="401">
        <v>4.09</v>
      </c>
      <c r="X195" s="401">
        <v>4.09</v>
      </c>
      <c r="Y195" s="401">
        <v>4.09</v>
      </c>
      <c r="Z195" s="59">
        <v>0.18</v>
      </c>
      <c r="AA195" s="59">
        <v>0.18</v>
      </c>
      <c r="AB195" s="59">
        <v>0.18</v>
      </c>
      <c r="AC195" s="59">
        <v>9.0000000000000302E-2</v>
      </c>
      <c r="AD195" s="402">
        <v>0.33000000000000007</v>
      </c>
      <c r="AE195" s="402">
        <v>0.33000000000000007</v>
      </c>
      <c r="AF195" s="402">
        <v>0.33000000000000007</v>
      </c>
      <c r="AG195" s="402">
        <v>0.33000000000000007</v>
      </c>
      <c r="AH195" s="402">
        <v>0.33000000000000007</v>
      </c>
      <c r="AI195" s="402">
        <v>0.33000000000000007</v>
      </c>
      <c r="AJ195" s="402">
        <v>0.33000000000000007</v>
      </c>
      <c r="AK195" s="402">
        <v>0.33000000000000007</v>
      </c>
      <c r="AL195" s="255">
        <v>4288</v>
      </c>
      <c r="AM195" s="254">
        <f t="shared" si="24"/>
        <v>771.83999999999992</v>
      </c>
      <c r="AN195" s="255">
        <v>2376</v>
      </c>
      <c r="AO195" s="254">
        <f t="shared" si="25"/>
        <v>427.68</v>
      </c>
      <c r="AP195" s="255">
        <v>888</v>
      </c>
      <c r="AQ195" s="254">
        <f t="shared" si="26"/>
        <v>159.84</v>
      </c>
      <c r="AR195" s="255">
        <v>2916</v>
      </c>
      <c r="AS195" s="257">
        <f t="shared" si="27"/>
        <v>262.44000000000091</v>
      </c>
      <c r="AT195" s="255">
        <v>360</v>
      </c>
      <c r="AU195" s="257">
        <f t="shared" si="28"/>
        <v>118.80000000000003</v>
      </c>
      <c r="AV195" s="255">
        <v>1000</v>
      </c>
      <c r="AW195" s="257">
        <f t="shared" si="29"/>
        <v>330.00000000000006</v>
      </c>
      <c r="AX195" s="255">
        <v>1000</v>
      </c>
      <c r="AY195" s="257">
        <f t="shared" si="30"/>
        <v>330.00000000000006</v>
      </c>
      <c r="AZ195" s="255">
        <v>1000</v>
      </c>
      <c r="BA195" s="257">
        <f t="shared" si="31"/>
        <v>330.00000000000006</v>
      </c>
      <c r="BB195" s="255">
        <v>1000</v>
      </c>
      <c r="BC195" s="257">
        <f t="shared" si="32"/>
        <v>330.00000000000006</v>
      </c>
      <c r="BD195" s="255">
        <v>1000</v>
      </c>
      <c r="BE195" s="257">
        <f t="shared" si="33"/>
        <v>330.00000000000006</v>
      </c>
      <c r="BF195" s="255">
        <v>1000</v>
      </c>
      <c r="BG195" s="257">
        <f t="shared" si="34"/>
        <v>330.00000000000006</v>
      </c>
      <c r="BH195" s="255">
        <v>1000</v>
      </c>
      <c r="BI195" s="257">
        <f t="shared" si="35"/>
        <v>330.00000000000006</v>
      </c>
      <c r="BJ195" s="1" t="s">
        <v>605</v>
      </c>
      <c r="BK195" s="1" t="s">
        <v>612</v>
      </c>
      <c r="BL195" s="1" t="s">
        <v>457</v>
      </c>
      <c r="BM195" s="1" t="s">
        <v>620</v>
      </c>
    </row>
    <row r="196" spans="1:65" s="14" customFormat="1" ht="15.75" customHeight="1">
      <c r="A196" s="250" t="s">
        <v>951</v>
      </c>
      <c r="B196" s="59" t="s">
        <v>1014</v>
      </c>
      <c r="C196" s="354" t="s">
        <v>172</v>
      </c>
      <c r="D196" s="424"/>
      <c r="E196" s="357" t="s">
        <v>214</v>
      </c>
      <c r="F196" s="421"/>
      <c r="G196" s="317">
        <v>2024</v>
      </c>
      <c r="H196" s="59" t="s">
        <v>619</v>
      </c>
      <c r="I196" s="315" t="s">
        <v>357</v>
      </c>
      <c r="J196" s="318" t="s">
        <v>217</v>
      </c>
      <c r="K196" s="59" t="s">
        <v>217</v>
      </c>
      <c r="L196" s="59" t="s">
        <v>177</v>
      </c>
      <c r="M196" s="303" t="s">
        <v>455</v>
      </c>
      <c r="N196" s="303">
        <v>3.73</v>
      </c>
      <c r="O196" s="303">
        <v>3.73</v>
      </c>
      <c r="P196" s="303">
        <v>3.73</v>
      </c>
      <c r="Q196" s="303">
        <v>3.64</v>
      </c>
      <c r="R196" s="401">
        <v>4.09</v>
      </c>
      <c r="S196" s="401">
        <v>4.09</v>
      </c>
      <c r="T196" s="401">
        <v>4.09</v>
      </c>
      <c r="U196" s="401">
        <v>4.09</v>
      </c>
      <c r="V196" s="401">
        <v>4.09</v>
      </c>
      <c r="W196" s="401">
        <v>4.09</v>
      </c>
      <c r="X196" s="401">
        <v>4.09</v>
      </c>
      <c r="Y196" s="401">
        <v>4.09</v>
      </c>
      <c r="Z196" s="59">
        <v>0.18</v>
      </c>
      <c r="AA196" s="59">
        <v>0.18</v>
      </c>
      <c r="AB196" s="59">
        <v>0.18</v>
      </c>
      <c r="AC196" s="59">
        <v>9.0000000000000302E-2</v>
      </c>
      <c r="AD196" s="402">
        <v>0.33000000000000007</v>
      </c>
      <c r="AE196" s="402">
        <v>0.33000000000000007</v>
      </c>
      <c r="AF196" s="402">
        <v>0.33000000000000007</v>
      </c>
      <c r="AG196" s="402">
        <v>0.33000000000000007</v>
      </c>
      <c r="AH196" s="402">
        <v>0.33000000000000007</v>
      </c>
      <c r="AI196" s="402">
        <v>0.33000000000000007</v>
      </c>
      <c r="AJ196" s="402">
        <v>0.33000000000000007</v>
      </c>
      <c r="AK196" s="402">
        <v>0.33000000000000007</v>
      </c>
      <c r="AL196" s="255">
        <v>480</v>
      </c>
      <c r="AM196" s="254">
        <f t="shared" si="24"/>
        <v>86.399999999999991</v>
      </c>
      <c r="AN196" s="255">
        <v>3564</v>
      </c>
      <c r="AO196" s="254">
        <f t="shared" si="25"/>
        <v>641.52</v>
      </c>
      <c r="AP196" s="255">
        <v>2892</v>
      </c>
      <c r="AQ196" s="254">
        <f t="shared" si="26"/>
        <v>520.55999999999995</v>
      </c>
      <c r="AR196" s="255">
        <v>1020</v>
      </c>
      <c r="AS196" s="257">
        <f t="shared" si="27"/>
        <v>91.80000000000031</v>
      </c>
      <c r="AT196" s="255">
        <v>2280</v>
      </c>
      <c r="AU196" s="257">
        <f t="shared" si="28"/>
        <v>752.4000000000002</v>
      </c>
      <c r="AV196" s="255">
        <v>1000</v>
      </c>
      <c r="AW196" s="257">
        <f t="shared" si="29"/>
        <v>330.00000000000006</v>
      </c>
      <c r="AX196" s="255">
        <v>1000</v>
      </c>
      <c r="AY196" s="257">
        <f t="shared" si="30"/>
        <v>330.00000000000006</v>
      </c>
      <c r="AZ196" s="255">
        <v>1000</v>
      </c>
      <c r="BA196" s="257">
        <f t="shared" si="31"/>
        <v>330.00000000000006</v>
      </c>
      <c r="BB196" s="255">
        <v>1000</v>
      </c>
      <c r="BC196" s="257">
        <f t="shared" si="32"/>
        <v>330.00000000000006</v>
      </c>
      <c r="BD196" s="255">
        <v>1000</v>
      </c>
      <c r="BE196" s="257">
        <f t="shared" si="33"/>
        <v>330.00000000000006</v>
      </c>
      <c r="BF196" s="255">
        <v>1000</v>
      </c>
      <c r="BG196" s="257">
        <f t="shared" si="34"/>
        <v>330.00000000000006</v>
      </c>
      <c r="BH196" s="255">
        <v>1000</v>
      </c>
      <c r="BI196" s="257">
        <f t="shared" si="35"/>
        <v>330.00000000000006</v>
      </c>
      <c r="BJ196" s="1" t="s">
        <v>605</v>
      </c>
      <c r="BK196" s="1" t="s">
        <v>612</v>
      </c>
      <c r="BL196" s="1" t="s">
        <v>457</v>
      </c>
      <c r="BM196" s="1" t="s">
        <v>620</v>
      </c>
    </row>
    <row r="197" spans="1:65" s="14" customFormat="1" ht="15.75" customHeight="1">
      <c r="A197" s="250" t="s">
        <v>951</v>
      </c>
      <c r="B197" s="59" t="s">
        <v>1014</v>
      </c>
      <c r="C197" s="354" t="s">
        <v>172</v>
      </c>
      <c r="D197" s="424"/>
      <c r="E197" s="357" t="s">
        <v>214</v>
      </c>
      <c r="F197" s="421"/>
      <c r="G197" s="317">
        <v>2024</v>
      </c>
      <c r="H197" s="59" t="s">
        <v>619</v>
      </c>
      <c r="I197" s="315" t="s">
        <v>357</v>
      </c>
      <c r="J197" s="318" t="s">
        <v>217</v>
      </c>
      <c r="K197" s="59" t="s">
        <v>217</v>
      </c>
      <c r="L197" s="59" t="s">
        <v>177</v>
      </c>
      <c r="M197" s="303" t="s">
        <v>595</v>
      </c>
      <c r="N197" s="303">
        <v>3.81</v>
      </c>
      <c r="O197" s="303">
        <v>3.81</v>
      </c>
      <c r="P197" s="303">
        <v>3.81</v>
      </c>
      <c r="Q197" s="303">
        <v>3.72</v>
      </c>
      <c r="R197" s="401">
        <v>4.17</v>
      </c>
      <c r="S197" s="401">
        <v>4.17</v>
      </c>
      <c r="T197" s="401">
        <v>4.17</v>
      </c>
      <c r="U197" s="401">
        <v>4.17</v>
      </c>
      <c r="V197" s="401">
        <v>4.17</v>
      </c>
      <c r="W197" s="401">
        <v>4.17</v>
      </c>
      <c r="X197" s="401">
        <v>4.17</v>
      </c>
      <c r="Y197" s="401">
        <v>4.17</v>
      </c>
      <c r="Z197" s="59">
        <v>0.18</v>
      </c>
      <c r="AA197" s="59">
        <v>0.18</v>
      </c>
      <c r="AB197" s="59">
        <v>0.18</v>
      </c>
      <c r="AC197" s="59">
        <v>9.0000000000000302E-2</v>
      </c>
      <c r="AD197" s="402">
        <v>0.33000000000000007</v>
      </c>
      <c r="AE197" s="402">
        <v>0.33000000000000007</v>
      </c>
      <c r="AF197" s="402">
        <v>0.33000000000000007</v>
      </c>
      <c r="AG197" s="402">
        <v>0.33000000000000007</v>
      </c>
      <c r="AH197" s="402">
        <v>0.33000000000000007</v>
      </c>
      <c r="AI197" s="402">
        <v>0.33000000000000007</v>
      </c>
      <c r="AJ197" s="402">
        <v>0.33000000000000007</v>
      </c>
      <c r="AK197" s="402">
        <v>0.33000000000000007</v>
      </c>
      <c r="AL197" s="255">
        <v>2664</v>
      </c>
      <c r="AM197" s="254">
        <f t="shared" si="24"/>
        <v>479.52</v>
      </c>
      <c r="AN197" s="255">
        <v>4648</v>
      </c>
      <c r="AO197" s="254">
        <f t="shared" si="25"/>
        <v>836.64</v>
      </c>
      <c r="AP197" s="255">
        <v>4296</v>
      </c>
      <c r="AQ197" s="254">
        <f t="shared" si="26"/>
        <v>773.28</v>
      </c>
      <c r="AR197" s="255">
        <v>4368</v>
      </c>
      <c r="AS197" s="257">
        <f t="shared" si="27"/>
        <v>393.12000000000131</v>
      </c>
      <c r="AT197" s="255">
        <v>360</v>
      </c>
      <c r="AU197" s="257">
        <f t="shared" si="28"/>
        <v>118.80000000000003</v>
      </c>
      <c r="AV197" s="255">
        <v>2000</v>
      </c>
      <c r="AW197" s="257">
        <f t="shared" si="29"/>
        <v>660.00000000000011</v>
      </c>
      <c r="AX197" s="255">
        <v>2000</v>
      </c>
      <c r="AY197" s="257">
        <f t="shared" si="30"/>
        <v>660.00000000000011</v>
      </c>
      <c r="AZ197" s="255">
        <v>2000</v>
      </c>
      <c r="BA197" s="257">
        <f t="shared" si="31"/>
        <v>660.00000000000011</v>
      </c>
      <c r="BB197" s="255">
        <v>2000</v>
      </c>
      <c r="BC197" s="257">
        <f t="shared" si="32"/>
        <v>660.00000000000011</v>
      </c>
      <c r="BD197" s="255">
        <v>2000</v>
      </c>
      <c r="BE197" s="257">
        <f t="shared" si="33"/>
        <v>660.00000000000011</v>
      </c>
      <c r="BF197" s="255">
        <v>2000</v>
      </c>
      <c r="BG197" s="257">
        <f t="shared" si="34"/>
        <v>660.00000000000011</v>
      </c>
      <c r="BH197" s="255">
        <v>2000</v>
      </c>
      <c r="BI197" s="257">
        <f t="shared" si="35"/>
        <v>660.00000000000011</v>
      </c>
      <c r="BJ197" s="1" t="s">
        <v>605</v>
      </c>
      <c r="BK197" s="1" t="s">
        <v>612</v>
      </c>
      <c r="BL197" s="1" t="s">
        <v>457</v>
      </c>
      <c r="BM197" s="1" t="s">
        <v>621</v>
      </c>
    </row>
    <row r="198" spans="1:65" s="14" customFormat="1" ht="15.75" customHeight="1">
      <c r="A198" s="250" t="s">
        <v>951</v>
      </c>
      <c r="B198" s="59" t="s">
        <v>1014</v>
      </c>
      <c r="C198" s="354" t="s">
        <v>172</v>
      </c>
      <c r="D198" s="424"/>
      <c r="E198" s="357" t="s">
        <v>214</v>
      </c>
      <c r="F198" s="421"/>
      <c r="G198" s="317">
        <v>2024</v>
      </c>
      <c r="H198" s="59" t="s">
        <v>619</v>
      </c>
      <c r="I198" s="315" t="s">
        <v>357</v>
      </c>
      <c r="J198" s="318" t="s">
        <v>217</v>
      </c>
      <c r="K198" s="59" t="s">
        <v>217</v>
      </c>
      <c r="L198" s="59" t="s">
        <v>177</v>
      </c>
      <c r="M198" s="303" t="s">
        <v>597</v>
      </c>
      <c r="N198" s="303">
        <v>3.73</v>
      </c>
      <c r="O198" s="303">
        <v>3.73</v>
      </c>
      <c r="P198" s="303">
        <v>3.73</v>
      </c>
      <c r="Q198" s="303">
        <v>3.64</v>
      </c>
      <c r="R198" s="401">
        <v>4.09</v>
      </c>
      <c r="S198" s="401">
        <v>4.09</v>
      </c>
      <c r="T198" s="401">
        <v>4.09</v>
      </c>
      <c r="U198" s="401">
        <v>4.09</v>
      </c>
      <c r="V198" s="401">
        <v>4.09</v>
      </c>
      <c r="W198" s="401">
        <v>4.09</v>
      </c>
      <c r="X198" s="401">
        <v>4.09</v>
      </c>
      <c r="Y198" s="401">
        <v>4.09</v>
      </c>
      <c r="Z198" s="59">
        <v>0.18</v>
      </c>
      <c r="AA198" s="59">
        <v>0.18</v>
      </c>
      <c r="AB198" s="59">
        <v>0.18</v>
      </c>
      <c r="AC198" s="59">
        <v>9.0000000000000302E-2</v>
      </c>
      <c r="AD198" s="402">
        <v>0.33000000000000007</v>
      </c>
      <c r="AE198" s="402">
        <v>0.33000000000000007</v>
      </c>
      <c r="AF198" s="402">
        <v>0.33000000000000007</v>
      </c>
      <c r="AG198" s="402">
        <v>0.33000000000000007</v>
      </c>
      <c r="AH198" s="402">
        <v>0.33000000000000007</v>
      </c>
      <c r="AI198" s="402">
        <v>0.33000000000000007</v>
      </c>
      <c r="AJ198" s="402">
        <v>0.33000000000000007</v>
      </c>
      <c r="AK198" s="402">
        <v>0.33000000000000007</v>
      </c>
      <c r="AL198" s="255">
        <v>360</v>
      </c>
      <c r="AM198" s="254">
        <f t="shared" si="24"/>
        <v>64.8</v>
      </c>
      <c r="AN198" s="270"/>
      <c r="AO198" s="254">
        <f t="shared" si="25"/>
        <v>0</v>
      </c>
      <c r="AP198" s="270">
        <v>480</v>
      </c>
      <c r="AQ198" s="254">
        <f t="shared" si="26"/>
        <v>86.399999999999991</v>
      </c>
      <c r="AR198" s="256">
        <v>2880</v>
      </c>
      <c r="AS198" s="257">
        <f t="shared" si="27"/>
        <v>259.20000000000084</v>
      </c>
      <c r="AT198" s="382">
        <v>0</v>
      </c>
      <c r="AU198" s="257">
        <f t="shared" si="28"/>
        <v>0</v>
      </c>
      <c r="AV198" s="268"/>
      <c r="AW198" s="257">
        <f t="shared" si="29"/>
        <v>0</v>
      </c>
      <c r="AX198" s="268"/>
      <c r="AY198" s="257">
        <f t="shared" si="30"/>
        <v>0</v>
      </c>
      <c r="AZ198" s="268"/>
      <c r="BA198" s="257">
        <f t="shared" si="31"/>
        <v>0</v>
      </c>
      <c r="BB198" s="268"/>
      <c r="BC198" s="257">
        <f t="shared" si="32"/>
        <v>0</v>
      </c>
      <c r="BD198" s="256"/>
      <c r="BE198" s="257">
        <f t="shared" si="33"/>
        <v>0</v>
      </c>
      <c r="BF198" s="60"/>
      <c r="BG198" s="257">
        <f t="shared" si="34"/>
        <v>0</v>
      </c>
      <c r="BH198" s="60"/>
      <c r="BI198" s="257">
        <f t="shared" si="35"/>
        <v>0</v>
      </c>
      <c r="BJ198" s="1" t="s">
        <v>605</v>
      </c>
      <c r="BK198" s="1" t="s">
        <v>612</v>
      </c>
      <c r="BL198" s="1" t="s">
        <v>457</v>
      </c>
      <c r="BM198" s="1" t="s">
        <v>621</v>
      </c>
    </row>
    <row r="199" spans="1:65" s="14" customFormat="1" ht="15.75" customHeight="1">
      <c r="A199" s="250" t="s">
        <v>951</v>
      </c>
      <c r="B199" s="59" t="s">
        <v>1014</v>
      </c>
      <c r="C199" s="354" t="s">
        <v>172</v>
      </c>
      <c r="D199" s="424"/>
      <c r="E199" s="357" t="s">
        <v>214</v>
      </c>
      <c r="F199" s="421"/>
      <c r="G199" s="317">
        <v>2024</v>
      </c>
      <c r="H199" s="59" t="s">
        <v>619</v>
      </c>
      <c r="I199" s="315" t="s">
        <v>357</v>
      </c>
      <c r="J199" s="318" t="s">
        <v>217</v>
      </c>
      <c r="K199" s="59" t="s">
        <v>217</v>
      </c>
      <c r="L199" s="59" t="s">
        <v>177</v>
      </c>
      <c r="M199" s="303" t="s">
        <v>598</v>
      </c>
      <c r="N199" s="303">
        <v>3.73</v>
      </c>
      <c r="O199" s="303">
        <v>3.73</v>
      </c>
      <c r="P199" s="303">
        <v>3.73</v>
      </c>
      <c r="Q199" s="303">
        <v>3.64</v>
      </c>
      <c r="R199" s="401">
        <v>4.09</v>
      </c>
      <c r="S199" s="401">
        <v>4.09</v>
      </c>
      <c r="T199" s="401">
        <v>4.09</v>
      </c>
      <c r="U199" s="401">
        <v>4.09</v>
      </c>
      <c r="V199" s="401">
        <v>4.09</v>
      </c>
      <c r="W199" s="401">
        <v>4.09</v>
      </c>
      <c r="X199" s="401">
        <v>4.09</v>
      </c>
      <c r="Y199" s="401">
        <v>4.09</v>
      </c>
      <c r="Z199" s="59">
        <v>0.18</v>
      </c>
      <c r="AA199" s="59">
        <v>0.18</v>
      </c>
      <c r="AB199" s="59">
        <v>0.18</v>
      </c>
      <c r="AC199" s="59">
        <v>9.0000000000000302E-2</v>
      </c>
      <c r="AD199" s="402">
        <v>0.33000000000000007</v>
      </c>
      <c r="AE199" s="402">
        <v>0.33000000000000007</v>
      </c>
      <c r="AF199" s="402">
        <v>0.33000000000000007</v>
      </c>
      <c r="AG199" s="402">
        <v>0.33000000000000007</v>
      </c>
      <c r="AH199" s="402">
        <v>0.33000000000000007</v>
      </c>
      <c r="AI199" s="402">
        <v>0.33000000000000007</v>
      </c>
      <c r="AJ199" s="402">
        <v>0.33000000000000007</v>
      </c>
      <c r="AK199" s="402">
        <v>0.33000000000000007</v>
      </c>
      <c r="AL199" s="255">
        <v>6996</v>
      </c>
      <c r="AM199" s="254">
        <f t="shared" si="24"/>
        <v>1259.28</v>
      </c>
      <c r="AN199" s="255">
        <v>16728</v>
      </c>
      <c r="AO199" s="254">
        <f t="shared" si="25"/>
        <v>3011.04</v>
      </c>
      <c r="AP199" s="255">
        <v>9564</v>
      </c>
      <c r="AQ199" s="254">
        <f t="shared" si="26"/>
        <v>1721.52</v>
      </c>
      <c r="AR199" s="255">
        <v>1752</v>
      </c>
      <c r="AS199" s="257">
        <f t="shared" si="27"/>
        <v>157.68000000000052</v>
      </c>
      <c r="AT199" s="255">
        <v>360</v>
      </c>
      <c r="AU199" s="257">
        <f t="shared" si="28"/>
        <v>118.80000000000003</v>
      </c>
      <c r="AV199" s="255">
        <v>2000</v>
      </c>
      <c r="AW199" s="257">
        <f t="shared" si="29"/>
        <v>660.00000000000011</v>
      </c>
      <c r="AX199" s="255">
        <v>2000</v>
      </c>
      <c r="AY199" s="257">
        <f t="shared" si="30"/>
        <v>660.00000000000011</v>
      </c>
      <c r="AZ199" s="255">
        <v>2000</v>
      </c>
      <c r="BA199" s="257">
        <f t="shared" si="31"/>
        <v>660.00000000000011</v>
      </c>
      <c r="BB199" s="255">
        <v>2000</v>
      </c>
      <c r="BC199" s="257">
        <f t="shared" si="32"/>
        <v>660.00000000000011</v>
      </c>
      <c r="BD199" s="255">
        <v>2000</v>
      </c>
      <c r="BE199" s="257">
        <f t="shared" si="33"/>
        <v>660.00000000000011</v>
      </c>
      <c r="BF199" s="255">
        <v>2000</v>
      </c>
      <c r="BG199" s="257">
        <f t="shared" si="34"/>
        <v>660.00000000000011</v>
      </c>
      <c r="BH199" s="255">
        <v>2000</v>
      </c>
      <c r="BI199" s="257">
        <f t="shared" si="35"/>
        <v>660.00000000000011</v>
      </c>
      <c r="BJ199" s="1" t="s">
        <v>605</v>
      </c>
      <c r="BK199" s="1" t="s">
        <v>612</v>
      </c>
      <c r="BL199" s="1" t="s">
        <v>457</v>
      </c>
      <c r="BM199" s="1" t="s">
        <v>621</v>
      </c>
    </row>
    <row r="200" spans="1:65" s="14" customFormat="1" ht="15.75" customHeight="1">
      <c r="A200" s="250" t="s">
        <v>951</v>
      </c>
      <c r="B200" s="59" t="s">
        <v>1014</v>
      </c>
      <c r="C200" s="354" t="s">
        <v>172</v>
      </c>
      <c r="D200" s="424"/>
      <c r="E200" s="357" t="s">
        <v>214</v>
      </c>
      <c r="F200" s="421"/>
      <c r="G200" s="317">
        <v>2024</v>
      </c>
      <c r="H200" s="59" t="s">
        <v>619</v>
      </c>
      <c r="I200" s="315" t="s">
        <v>357</v>
      </c>
      <c r="J200" s="318" t="s">
        <v>217</v>
      </c>
      <c r="K200" s="59" t="s">
        <v>217</v>
      </c>
      <c r="L200" s="59" t="s">
        <v>177</v>
      </c>
      <c r="M200" s="303" t="s">
        <v>599</v>
      </c>
      <c r="N200" s="303">
        <v>3.73</v>
      </c>
      <c r="O200" s="303">
        <v>3.73</v>
      </c>
      <c r="P200" s="303">
        <v>3.73</v>
      </c>
      <c r="Q200" s="303">
        <v>3.64</v>
      </c>
      <c r="R200" s="401">
        <v>4.09</v>
      </c>
      <c r="S200" s="401">
        <v>4.09</v>
      </c>
      <c r="T200" s="401">
        <v>4.09</v>
      </c>
      <c r="U200" s="401">
        <v>4.09</v>
      </c>
      <c r="V200" s="401">
        <v>4.09</v>
      </c>
      <c r="W200" s="401">
        <v>4.09</v>
      </c>
      <c r="X200" s="401">
        <v>4.09</v>
      </c>
      <c r="Y200" s="401">
        <v>4.09</v>
      </c>
      <c r="Z200" s="59">
        <v>0.18</v>
      </c>
      <c r="AA200" s="59">
        <v>0.18</v>
      </c>
      <c r="AB200" s="59">
        <v>0.18</v>
      </c>
      <c r="AC200" s="59">
        <v>9.0000000000000302E-2</v>
      </c>
      <c r="AD200" s="402">
        <v>0.33000000000000007</v>
      </c>
      <c r="AE200" s="402">
        <v>0.33000000000000007</v>
      </c>
      <c r="AF200" s="402">
        <v>0.33000000000000007</v>
      </c>
      <c r="AG200" s="402">
        <v>0.33000000000000007</v>
      </c>
      <c r="AH200" s="402">
        <v>0.33000000000000007</v>
      </c>
      <c r="AI200" s="402">
        <v>0.33000000000000007</v>
      </c>
      <c r="AJ200" s="402">
        <v>0.33000000000000007</v>
      </c>
      <c r="AK200" s="402">
        <v>0.33000000000000007</v>
      </c>
      <c r="AL200" s="255"/>
      <c r="AM200" s="254">
        <f t="shared" si="24"/>
        <v>0</v>
      </c>
      <c r="AN200" s="270"/>
      <c r="AO200" s="254">
        <f t="shared" si="25"/>
        <v>0</v>
      </c>
      <c r="AP200" s="270"/>
      <c r="AQ200" s="254">
        <f t="shared" si="26"/>
        <v>0</v>
      </c>
      <c r="AR200" s="256">
        <v>12</v>
      </c>
      <c r="AS200" s="257">
        <f t="shared" si="27"/>
        <v>1.0800000000000036</v>
      </c>
      <c r="AT200" s="382"/>
      <c r="AU200" s="257">
        <f t="shared" si="28"/>
        <v>0</v>
      </c>
      <c r="AV200" s="268"/>
      <c r="AW200" s="257">
        <f t="shared" si="29"/>
        <v>0</v>
      </c>
      <c r="AX200" s="269"/>
      <c r="AY200" s="257">
        <f t="shared" si="30"/>
        <v>0</v>
      </c>
      <c r="AZ200" s="269"/>
      <c r="BA200" s="257">
        <f t="shared" si="31"/>
        <v>0</v>
      </c>
      <c r="BB200" s="269"/>
      <c r="BC200" s="257">
        <f t="shared" si="32"/>
        <v>0</v>
      </c>
      <c r="BD200" s="268"/>
      <c r="BE200" s="257">
        <f t="shared" si="33"/>
        <v>0</v>
      </c>
      <c r="BF200" s="60"/>
      <c r="BG200" s="257">
        <f t="shared" si="34"/>
        <v>0</v>
      </c>
      <c r="BH200" s="60"/>
      <c r="BI200" s="257">
        <f t="shared" si="35"/>
        <v>0</v>
      </c>
      <c r="BJ200" s="1" t="s">
        <v>605</v>
      </c>
      <c r="BK200" s="1" t="s">
        <v>612</v>
      </c>
      <c r="BL200" s="1" t="s">
        <v>457</v>
      </c>
      <c r="BM200" s="1" t="s">
        <v>621</v>
      </c>
    </row>
    <row r="201" spans="1:65" s="14" customFormat="1" ht="15.75" customHeight="1">
      <c r="A201" s="250" t="s">
        <v>951</v>
      </c>
      <c r="B201" s="59" t="s">
        <v>1014</v>
      </c>
      <c r="C201" s="354" t="s">
        <v>172</v>
      </c>
      <c r="D201" s="424"/>
      <c r="E201" s="357" t="s">
        <v>214</v>
      </c>
      <c r="F201" s="421"/>
      <c r="G201" s="317">
        <v>2024</v>
      </c>
      <c r="H201" s="59" t="s">
        <v>619</v>
      </c>
      <c r="I201" s="315" t="s">
        <v>357</v>
      </c>
      <c r="J201" s="318" t="s">
        <v>217</v>
      </c>
      <c r="K201" s="59" t="s">
        <v>217</v>
      </c>
      <c r="L201" s="59" t="s">
        <v>177</v>
      </c>
      <c r="M201" s="303" t="s">
        <v>600</v>
      </c>
      <c r="N201" s="303">
        <v>3.55</v>
      </c>
      <c r="O201" s="303">
        <v>3.55</v>
      </c>
      <c r="P201" s="303">
        <v>3.55</v>
      </c>
      <c r="Q201" s="409">
        <v>3.55</v>
      </c>
      <c r="R201" s="401">
        <v>3.91</v>
      </c>
      <c r="S201" s="401">
        <v>3.91</v>
      </c>
      <c r="T201" s="401">
        <v>3.91</v>
      </c>
      <c r="U201" s="401">
        <v>3.91</v>
      </c>
      <c r="V201" s="401">
        <v>3.91</v>
      </c>
      <c r="W201" s="401">
        <v>3.91</v>
      </c>
      <c r="X201" s="401">
        <v>3.91</v>
      </c>
      <c r="Y201" s="401">
        <v>3.91</v>
      </c>
      <c r="Z201" s="59">
        <v>0.18</v>
      </c>
      <c r="AA201" s="59">
        <v>0.18</v>
      </c>
      <c r="AB201" s="59">
        <v>0.18</v>
      </c>
      <c r="AC201" s="364">
        <v>0.18</v>
      </c>
      <c r="AD201" s="402">
        <v>0.33000000000000007</v>
      </c>
      <c r="AE201" s="402">
        <v>0.33000000000000007</v>
      </c>
      <c r="AF201" s="402">
        <v>0.33000000000000007</v>
      </c>
      <c r="AG201" s="402">
        <v>0.33000000000000007</v>
      </c>
      <c r="AH201" s="402">
        <v>0.33000000000000007</v>
      </c>
      <c r="AI201" s="402">
        <v>0.33000000000000007</v>
      </c>
      <c r="AJ201" s="402">
        <v>0.33000000000000007</v>
      </c>
      <c r="AK201" s="402">
        <v>0.33000000000000007</v>
      </c>
      <c r="AL201" s="255">
        <v>9180</v>
      </c>
      <c r="AM201" s="254">
        <f t="shared" si="24"/>
        <v>1652.3999999999999</v>
      </c>
      <c r="AN201" s="270"/>
      <c r="AO201" s="254">
        <f t="shared" si="25"/>
        <v>0</v>
      </c>
      <c r="AP201" s="270"/>
      <c r="AQ201" s="254">
        <f t="shared" si="26"/>
        <v>0</v>
      </c>
      <c r="AR201" s="256">
        <v>9180</v>
      </c>
      <c r="AS201" s="257">
        <f t="shared" si="27"/>
        <v>1652.3999999999999</v>
      </c>
      <c r="AT201" s="382"/>
      <c r="AU201" s="257">
        <f t="shared" si="28"/>
        <v>0</v>
      </c>
      <c r="AV201" s="268"/>
      <c r="AW201" s="257">
        <f t="shared" si="29"/>
        <v>0</v>
      </c>
      <c r="AX201" s="269"/>
      <c r="AY201" s="257">
        <f t="shared" si="30"/>
        <v>0</v>
      </c>
      <c r="AZ201" s="268"/>
      <c r="BA201" s="257">
        <f t="shared" si="31"/>
        <v>0</v>
      </c>
      <c r="BB201" s="269"/>
      <c r="BC201" s="257">
        <f t="shared" si="32"/>
        <v>0</v>
      </c>
      <c r="BD201" s="268"/>
      <c r="BE201" s="257">
        <f t="shared" si="33"/>
        <v>0</v>
      </c>
      <c r="BF201" s="60"/>
      <c r="BG201" s="257">
        <f t="shared" si="34"/>
        <v>0</v>
      </c>
      <c r="BH201" s="60"/>
      <c r="BI201" s="257">
        <f t="shared" si="35"/>
        <v>0</v>
      </c>
      <c r="BJ201" s="1" t="s">
        <v>605</v>
      </c>
      <c r="BK201" s="1" t="s">
        <v>612</v>
      </c>
      <c r="BL201" s="1" t="s">
        <v>457</v>
      </c>
      <c r="BM201" s="1" t="s">
        <v>621</v>
      </c>
    </row>
    <row r="202" spans="1:65" s="14" customFormat="1" ht="15.75" customHeight="1">
      <c r="A202" s="250" t="s">
        <v>951</v>
      </c>
      <c r="B202" s="59" t="s">
        <v>1014</v>
      </c>
      <c r="C202" s="354" t="s">
        <v>172</v>
      </c>
      <c r="D202" s="424"/>
      <c r="E202" s="357" t="s">
        <v>214</v>
      </c>
      <c r="F202" s="421"/>
      <c r="G202" s="317">
        <v>2024</v>
      </c>
      <c r="H202" s="59" t="s">
        <v>619</v>
      </c>
      <c r="I202" s="315" t="s">
        <v>357</v>
      </c>
      <c r="J202" s="318" t="s">
        <v>217</v>
      </c>
      <c r="K202" s="59" t="s">
        <v>217</v>
      </c>
      <c r="L202" s="59" t="s">
        <v>177</v>
      </c>
      <c r="M202" s="303" t="s">
        <v>602</v>
      </c>
      <c r="N202" s="303">
        <v>3.77</v>
      </c>
      <c r="O202" s="303">
        <v>3.77</v>
      </c>
      <c r="P202" s="303">
        <v>3.77</v>
      </c>
      <c r="Q202" s="303">
        <v>3.68</v>
      </c>
      <c r="R202" s="401">
        <v>4.13</v>
      </c>
      <c r="S202" s="401">
        <v>4.13</v>
      </c>
      <c r="T202" s="401">
        <v>4.13</v>
      </c>
      <c r="U202" s="401">
        <v>4.13</v>
      </c>
      <c r="V202" s="401">
        <v>4.13</v>
      </c>
      <c r="W202" s="401">
        <v>4.13</v>
      </c>
      <c r="X202" s="401">
        <v>4.13</v>
      </c>
      <c r="Y202" s="401">
        <v>4.13</v>
      </c>
      <c r="Z202" s="59">
        <v>0.18</v>
      </c>
      <c r="AA202" s="59">
        <v>0.18</v>
      </c>
      <c r="AB202" s="59">
        <v>0.18</v>
      </c>
      <c r="AC202" s="59">
        <v>9.0000000000000302E-2</v>
      </c>
      <c r="AD202" s="402">
        <v>0.33000000000000007</v>
      </c>
      <c r="AE202" s="402">
        <v>0.33000000000000007</v>
      </c>
      <c r="AF202" s="402">
        <v>0.33000000000000007</v>
      </c>
      <c r="AG202" s="402">
        <v>0.33000000000000007</v>
      </c>
      <c r="AH202" s="402">
        <v>0.33000000000000007</v>
      </c>
      <c r="AI202" s="402">
        <v>0.33000000000000007</v>
      </c>
      <c r="AJ202" s="402">
        <v>0.33000000000000007</v>
      </c>
      <c r="AK202" s="402">
        <v>0.33000000000000007</v>
      </c>
      <c r="AL202" s="255"/>
      <c r="AM202" s="254">
        <f t="shared" si="24"/>
        <v>0</v>
      </c>
      <c r="AN202" s="255">
        <v>11520</v>
      </c>
      <c r="AO202" s="254">
        <f t="shared" si="25"/>
        <v>2073.6</v>
      </c>
      <c r="AP202" s="255"/>
      <c r="AQ202" s="254">
        <f t="shared" si="26"/>
        <v>0</v>
      </c>
      <c r="AR202" s="255"/>
      <c r="AS202" s="257">
        <f t="shared" si="27"/>
        <v>0</v>
      </c>
      <c r="AT202" s="255">
        <v>1152</v>
      </c>
      <c r="AU202" s="257">
        <f t="shared" si="28"/>
        <v>380.16000000000008</v>
      </c>
      <c r="AV202" s="255">
        <v>1000</v>
      </c>
      <c r="AW202" s="257">
        <f t="shared" si="29"/>
        <v>330.00000000000006</v>
      </c>
      <c r="AX202" s="255">
        <v>1000</v>
      </c>
      <c r="AY202" s="257">
        <f t="shared" si="30"/>
        <v>330.00000000000006</v>
      </c>
      <c r="AZ202" s="255">
        <v>1000</v>
      </c>
      <c r="BA202" s="257">
        <f t="shared" si="31"/>
        <v>330.00000000000006</v>
      </c>
      <c r="BB202" s="255">
        <v>1000</v>
      </c>
      <c r="BC202" s="257">
        <f t="shared" si="32"/>
        <v>330.00000000000006</v>
      </c>
      <c r="BD202" s="255">
        <v>1000</v>
      </c>
      <c r="BE202" s="257">
        <f t="shared" si="33"/>
        <v>330.00000000000006</v>
      </c>
      <c r="BF202" s="255">
        <v>1000</v>
      </c>
      <c r="BG202" s="257">
        <f t="shared" si="34"/>
        <v>330.00000000000006</v>
      </c>
      <c r="BH202" s="255">
        <v>1000</v>
      </c>
      <c r="BI202" s="257">
        <f t="shared" si="35"/>
        <v>330.00000000000006</v>
      </c>
      <c r="BJ202" s="1" t="s">
        <v>605</v>
      </c>
      <c r="BK202" s="1" t="s">
        <v>612</v>
      </c>
      <c r="BL202" s="1" t="s">
        <v>457</v>
      </c>
      <c r="BM202" s="1" t="s">
        <v>621</v>
      </c>
    </row>
    <row r="203" spans="1:65" s="14" customFormat="1" ht="15.75" customHeight="1">
      <c r="A203" s="250" t="s">
        <v>951</v>
      </c>
      <c r="B203" s="59" t="s">
        <v>1014</v>
      </c>
      <c r="C203" s="354" t="s">
        <v>172</v>
      </c>
      <c r="D203" s="424"/>
      <c r="E203" s="357" t="s">
        <v>214</v>
      </c>
      <c r="F203" s="421"/>
      <c r="G203" s="317">
        <v>2024</v>
      </c>
      <c r="H203" s="59" t="s">
        <v>622</v>
      </c>
      <c r="I203" s="315" t="s">
        <v>367</v>
      </c>
      <c r="J203" s="318" t="s">
        <v>217</v>
      </c>
      <c r="K203" s="59" t="s">
        <v>217</v>
      </c>
      <c r="L203" s="59" t="s">
        <v>177</v>
      </c>
      <c r="M203" s="303" t="s">
        <v>592</v>
      </c>
      <c r="N203" s="303">
        <v>1.5</v>
      </c>
      <c r="O203" s="303">
        <v>1.5</v>
      </c>
      <c r="P203" s="303">
        <v>1.5</v>
      </c>
      <c r="Q203" s="303">
        <v>1.5</v>
      </c>
      <c r="R203" s="303">
        <v>1.5</v>
      </c>
      <c r="S203" s="303">
        <v>1.5</v>
      </c>
      <c r="T203" s="303">
        <v>1.5</v>
      </c>
      <c r="U203" s="303">
        <v>1.5</v>
      </c>
      <c r="V203" s="303">
        <v>1.5</v>
      </c>
      <c r="W203" s="303">
        <v>1.5</v>
      </c>
      <c r="X203" s="303">
        <v>1.5</v>
      </c>
      <c r="Y203" s="303">
        <v>1.5</v>
      </c>
      <c r="Z203" s="59">
        <v>0.02</v>
      </c>
      <c r="AA203" s="59">
        <v>0.02</v>
      </c>
      <c r="AB203" s="59">
        <v>0.02</v>
      </c>
      <c r="AC203" s="59">
        <v>0.02</v>
      </c>
      <c r="AD203" s="59">
        <v>0.02</v>
      </c>
      <c r="AE203" s="59">
        <v>0.02</v>
      </c>
      <c r="AF203" s="59">
        <v>0.02</v>
      </c>
      <c r="AG203" s="59">
        <v>0.02</v>
      </c>
      <c r="AH203" s="59">
        <v>0.02</v>
      </c>
      <c r="AI203" s="59">
        <v>0.02</v>
      </c>
      <c r="AJ203" s="59">
        <v>0.02</v>
      </c>
      <c r="AK203" s="59">
        <v>0.02</v>
      </c>
      <c r="AL203" s="255">
        <v>5400</v>
      </c>
      <c r="AM203" s="254">
        <f t="shared" si="24"/>
        <v>108</v>
      </c>
      <c r="AN203" s="255">
        <v>7800</v>
      </c>
      <c r="AO203" s="254">
        <f t="shared" si="25"/>
        <v>156</v>
      </c>
      <c r="AP203" s="255">
        <v>2160</v>
      </c>
      <c r="AQ203" s="254">
        <f t="shared" si="26"/>
        <v>43.2</v>
      </c>
      <c r="AR203" s="255">
        <v>2640</v>
      </c>
      <c r="AS203" s="257">
        <f t="shared" si="27"/>
        <v>52.800000000000004</v>
      </c>
      <c r="AT203" s="255">
        <v>7800</v>
      </c>
      <c r="AU203" s="257">
        <f t="shared" si="28"/>
        <v>156</v>
      </c>
      <c r="AV203" s="255">
        <v>5000</v>
      </c>
      <c r="AW203" s="257">
        <f t="shared" si="29"/>
        <v>100</v>
      </c>
      <c r="AX203" s="255">
        <v>5000</v>
      </c>
      <c r="AY203" s="257">
        <f t="shared" si="30"/>
        <v>100</v>
      </c>
      <c r="AZ203" s="255">
        <v>5000</v>
      </c>
      <c r="BA203" s="257">
        <f t="shared" si="31"/>
        <v>100</v>
      </c>
      <c r="BB203" s="255">
        <v>5000</v>
      </c>
      <c r="BC203" s="257">
        <f t="shared" si="32"/>
        <v>100</v>
      </c>
      <c r="BD203" s="255">
        <v>5000</v>
      </c>
      <c r="BE203" s="257">
        <f t="shared" si="33"/>
        <v>100</v>
      </c>
      <c r="BF203" s="255">
        <v>5000</v>
      </c>
      <c r="BG203" s="257">
        <f t="shared" si="34"/>
        <v>100</v>
      </c>
      <c r="BH203" s="255">
        <v>5000</v>
      </c>
      <c r="BI203" s="257">
        <f t="shared" si="35"/>
        <v>100</v>
      </c>
      <c r="BJ203" s="1" t="s">
        <v>608</v>
      </c>
      <c r="BK203" s="1" t="s">
        <v>617</v>
      </c>
      <c r="BL203" s="1" t="s">
        <v>457</v>
      </c>
      <c r="BM203" s="1" t="s">
        <v>623</v>
      </c>
    </row>
    <row r="204" spans="1:65" s="14" customFormat="1" ht="15.75" customHeight="1">
      <c r="A204" s="250" t="s">
        <v>951</v>
      </c>
      <c r="B204" s="59" t="s">
        <v>1014</v>
      </c>
      <c r="C204" s="354" t="s">
        <v>172</v>
      </c>
      <c r="D204" s="424"/>
      <c r="E204" s="357" t="s">
        <v>214</v>
      </c>
      <c r="F204" s="421"/>
      <c r="G204" s="317">
        <v>2024</v>
      </c>
      <c r="H204" s="59" t="s">
        <v>622</v>
      </c>
      <c r="I204" s="315" t="s">
        <v>367</v>
      </c>
      <c r="J204" s="318" t="s">
        <v>217</v>
      </c>
      <c r="K204" s="59" t="s">
        <v>217</v>
      </c>
      <c r="L204" s="59" t="s">
        <v>177</v>
      </c>
      <c r="M204" s="303" t="s">
        <v>455</v>
      </c>
      <c r="N204" s="303">
        <v>1.5</v>
      </c>
      <c r="O204" s="303">
        <v>1.5</v>
      </c>
      <c r="P204" s="303">
        <v>1.5</v>
      </c>
      <c r="Q204" s="303">
        <v>1.5</v>
      </c>
      <c r="R204" s="303">
        <v>1.5</v>
      </c>
      <c r="S204" s="303">
        <v>1.5</v>
      </c>
      <c r="T204" s="303">
        <v>1.5</v>
      </c>
      <c r="U204" s="303">
        <v>1.5</v>
      </c>
      <c r="V204" s="303">
        <v>1.5</v>
      </c>
      <c r="W204" s="303">
        <v>1.5</v>
      </c>
      <c r="X204" s="303">
        <v>1.5</v>
      </c>
      <c r="Y204" s="303">
        <v>1.5</v>
      </c>
      <c r="Z204" s="59">
        <v>0.02</v>
      </c>
      <c r="AA204" s="59">
        <v>0.02</v>
      </c>
      <c r="AB204" s="59">
        <v>0.02</v>
      </c>
      <c r="AC204" s="59">
        <v>0.02</v>
      </c>
      <c r="AD204" s="59">
        <v>0.02</v>
      </c>
      <c r="AE204" s="59">
        <v>0.02</v>
      </c>
      <c r="AF204" s="59">
        <v>0.02</v>
      </c>
      <c r="AG204" s="59">
        <v>0.02</v>
      </c>
      <c r="AH204" s="59">
        <v>0.02</v>
      </c>
      <c r="AI204" s="59">
        <v>0.02</v>
      </c>
      <c r="AJ204" s="59">
        <v>0.02</v>
      </c>
      <c r="AK204" s="59">
        <v>0.02</v>
      </c>
      <c r="AL204" s="255">
        <v>1320</v>
      </c>
      <c r="AM204" s="254">
        <f t="shared" si="24"/>
        <v>26.400000000000002</v>
      </c>
      <c r="AN204" s="255">
        <v>600</v>
      </c>
      <c r="AO204" s="254">
        <f t="shared" si="25"/>
        <v>12</v>
      </c>
      <c r="AP204" s="255">
        <v>480</v>
      </c>
      <c r="AQ204" s="254">
        <f t="shared" si="26"/>
        <v>9.6</v>
      </c>
      <c r="AR204" s="255">
        <v>1680</v>
      </c>
      <c r="AS204" s="257">
        <f t="shared" si="27"/>
        <v>33.6</v>
      </c>
      <c r="AT204" s="255">
        <v>1680</v>
      </c>
      <c r="AU204" s="257">
        <f t="shared" si="28"/>
        <v>33.6</v>
      </c>
      <c r="AV204" s="255">
        <v>500</v>
      </c>
      <c r="AW204" s="257">
        <f t="shared" si="29"/>
        <v>10</v>
      </c>
      <c r="AX204" s="255">
        <v>500</v>
      </c>
      <c r="AY204" s="257">
        <f t="shared" si="30"/>
        <v>10</v>
      </c>
      <c r="AZ204" s="255">
        <v>500</v>
      </c>
      <c r="BA204" s="257">
        <f t="shared" si="31"/>
        <v>10</v>
      </c>
      <c r="BB204" s="255">
        <v>500</v>
      </c>
      <c r="BC204" s="257">
        <f t="shared" si="32"/>
        <v>10</v>
      </c>
      <c r="BD204" s="255">
        <v>500</v>
      </c>
      <c r="BE204" s="257">
        <f t="shared" si="33"/>
        <v>10</v>
      </c>
      <c r="BF204" s="255">
        <v>500</v>
      </c>
      <c r="BG204" s="257">
        <f t="shared" si="34"/>
        <v>10</v>
      </c>
      <c r="BH204" s="255">
        <v>500</v>
      </c>
      <c r="BI204" s="257">
        <f t="shared" si="35"/>
        <v>10</v>
      </c>
      <c r="BJ204" s="1" t="s">
        <v>608</v>
      </c>
      <c r="BK204" s="1" t="s">
        <v>617</v>
      </c>
      <c r="BL204" s="1" t="s">
        <v>457</v>
      </c>
      <c r="BM204" s="1" t="s">
        <v>623</v>
      </c>
    </row>
    <row r="205" spans="1:65" s="14" customFormat="1" ht="15.75" customHeight="1">
      <c r="A205" s="250" t="s">
        <v>951</v>
      </c>
      <c r="B205" s="59" t="s">
        <v>1014</v>
      </c>
      <c r="C205" s="354" t="s">
        <v>172</v>
      </c>
      <c r="D205" s="424"/>
      <c r="E205" s="357" t="s">
        <v>214</v>
      </c>
      <c r="F205" s="421"/>
      <c r="G205" s="317">
        <v>2024</v>
      </c>
      <c r="H205" s="59" t="s">
        <v>622</v>
      </c>
      <c r="I205" s="315" t="s">
        <v>367</v>
      </c>
      <c r="J205" s="318" t="s">
        <v>217</v>
      </c>
      <c r="K205" s="59" t="s">
        <v>217</v>
      </c>
      <c r="L205" s="59" t="s">
        <v>177</v>
      </c>
      <c r="M205" s="303" t="s">
        <v>595</v>
      </c>
      <c r="N205" s="303">
        <v>1.5</v>
      </c>
      <c r="O205" s="303">
        <v>1.5</v>
      </c>
      <c r="P205" s="303">
        <v>1.5</v>
      </c>
      <c r="Q205" s="303">
        <v>1.5</v>
      </c>
      <c r="R205" s="303">
        <v>1.5</v>
      </c>
      <c r="S205" s="303">
        <v>1.5</v>
      </c>
      <c r="T205" s="303">
        <v>1.5</v>
      </c>
      <c r="U205" s="303">
        <v>1.5</v>
      </c>
      <c r="V205" s="303">
        <v>1.5</v>
      </c>
      <c r="W205" s="303">
        <v>1.5</v>
      </c>
      <c r="X205" s="303">
        <v>1.5</v>
      </c>
      <c r="Y205" s="303">
        <v>1.5</v>
      </c>
      <c r="Z205" s="59">
        <v>0.02</v>
      </c>
      <c r="AA205" s="59">
        <v>0.02</v>
      </c>
      <c r="AB205" s="59">
        <v>0.02</v>
      </c>
      <c r="AC205" s="59">
        <v>0.02</v>
      </c>
      <c r="AD205" s="59">
        <v>0.02</v>
      </c>
      <c r="AE205" s="59">
        <v>0.02</v>
      </c>
      <c r="AF205" s="59">
        <v>0.02</v>
      </c>
      <c r="AG205" s="59">
        <v>0.02</v>
      </c>
      <c r="AH205" s="59">
        <v>0.02</v>
      </c>
      <c r="AI205" s="59">
        <v>0.02</v>
      </c>
      <c r="AJ205" s="59">
        <v>0.02</v>
      </c>
      <c r="AK205" s="59">
        <v>0.02</v>
      </c>
      <c r="AL205" s="255">
        <v>13320</v>
      </c>
      <c r="AM205" s="254">
        <f t="shared" si="24"/>
        <v>266.39999999999998</v>
      </c>
      <c r="AN205" s="255">
        <v>37840</v>
      </c>
      <c r="AO205" s="254">
        <f t="shared" si="25"/>
        <v>756.80000000000007</v>
      </c>
      <c r="AP205" s="270">
        <v>1200</v>
      </c>
      <c r="AQ205" s="254">
        <f t="shared" si="26"/>
        <v>24</v>
      </c>
      <c r="AR205" s="256">
        <v>9600</v>
      </c>
      <c r="AS205" s="257">
        <f t="shared" si="27"/>
        <v>192</v>
      </c>
      <c r="AT205" s="382">
        <v>22040</v>
      </c>
      <c r="AU205" s="257">
        <f t="shared" si="28"/>
        <v>440.8</v>
      </c>
      <c r="AV205" s="268">
        <v>10000</v>
      </c>
      <c r="AW205" s="257">
        <f t="shared" si="29"/>
        <v>200</v>
      </c>
      <c r="AX205" s="268">
        <v>10000</v>
      </c>
      <c r="AY205" s="257">
        <f t="shared" si="30"/>
        <v>200</v>
      </c>
      <c r="AZ205" s="268">
        <v>15000</v>
      </c>
      <c r="BA205" s="257">
        <f t="shared" si="31"/>
        <v>300</v>
      </c>
      <c r="BB205" s="268">
        <v>12000</v>
      </c>
      <c r="BC205" s="257">
        <f t="shared" si="32"/>
        <v>240</v>
      </c>
      <c r="BD205" s="268">
        <v>12000</v>
      </c>
      <c r="BE205" s="257">
        <f t="shared" si="33"/>
        <v>240</v>
      </c>
      <c r="BF205" s="59">
        <v>13000</v>
      </c>
      <c r="BG205" s="257">
        <f t="shared" si="34"/>
        <v>260</v>
      </c>
      <c r="BH205" s="59">
        <v>10000</v>
      </c>
      <c r="BI205" s="257">
        <f t="shared" si="35"/>
        <v>200</v>
      </c>
      <c r="BJ205" s="1" t="s">
        <v>608</v>
      </c>
      <c r="BK205" s="1" t="s">
        <v>617</v>
      </c>
      <c r="BL205" s="1" t="s">
        <v>457</v>
      </c>
      <c r="BM205" s="1" t="s">
        <v>623</v>
      </c>
    </row>
    <row r="206" spans="1:65" s="14" customFormat="1" ht="15.75" customHeight="1">
      <c r="A206" s="250" t="s">
        <v>951</v>
      </c>
      <c r="B206" s="59" t="s">
        <v>1014</v>
      </c>
      <c r="C206" s="354" t="s">
        <v>172</v>
      </c>
      <c r="D206" s="424"/>
      <c r="E206" s="357" t="s">
        <v>214</v>
      </c>
      <c r="F206" s="421"/>
      <c r="G206" s="317">
        <v>2024</v>
      </c>
      <c r="H206" s="59" t="s">
        <v>622</v>
      </c>
      <c r="I206" s="315" t="s">
        <v>367</v>
      </c>
      <c r="J206" s="318" t="s">
        <v>217</v>
      </c>
      <c r="K206" s="59" t="s">
        <v>217</v>
      </c>
      <c r="L206" s="59" t="s">
        <v>177</v>
      </c>
      <c r="M206" s="303" t="s">
        <v>597</v>
      </c>
      <c r="N206" s="303">
        <v>1.5</v>
      </c>
      <c r="O206" s="303">
        <v>1.5</v>
      </c>
      <c r="P206" s="303">
        <v>1.5</v>
      </c>
      <c r="Q206" s="303">
        <v>1.5</v>
      </c>
      <c r="R206" s="303">
        <v>1.5</v>
      </c>
      <c r="S206" s="303">
        <v>1.5</v>
      </c>
      <c r="T206" s="303">
        <v>1.5</v>
      </c>
      <c r="U206" s="303">
        <v>1.5</v>
      </c>
      <c r="V206" s="303">
        <v>1.5</v>
      </c>
      <c r="W206" s="303">
        <v>1.5</v>
      </c>
      <c r="X206" s="303">
        <v>1.5</v>
      </c>
      <c r="Y206" s="303">
        <v>1.5</v>
      </c>
      <c r="Z206" s="59">
        <v>0.02</v>
      </c>
      <c r="AA206" s="59">
        <v>0.02</v>
      </c>
      <c r="AB206" s="59">
        <v>0.02</v>
      </c>
      <c r="AC206" s="59">
        <v>0.02</v>
      </c>
      <c r="AD206" s="59">
        <v>0.02</v>
      </c>
      <c r="AE206" s="59">
        <v>0.02</v>
      </c>
      <c r="AF206" s="59">
        <v>0.02</v>
      </c>
      <c r="AG206" s="59">
        <v>0.02</v>
      </c>
      <c r="AH206" s="59">
        <v>0.02</v>
      </c>
      <c r="AI206" s="59">
        <v>0.02</v>
      </c>
      <c r="AJ206" s="59">
        <v>0.02</v>
      </c>
      <c r="AK206" s="59">
        <v>0.02</v>
      </c>
      <c r="AL206" s="255"/>
      <c r="AM206" s="254">
        <f t="shared" si="24"/>
        <v>0</v>
      </c>
      <c r="AN206" s="270"/>
      <c r="AO206" s="254">
        <f t="shared" si="25"/>
        <v>0</v>
      </c>
      <c r="AP206" s="270">
        <v>0</v>
      </c>
      <c r="AQ206" s="254">
        <f t="shared" si="26"/>
        <v>0</v>
      </c>
      <c r="AR206" s="256">
        <v>0</v>
      </c>
      <c r="AS206" s="257">
        <f t="shared" si="27"/>
        <v>0</v>
      </c>
      <c r="AT206" s="382">
        <v>0</v>
      </c>
      <c r="AU206" s="257">
        <f t="shared" si="28"/>
        <v>0</v>
      </c>
      <c r="AV206" s="268"/>
      <c r="AW206" s="257">
        <f t="shared" si="29"/>
        <v>0</v>
      </c>
      <c r="AX206" s="269"/>
      <c r="AY206" s="257">
        <f t="shared" si="30"/>
        <v>0</v>
      </c>
      <c r="AZ206" s="269"/>
      <c r="BA206" s="257">
        <f t="shared" si="31"/>
        <v>0</v>
      </c>
      <c r="BB206" s="268"/>
      <c r="BC206" s="257">
        <f t="shared" si="32"/>
        <v>0</v>
      </c>
      <c r="BD206" s="268"/>
      <c r="BE206" s="257">
        <f t="shared" si="33"/>
        <v>0</v>
      </c>
      <c r="BF206" s="60"/>
      <c r="BG206" s="257">
        <f t="shared" si="34"/>
        <v>0</v>
      </c>
      <c r="BH206" s="60"/>
      <c r="BI206" s="257">
        <f t="shared" si="35"/>
        <v>0</v>
      </c>
      <c r="BJ206" s="1" t="s">
        <v>608</v>
      </c>
      <c r="BK206" s="1" t="s">
        <v>617</v>
      </c>
      <c r="BL206" s="1" t="s">
        <v>457</v>
      </c>
      <c r="BM206" s="1" t="s">
        <v>623</v>
      </c>
    </row>
    <row r="207" spans="1:65" s="14" customFormat="1" ht="15.75" customHeight="1">
      <c r="A207" s="250" t="s">
        <v>951</v>
      </c>
      <c r="B207" s="59" t="s">
        <v>1014</v>
      </c>
      <c r="C207" s="354" t="s">
        <v>172</v>
      </c>
      <c r="D207" s="424"/>
      <c r="E207" s="357" t="s">
        <v>214</v>
      </c>
      <c r="F207" s="421"/>
      <c r="G207" s="317">
        <v>2024</v>
      </c>
      <c r="H207" s="59" t="s">
        <v>622</v>
      </c>
      <c r="I207" s="315" t="s">
        <v>367</v>
      </c>
      <c r="J207" s="318" t="s">
        <v>217</v>
      </c>
      <c r="K207" s="59" t="s">
        <v>217</v>
      </c>
      <c r="L207" s="59" t="s">
        <v>177</v>
      </c>
      <c r="M207" s="303" t="s">
        <v>598</v>
      </c>
      <c r="N207" s="303">
        <v>1.5</v>
      </c>
      <c r="O207" s="303">
        <v>1.5</v>
      </c>
      <c r="P207" s="303">
        <v>1.5</v>
      </c>
      <c r="Q207" s="303">
        <v>1.5</v>
      </c>
      <c r="R207" s="303">
        <v>1.5</v>
      </c>
      <c r="S207" s="303">
        <v>1.5</v>
      </c>
      <c r="T207" s="303">
        <v>1.5</v>
      </c>
      <c r="U207" s="303">
        <v>1.5</v>
      </c>
      <c r="V207" s="303">
        <v>1.5</v>
      </c>
      <c r="W207" s="303">
        <v>1.5</v>
      </c>
      <c r="X207" s="303">
        <v>1.5</v>
      </c>
      <c r="Y207" s="303">
        <v>1.5</v>
      </c>
      <c r="Z207" s="59">
        <v>0.02</v>
      </c>
      <c r="AA207" s="59">
        <v>0.02</v>
      </c>
      <c r="AB207" s="59">
        <v>0.02</v>
      </c>
      <c r="AC207" s="59">
        <v>0.02</v>
      </c>
      <c r="AD207" s="59">
        <v>0.02</v>
      </c>
      <c r="AE207" s="59">
        <v>0.02</v>
      </c>
      <c r="AF207" s="59">
        <v>0.02</v>
      </c>
      <c r="AG207" s="59">
        <v>0.02</v>
      </c>
      <c r="AH207" s="59">
        <v>0.02</v>
      </c>
      <c r="AI207" s="59">
        <v>0.02</v>
      </c>
      <c r="AJ207" s="59">
        <v>0.02</v>
      </c>
      <c r="AK207" s="59">
        <v>0.02</v>
      </c>
      <c r="AL207" s="255">
        <v>7440</v>
      </c>
      <c r="AM207" s="254">
        <f t="shared" si="24"/>
        <v>148.80000000000001</v>
      </c>
      <c r="AN207" s="255">
        <v>9600</v>
      </c>
      <c r="AO207" s="254">
        <f t="shared" si="25"/>
        <v>192</v>
      </c>
      <c r="AP207" s="255">
        <v>6600</v>
      </c>
      <c r="AQ207" s="254">
        <f t="shared" si="26"/>
        <v>132</v>
      </c>
      <c r="AR207" s="255">
        <v>2640</v>
      </c>
      <c r="AS207" s="257">
        <f t="shared" si="27"/>
        <v>52.800000000000004</v>
      </c>
      <c r="AT207" s="255">
        <v>3120</v>
      </c>
      <c r="AU207" s="257">
        <f t="shared" si="28"/>
        <v>62.4</v>
      </c>
      <c r="AV207" s="255">
        <v>2000</v>
      </c>
      <c r="AW207" s="257">
        <f t="shared" si="29"/>
        <v>40</v>
      </c>
      <c r="AX207" s="255">
        <v>2000</v>
      </c>
      <c r="AY207" s="257">
        <f t="shared" si="30"/>
        <v>40</v>
      </c>
      <c r="AZ207" s="255">
        <v>2000</v>
      </c>
      <c r="BA207" s="257">
        <f t="shared" si="31"/>
        <v>40</v>
      </c>
      <c r="BB207" s="255">
        <v>2000</v>
      </c>
      <c r="BC207" s="257">
        <f t="shared" si="32"/>
        <v>40</v>
      </c>
      <c r="BD207" s="255">
        <v>2000</v>
      </c>
      <c r="BE207" s="257">
        <f t="shared" si="33"/>
        <v>40</v>
      </c>
      <c r="BF207" s="255">
        <v>2000</v>
      </c>
      <c r="BG207" s="257">
        <f t="shared" si="34"/>
        <v>40</v>
      </c>
      <c r="BH207" s="255">
        <v>2000</v>
      </c>
      <c r="BI207" s="257">
        <f t="shared" si="35"/>
        <v>40</v>
      </c>
      <c r="BJ207" s="1" t="s">
        <v>608</v>
      </c>
      <c r="BK207" s="1" t="s">
        <v>617</v>
      </c>
      <c r="BL207" s="1" t="s">
        <v>457</v>
      </c>
      <c r="BM207" s="1" t="s">
        <v>623</v>
      </c>
    </row>
    <row r="208" spans="1:65" s="14" customFormat="1" ht="15.75" customHeight="1">
      <c r="A208" s="250" t="s">
        <v>951</v>
      </c>
      <c r="B208" s="59" t="s">
        <v>1014</v>
      </c>
      <c r="C208" s="354" t="s">
        <v>172</v>
      </c>
      <c r="D208" s="424"/>
      <c r="E208" s="357" t="s">
        <v>214</v>
      </c>
      <c r="F208" s="421"/>
      <c r="G208" s="317">
        <v>2024</v>
      </c>
      <c r="H208" s="59" t="s">
        <v>622</v>
      </c>
      <c r="I208" s="315" t="s">
        <v>367</v>
      </c>
      <c r="J208" s="318" t="s">
        <v>217</v>
      </c>
      <c r="K208" s="59" t="s">
        <v>217</v>
      </c>
      <c r="L208" s="59" t="s">
        <v>177</v>
      </c>
      <c r="M208" s="303" t="s">
        <v>599</v>
      </c>
      <c r="N208" s="303">
        <v>1.5</v>
      </c>
      <c r="O208" s="303">
        <v>1.5</v>
      </c>
      <c r="P208" s="303">
        <v>1.5</v>
      </c>
      <c r="Q208" s="303">
        <v>1.5</v>
      </c>
      <c r="R208" s="303">
        <v>1.5</v>
      </c>
      <c r="S208" s="303">
        <v>1.5</v>
      </c>
      <c r="T208" s="303">
        <v>1.5</v>
      </c>
      <c r="U208" s="303">
        <v>1.5</v>
      </c>
      <c r="V208" s="303">
        <v>1.5</v>
      </c>
      <c r="W208" s="303">
        <v>1.5</v>
      </c>
      <c r="X208" s="303">
        <v>1.5</v>
      </c>
      <c r="Y208" s="303">
        <v>1.5</v>
      </c>
      <c r="Z208" s="59">
        <v>0.02</v>
      </c>
      <c r="AA208" s="59">
        <v>0.02</v>
      </c>
      <c r="AB208" s="59">
        <v>0.02</v>
      </c>
      <c r="AC208" s="59">
        <v>0.02</v>
      </c>
      <c r="AD208" s="59">
        <v>0.02</v>
      </c>
      <c r="AE208" s="59">
        <v>0.02</v>
      </c>
      <c r="AF208" s="59">
        <v>0.02</v>
      </c>
      <c r="AG208" s="59">
        <v>0.02</v>
      </c>
      <c r="AH208" s="59">
        <v>0.02</v>
      </c>
      <c r="AI208" s="59">
        <v>0.02</v>
      </c>
      <c r="AJ208" s="59">
        <v>0.02</v>
      </c>
      <c r="AK208" s="59">
        <v>0.02</v>
      </c>
      <c r="AL208" s="255">
        <v>1200</v>
      </c>
      <c r="AM208" s="254">
        <f t="shared" si="24"/>
        <v>24</v>
      </c>
      <c r="AN208" s="255">
        <v>1560</v>
      </c>
      <c r="AO208" s="254">
        <f t="shared" si="25"/>
        <v>31.2</v>
      </c>
      <c r="AP208" s="255">
        <v>480</v>
      </c>
      <c r="AQ208" s="254">
        <f t="shared" si="26"/>
        <v>9.6</v>
      </c>
      <c r="AR208" s="255">
        <v>360</v>
      </c>
      <c r="AS208" s="257">
        <f t="shared" si="27"/>
        <v>7.2</v>
      </c>
      <c r="AT208" s="255"/>
      <c r="AU208" s="257">
        <f t="shared" si="28"/>
        <v>0</v>
      </c>
      <c r="AV208" s="255">
        <v>1000</v>
      </c>
      <c r="AW208" s="257">
        <f t="shared" si="29"/>
        <v>20</v>
      </c>
      <c r="AX208" s="255">
        <v>1000</v>
      </c>
      <c r="AY208" s="257">
        <f t="shared" si="30"/>
        <v>20</v>
      </c>
      <c r="AZ208" s="255">
        <v>1000</v>
      </c>
      <c r="BA208" s="257">
        <f t="shared" si="31"/>
        <v>20</v>
      </c>
      <c r="BB208" s="255">
        <v>1000</v>
      </c>
      <c r="BC208" s="257">
        <f t="shared" si="32"/>
        <v>20</v>
      </c>
      <c r="BD208" s="255">
        <v>1000</v>
      </c>
      <c r="BE208" s="257">
        <f t="shared" si="33"/>
        <v>20</v>
      </c>
      <c r="BF208" s="255">
        <v>1000</v>
      </c>
      <c r="BG208" s="257">
        <f t="shared" si="34"/>
        <v>20</v>
      </c>
      <c r="BH208" s="255">
        <v>1000</v>
      </c>
      <c r="BI208" s="257">
        <f t="shared" si="35"/>
        <v>20</v>
      </c>
      <c r="BJ208" s="1" t="s">
        <v>608</v>
      </c>
      <c r="BK208" s="1" t="s">
        <v>617</v>
      </c>
      <c r="BL208" s="1" t="s">
        <v>457</v>
      </c>
      <c r="BM208" s="1" t="s">
        <v>623</v>
      </c>
    </row>
    <row r="209" spans="1:65" s="14" customFormat="1" ht="15.75" customHeight="1">
      <c r="A209" s="250" t="s">
        <v>951</v>
      </c>
      <c r="B209" s="59" t="s">
        <v>1014</v>
      </c>
      <c r="C209" s="354" t="s">
        <v>172</v>
      </c>
      <c r="D209" s="424"/>
      <c r="E209" s="357" t="s">
        <v>214</v>
      </c>
      <c r="F209" s="421"/>
      <c r="G209" s="317">
        <v>2024</v>
      </c>
      <c r="H209" s="59" t="s">
        <v>622</v>
      </c>
      <c r="I209" s="315" t="s">
        <v>367</v>
      </c>
      <c r="J209" s="318" t="s">
        <v>217</v>
      </c>
      <c r="K209" s="59" t="s">
        <v>217</v>
      </c>
      <c r="L209" s="59" t="s">
        <v>177</v>
      </c>
      <c r="M209" s="303" t="s">
        <v>601</v>
      </c>
      <c r="N209" s="303">
        <v>1.6</v>
      </c>
      <c r="O209" s="303">
        <v>1.6</v>
      </c>
      <c r="P209" s="303">
        <v>1.6</v>
      </c>
      <c r="Q209" s="303">
        <v>1.6</v>
      </c>
      <c r="R209" s="303">
        <v>1.6</v>
      </c>
      <c r="S209" s="303">
        <v>1.6</v>
      </c>
      <c r="T209" s="303">
        <v>1.6</v>
      </c>
      <c r="U209" s="303">
        <v>1.6</v>
      </c>
      <c r="V209" s="303">
        <v>1.6</v>
      </c>
      <c r="W209" s="303">
        <v>1.6</v>
      </c>
      <c r="X209" s="303">
        <v>1.6</v>
      </c>
      <c r="Y209" s="303">
        <v>1.6</v>
      </c>
      <c r="Z209" s="59">
        <v>0.02</v>
      </c>
      <c r="AA209" s="59">
        <v>0.02</v>
      </c>
      <c r="AB209" s="59">
        <v>0.02</v>
      </c>
      <c r="AC209" s="59">
        <v>0.02</v>
      </c>
      <c r="AD209" s="59">
        <v>0.02</v>
      </c>
      <c r="AE209" s="59">
        <v>0.02</v>
      </c>
      <c r="AF209" s="59">
        <v>0.02</v>
      </c>
      <c r="AG209" s="59">
        <v>0.02</v>
      </c>
      <c r="AH209" s="59">
        <v>0.02</v>
      </c>
      <c r="AI209" s="59">
        <v>0.02</v>
      </c>
      <c r="AJ209" s="59">
        <v>0.02</v>
      </c>
      <c r="AK209" s="59">
        <v>0.02</v>
      </c>
      <c r="AL209" s="255"/>
      <c r="AM209" s="254">
        <f t="shared" si="24"/>
        <v>0</v>
      </c>
      <c r="AN209" s="255"/>
      <c r="AO209" s="254">
        <f t="shared" si="25"/>
        <v>0</v>
      </c>
      <c r="AP209" s="255"/>
      <c r="AQ209" s="254">
        <f t="shared" si="26"/>
        <v>0</v>
      </c>
      <c r="AR209" s="255"/>
      <c r="AS209" s="257">
        <f t="shared" si="27"/>
        <v>0</v>
      </c>
      <c r="AT209" s="255">
        <v>7200</v>
      </c>
      <c r="AU209" s="257">
        <f t="shared" si="28"/>
        <v>144</v>
      </c>
      <c r="AV209" s="255">
        <v>2000</v>
      </c>
      <c r="AW209" s="257">
        <f t="shared" si="29"/>
        <v>40</v>
      </c>
      <c r="AX209" s="255">
        <v>2000</v>
      </c>
      <c r="AY209" s="257">
        <f t="shared" si="30"/>
        <v>40</v>
      </c>
      <c r="AZ209" s="255">
        <v>2000</v>
      </c>
      <c r="BA209" s="257">
        <f t="shared" si="31"/>
        <v>40</v>
      </c>
      <c r="BB209" s="255">
        <v>2000</v>
      </c>
      <c r="BC209" s="257">
        <f t="shared" si="32"/>
        <v>40</v>
      </c>
      <c r="BD209" s="255">
        <v>2000</v>
      </c>
      <c r="BE209" s="257">
        <f t="shared" si="33"/>
        <v>40</v>
      </c>
      <c r="BF209" s="255">
        <v>2000</v>
      </c>
      <c r="BG209" s="257">
        <f t="shared" si="34"/>
        <v>40</v>
      </c>
      <c r="BH209" s="255">
        <v>2000</v>
      </c>
      <c r="BI209" s="257">
        <f t="shared" si="35"/>
        <v>40</v>
      </c>
      <c r="BJ209" s="1" t="s">
        <v>608</v>
      </c>
      <c r="BK209" s="1" t="s">
        <v>617</v>
      </c>
      <c r="BL209" s="1" t="s">
        <v>457</v>
      </c>
      <c r="BM209" s="1" t="s">
        <v>623</v>
      </c>
    </row>
    <row r="210" spans="1:65" s="14" customFormat="1" ht="15.75" customHeight="1">
      <c r="A210" s="250" t="s">
        <v>951</v>
      </c>
      <c r="B210" s="59" t="s">
        <v>1014</v>
      </c>
      <c r="C210" s="354" t="s">
        <v>172</v>
      </c>
      <c r="D210" s="424"/>
      <c r="E210" s="357" t="s">
        <v>214</v>
      </c>
      <c r="F210" s="421"/>
      <c r="G210" s="317">
        <v>2024</v>
      </c>
      <c r="H210" s="59" t="s">
        <v>622</v>
      </c>
      <c r="I210" s="315" t="s">
        <v>367</v>
      </c>
      <c r="J210" s="318" t="s">
        <v>217</v>
      </c>
      <c r="K210" s="59" t="s">
        <v>217</v>
      </c>
      <c r="L210" s="59" t="s">
        <v>177</v>
      </c>
      <c r="M210" s="303" t="s">
        <v>602</v>
      </c>
      <c r="N210" s="303">
        <v>1.6</v>
      </c>
      <c r="O210" s="303">
        <v>1.6</v>
      </c>
      <c r="P210" s="303">
        <v>1.6</v>
      </c>
      <c r="Q210" s="303">
        <v>1.6</v>
      </c>
      <c r="R210" s="303">
        <v>1.6</v>
      </c>
      <c r="S210" s="303">
        <v>1.6</v>
      </c>
      <c r="T210" s="303">
        <v>1.6</v>
      </c>
      <c r="U210" s="303">
        <v>1.6</v>
      </c>
      <c r="V210" s="303">
        <v>1.6</v>
      </c>
      <c r="W210" s="303">
        <v>1.6</v>
      </c>
      <c r="X210" s="303">
        <v>1.6</v>
      </c>
      <c r="Y210" s="303">
        <v>1.6</v>
      </c>
      <c r="Z210" s="59">
        <v>0.02</v>
      </c>
      <c r="AA210" s="59">
        <v>0.02</v>
      </c>
      <c r="AB210" s="59">
        <v>0.02</v>
      </c>
      <c r="AC210" s="59">
        <v>0.02</v>
      </c>
      <c r="AD210" s="59">
        <v>0.02</v>
      </c>
      <c r="AE210" s="59">
        <v>0.02</v>
      </c>
      <c r="AF210" s="59">
        <v>0.02</v>
      </c>
      <c r="AG210" s="59">
        <v>0.02</v>
      </c>
      <c r="AH210" s="59">
        <v>0.02</v>
      </c>
      <c r="AI210" s="59">
        <v>0.02</v>
      </c>
      <c r="AJ210" s="59">
        <v>0.02</v>
      </c>
      <c r="AK210" s="59">
        <v>0.02</v>
      </c>
      <c r="AL210" s="270">
        <v>4800</v>
      </c>
      <c r="AM210" s="254">
        <f t="shared" si="24"/>
        <v>96</v>
      </c>
      <c r="AN210" s="270">
        <v>33600</v>
      </c>
      <c r="AO210" s="254">
        <f t="shared" si="25"/>
        <v>672</v>
      </c>
      <c r="AP210" s="270"/>
      <c r="AQ210" s="254">
        <f t="shared" si="26"/>
        <v>0</v>
      </c>
      <c r="AR210" s="256"/>
      <c r="AS210" s="257">
        <f t="shared" si="27"/>
        <v>0</v>
      </c>
      <c r="AT210" s="382"/>
      <c r="AU210" s="257">
        <f t="shared" si="28"/>
        <v>0</v>
      </c>
      <c r="AV210" s="382">
        <v>15000</v>
      </c>
      <c r="AW210" s="257">
        <f t="shared" si="29"/>
        <v>300</v>
      </c>
      <c r="AX210" s="268">
        <v>16000</v>
      </c>
      <c r="AY210" s="257">
        <f t="shared" si="30"/>
        <v>320</v>
      </c>
      <c r="AZ210" s="268">
        <v>16000</v>
      </c>
      <c r="BA210" s="257">
        <f t="shared" si="31"/>
        <v>320</v>
      </c>
      <c r="BB210" s="268">
        <v>15000</v>
      </c>
      <c r="BC210" s="257">
        <f t="shared" si="32"/>
        <v>300</v>
      </c>
      <c r="BD210" s="268">
        <v>15000</v>
      </c>
      <c r="BE210" s="257">
        <f t="shared" si="33"/>
        <v>300</v>
      </c>
      <c r="BF210" s="59">
        <v>16000</v>
      </c>
      <c r="BG210" s="257">
        <f t="shared" si="34"/>
        <v>320</v>
      </c>
      <c r="BH210" s="59">
        <v>16000</v>
      </c>
      <c r="BI210" s="257">
        <f t="shared" si="35"/>
        <v>320</v>
      </c>
      <c r="BJ210" s="1" t="s">
        <v>608</v>
      </c>
      <c r="BK210" s="1" t="s">
        <v>617</v>
      </c>
      <c r="BL210" s="1" t="s">
        <v>457</v>
      </c>
      <c r="BM210" s="1" t="s">
        <v>623</v>
      </c>
    </row>
    <row r="211" spans="1:65" s="14" customFormat="1" ht="15.75" customHeight="1">
      <c r="A211" s="250" t="s">
        <v>951</v>
      </c>
      <c r="B211" s="59" t="s">
        <v>1014</v>
      </c>
      <c r="C211" s="354" t="s">
        <v>172</v>
      </c>
      <c r="D211" s="424"/>
      <c r="E211" s="357" t="s">
        <v>214</v>
      </c>
      <c r="F211" s="421"/>
      <c r="G211" s="317">
        <v>2026</v>
      </c>
      <c r="H211" s="59" t="s">
        <v>1015</v>
      </c>
      <c r="I211" s="315" t="s">
        <v>357</v>
      </c>
      <c r="J211" s="318" t="s">
        <v>217</v>
      </c>
      <c r="K211" s="59" t="s">
        <v>1016</v>
      </c>
      <c r="L211" s="59" t="s">
        <v>177</v>
      </c>
      <c r="M211" s="303" t="s">
        <v>1017</v>
      </c>
      <c r="N211" s="303">
        <v>4.17</v>
      </c>
      <c r="O211" s="303">
        <v>4.17</v>
      </c>
      <c r="P211" s="303">
        <v>4.17</v>
      </c>
      <c r="Q211" s="303">
        <v>4.17</v>
      </c>
      <c r="R211" s="401">
        <v>4.7</v>
      </c>
      <c r="S211" s="401">
        <v>4.7</v>
      </c>
      <c r="T211" s="401">
        <v>4.7</v>
      </c>
      <c r="U211" s="401">
        <v>4.7</v>
      </c>
      <c r="V211" s="401">
        <v>4.7</v>
      </c>
      <c r="W211" s="401">
        <v>4.7</v>
      </c>
      <c r="X211" s="401">
        <v>4.7</v>
      </c>
      <c r="Y211" s="401">
        <v>4.7</v>
      </c>
      <c r="Z211" s="59">
        <v>0</v>
      </c>
      <c r="AA211" s="59">
        <v>0</v>
      </c>
      <c r="AB211" s="59">
        <v>0</v>
      </c>
      <c r="AC211" s="59">
        <v>0</v>
      </c>
      <c r="AD211" s="402">
        <v>0.32000000000000028</v>
      </c>
      <c r="AE211" s="402">
        <v>0.32000000000000028</v>
      </c>
      <c r="AF211" s="402">
        <v>0.32000000000000028</v>
      </c>
      <c r="AG211" s="402">
        <v>0.32000000000000028</v>
      </c>
      <c r="AH211" s="402">
        <v>0.32000000000000028</v>
      </c>
      <c r="AI211" s="402">
        <v>0.32000000000000028</v>
      </c>
      <c r="AJ211" s="402">
        <v>0.32000000000000028</v>
      </c>
      <c r="AK211" s="402">
        <v>0.32000000000000028</v>
      </c>
      <c r="AL211" s="270"/>
      <c r="AM211" s="254">
        <f t="shared" si="24"/>
        <v>0</v>
      </c>
      <c r="AN211" s="270"/>
      <c r="AO211" s="254">
        <f t="shared" si="25"/>
        <v>0</v>
      </c>
      <c r="AP211" s="270"/>
      <c r="AQ211" s="254">
        <f t="shared" si="26"/>
        <v>0</v>
      </c>
      <c r="AR211" s="256"/>
      <c r="AS211" s="257">
        <f t="shared" si="27"/>
        <v>0</v>
      </c>
      <c r="AT211" s="382">
        <v>0</v>
      </c>
      <c r="AU211" s="257">
        <f t="shared" si="28"/>
        <v>0</v>
      </c>
      <c r="AV211" s="382"/>
      <c r="AW211" s="257">
        <f t="shared" si="29"/>
        <v>0</v>
      </c>
      <c r="AX211" s="268"/>
      <c r="AY211" s="257">
        <f t="shared" si="30"/>
        <v>0</v>
      </c>
      <c r="AZ211" s="268"/>
      <c r="BA211" s="257">
        <f t="shared" si="31"/>
        <v>0</v>
      </c>
      <c r="BB211" s="268"/>
      <c r="BC211" s="257">
        <f t="shared" si="32"/>
        <v>0</v>
      </c>
      <c r="BD211" s="268"/>
      <c r="BE211" s="257">
        <f t="shared" si="33"/>
        <v>0</v>
      </c>
      <c r="BF211" s="59"/>
      <c r="BG211" s="257">
        <f t="shared" si="34"/>
        <v>0</v>
      </c>
      <c r="BH211" s="59"/>
      <c r="BI211" s="257">
        <f t="shared" si="35"/>
        <v>0</v>
      </c>
      <c r="BJ211" s="1"/>
      <c r="BK211" s="1"/>
      <c r="BL211" s="1" t="s">
        <v>457</v>
      </c>
      <c r="BM211" s="1" t="s">
        <v>1018</v>
      </c>
    </row>
    <row r="212" spans="1:65" s="14" customFormat="1" ht="15.75" customHeight="1">
      <c r="A212" s="250" t="s">
        <v>951</v>
      </c>
      <c r="B212" s="59" t="s">
        <v>1014</v>
      </c>
      <c r="C212" s="354" t="s">
        <v>172</v>
      </c>
      <c r="D212" s="424"/>
      <c r="E212" s="357" t="s">
        <v>214</v>
      </c>
      <c r="F212" s="421"/>
      <c r="G212" s="317">
        <v>2026</v>
      </c>
      <c r="H212" s="59" t="s">
        <v>1015</v>
      </c>
      <c r="I212" s="315" t="s">
        <v>357</v>
      </c>
      <c r="J212" s="318" t="s">
        <v>217</v>
      </c>
      <c r="K212" s="59" t="s">
        <v>1016</v>
      </c>
      <c r="L212" s="59" t="s">
        <v>177</v>
      </c>
      <c r="M212" s="303" t="s">
        <v>455</v>
      </c>
      <c r="N212" s="303">
        <v>4.17</v>
      </c>
      <c r="O212" s="303">
        <v>4.17</v>
      </c>
      <c r="P212" s="303">
        <v>4.17</v>
      </c>
      <c r="Q212" s="303">
        <v>4.17</v>
      </c>
      <c r="R212" s="401">
        <v>4.7</v>
      </c>
      <c r="S212" s="401">
        <v>4.7</v>
      </c>
      <c r="T212" s="401">
        <v>4.7</v>
      </c>
      <c r="U212" s="401">
        <v>4.7</v>
      </c>
      <c r="V212" s="401">
        <v>4.7</v>
      </c>
      <c r="W212" s="401">
        <v>4.7</v>
      </c>
      <c r="X212" s="401">
        <v>4.7</v>
      </c>
      <c r="Y212" s="401">
        <v>4.7</v>
      </c>
      <c r="Z212" s="59">
        <v>0</v>
      </c>
      <c r="AA212" s="59">
        <v>0</v>
      </c>
      <c r="AB212" s="59">
        <v>0</v>
      </c>
      <c r="AC212" s="59">
        <v>0</v>
      </c>
      <c r="AD212" s="402">
        <v>0.32000000000000028</v>
      </c>
      <c r="AE212" s="402">
        <v>0.32000000000000028</v>
      </c>
      <c r="AF212" s="402">
        <v>0.32000000000000028</v>
      </c>
      <c r="AG212" s="402">
        <v>0.32000000000000028</v>
      </c>
      <c r="AH212" s="402">
        <v>0.32000000000000028</v>
      </c>
      <c r="AI212" s="402">
        <v>0.32000000000000028</v>
      </c>
      <c r="AJ212" s="402">
        <v>0.32000000000000028</v>
      </c>
      <c r="AK212" s="402">
        <v>0.32000000000000028</v>
      </c>
      <c r="AL212" s="270"/>
      <c r="AM212" s="254">
        <f t="shared" si="24"/>
        <v>0</v>
      </c>
      <c r="AN212" s="270"/>
      <c r="AO212" s="254">
        <f t="shared" si="25"/>
        <v>0</v>
      </c>
      <c r="AP212" s="270"/>
      <c r="AQ212" s="254">
        <f t="shared" si="26"/>
        <v>0</v>
      </c>
      <c r="AR212" s="256"/>
      <c r="AS212" s="257">
        <f t="shared" si="27"/>
        <v>0</v>
      </c>
      <c r="AT212" s="382">
        <v>24</v>
      </c>
      <c r="AU212" s="257">
        <f t="shared" si="28"/>
        <v>7.6800000000000068</v>
      </c>
      <c r="AV212" s="382"/>
      <c r="AW212" s="257">
        <f t="shared" si="29"/>
        <v>0</v>
      </c>
      <c r="AX212" s="268"/>
      <c r="AY212" s="257">
        <f t="shared" si="30"/>
        <v>0</v>
      </c>
      <c r="AZ212" s="268"/>
      <c r="BA212" s="257">
        <f t="shared" si="31"/>
        <v>0</v>
      </c>
      <c r="BB212" s="268"/>
      <c r="BC212" s="257">
        <f t="shared" si="32"/>
        <v>0</v>
      </c>
      <c r="BD212" s="268"/>
      <c r="BE212" s="257">
        <f t="shared" si="33"/>
        <v>0</v>
      </c>
      <c r="BF212" s="59"/>
      <c r="BG212" s="257">
        <f t="shared" si="34"/>
        <v>0</v>
      </c>
      <c r="BH212" s="59"/>
      <c r="BI212" s="257">
        <f t="shared" si="35"/>
        <v>0</v>
      </c>
      <c r="BJ212" s="1"/>
      <c r="BK212" s="1"/>
      <c r="BL212" s="1" t="s">
        <v>457</v>
      </c>
      <c r="BM212" s="1" t="s">
        <v>1018</v>
      </c>
    </row>
    <row r="213" spans="1:65" s="14" customFormat="1" ht="15.75" customHeight="1">
      <c r="A213" s="250" t="s">
        <v>951</v>
      </c>
      <c r="B213" s="59" t="s">
        <v>1014</v>
      </c>
      <c r="C213" s="354" t="s">
        <v>172</v>
      </c>
      <c r="D213" s="424"/>
      <c r="E213" s="357" t="s">
        <v>214</v>
      </c>
      <c r="F213" s="421"/>
      <c r="G213" s="317">
        <v>2026</v>
      </c>
      <c r="H213" s="59" t="s">
        <v>1015</v>
      </c>
      <c r="I213" s="315" t="s">
        <v>357</v>
      </c>
      <c r="J213" s="318" t="s">
        <v>217</v>
      </c>
      <c r="K213" s="59" t="s">
        <v>1016</v>
      </c>
      <c r="L213" s="59" t="s">
        <v>177</v>
      </c>
      <c r="M213" s="303" t="s">
        <v>1019</v>
      </c>
      <c r="N213" s="303">
        <v>4.17</v>
      </c>
      <c r="O213" s="303">
        <v>4.17</v>
      </c>
      <c r="P213" s="303">
        <v>4.17</v>
      </c>
      <c r="Q213" s="303">
        <v>4.17</v>
      </c>
      <c r="R213" s="401">
        <v>4.7</v>
      </c>
      <c r="S213" s="401">
        <v>4.7</v>
      </c>
      <c r="T213" s="401">
        <v>4.7</v>
      </c>
      <c r="U213" s="401">
        <v>4.7</v>
      </c>
      <c r="V213" s="401">
        <v>4.7</v>
      </c>
      <c r="W213" s="401">
        <v>4.7</v>
      </c>
      <c r="X213" s="401">
        <v>4.7</v>
      </c>
      <c r="Y213" s="401">
        <v>4.7</v>
      </c>
      <c r="Z213" s="59">
        <v>0</v>
      </c>
      <c r="AA213" s="59">
        <v>0</v>
      </c>
      <c r="AB213" s="59">
        <v>0</v>
      </c>
      <c r="AC213" s="59">
        <v>0</v>
      </c>
      <c r="AD213" s="402">
        <v>0.32000000000000028</v>
      </c>
      <c r="AE213" s="402">
        <v>0.32000000000000028</v>
      </c>
      <c r="AF213" s="402">
        <v>0.32000000000000028</v>
      </c>
      <c r="AG213" s="402">
        <v>0.32000000000000028</v>
      </c>
      <c r="AH213" s="402">
        <v>0.32000000000000028</v>
      </c>
      <c r="AI213" s="402">
        <v>0.32000000000000028</v>
      </c>
      <c r="AJ213" s="402">
        <v>0.32000000000000028</v>
      </c>
      <c r="AK213" s="402">
        <v>0.32000000000000028</v>
      </c>
      <c r="AL213" s="270"/>
      <c r="AM213" s="254">
        <f t="shared" si="24"/>
        <v>0</v>
      </c>
      <c r="AN213" s="270"/>
      <c r="AO213" s="254">
        <f t="shared" si="25"/>
        <v>0</v>
      </c>
      <c r="AP213" s="270"/>
      <c r="AQ213" s="254">
        <f t="shared" si="26"/>
        <v>0</v>
      </c>
      <c r="AR213" s="256"/>
      <c r="AS213" s="257">
        <f t="shared" si="27"/>
        <v>0</v>
      </c>
      <c r="AT213" s="382">
        <v>228</v>
      </c>
      <c r="AU213" s="257">
        <f t="shared" si="28"/>
        <v>72.960000000000065</v>
      </c>
      <c r="AV213" s="382"/>
      <c r="AW213" s="257">
        <f t="shared" si="29"/>
        <v>0</v>
      </c>
      <c r="AX213" s="268"/>
      <c r="AY213" s="257">
        <f t="shared" si="30"/>
        <v>0</v>
      </c>
      <c r="AZ213" s="268"/>
      <c r="BA213" s="257">
        <f t="shared" si="31"/>
        <v>0</v>
      </c>
      <c r="BB213" s="268"/>
      <c r="BC213" s="257">
        <f t="shared" si="32"/>
        <v>0</v>
      </c>
      <c r="BD213" s="268"/>
      <c r="BE213" s="257">
        <f t="shared" si="33"/>
        <v>0</v>
      </c>
      <c r="BF213" s="59"/>
      <c r="BG213" s="257">
        <f t="shared" si="34"/>
        <v>0</v>
      </c>
      <c r="BH213" s="59"/>
      <c r="BI213" s="257">
        <f t="shared" si="35"/>
        <v>0</v>
      </c>
      <c r="BJ213" s="1"/>
      <c r="BK213" s="1"/>
      <c r="BL213" s="1" t="s">
        <v>457</v>
      </c>
      <c r="BM213" s="1" t="s">
        <v>1018</v>
      </c>
    </row>
    <row r="214" spans="1:65" s="14" customFormat="1" ht="15.75" customHeight="1">
      <c r="A214" s="250" t="s">
        <v>951</v>
      </c>
      <c r="B214" s="59" t="s">
        <v>1014</v>
      </c>
      <c r="C214" s="354" t="s">
        <v>172</v>
      </c>
      <c r="D214" s="424"/>
      <c r="E214" s="357" t="s">
        <v>214</v>
      </c>
      <c r="F214" s="421"/>
      <c r="G214" s="317">
        <v>2026</v>
      </c>
      <c r="H214" s="59" t="s">
        <v>1015</v>
      </c>
      <c r="I214" s="315" t="s">
        <v>357</v>
      </c>
      <c r="J214" s="318" t="s">
        <v>217</v>
      </c>
      <c r="K214" s="59" t="s">
        <v>1016</v>
      </c>
      <c r="L214" s="59" t="s">
        <v>177</v>
      </c>
      <c r="M214" s="303" t="s">
        <v>1020</v>
      </c>
      <c r="N214" s="303">
        <v>4.17</v>
      </c>
      <c r="O214" s="303">
        <v>4.17</v>
      </c>
      <c r="P214" s="303">
        <v>4.17</v>
      </c>
      <c r="Q214" s="303">
        <v>4.17</v>
      </c>
      <c r="R214" s="401">
        <v>4.7</v>
      </c>
      <c r="S214" s="401">
        <v>4.7</v>
      </c>
      <c r="T214" s="401">
        <v>4.7</v>
      </c>
      <c r="U214" s="401">
        <v>4.7</v>
      </c>
      <c r="V214" s="401">
        <v>4.7</v>
      </c>
      <c r="W214" s="401">
        <v>4.7</v>
      </c>
      <c r="X214" s="401">
        <v>4.7</v>
      </c>
      <c r="Y214" s="401">
        <v>4.7</v>
      </c>
      <c r="Z214" s="59">
        <v>0</v>
      </c>
      <c r="AA214" s="59">
        <v>0</v>
      </c>
      <c r="AB214" s="59">
        <v>0</v>
      </c>
      <c r="AC214" s="59">
        <v>0</v>
      </c>
      <c r="AD214" s="402">
        <v>0.32000000000000028</v>
      </c>
      <c r="AE214" s="402">
        <v>0.32000000000000028</v>
      </c>
      <c r="AF214" s="402">
        <v>0.32000000000000028</v>
      </c>
      <c r="AG214" s="402">
        <v>0.32000000000000028</v>
      </c>
      <c r="AH214" s="402">
        <v>0.32000000000000028</v>
      </c>
      <c r="AI214" s="402">
        <v>0.32000000000000028</v>
      </c>
      <c r="AJ214" s="402">
        <v>0.32000000000000028</v>
      </c>
      <c r="AK214" s="402">
        <v>0.32000000000000028</v>
      </c>
      <c r="AL214" s="270"/>
      <c r="AM214" s="254">
        <f t="shared" si="24"/>
        <v>0</v>
      </c>
      <c r="AN214" s="270"/>
      <c r="AO214" s="254">
        <f t="shared" si="25"/>
        <v>0</v>
      </c>
      <c r="AP214" s="270"/>
      <c r="AQ214" s="254">
        <f t="shared" si="26"/>
        <v>0</v>
      </c>
      <c r="AR214" s="256"/>
      <c r="AS214" s="257">
        <f t="shared" si="27"/>
        <v>0</v>
      </c>
      <c r="AT214" s="382">
        <v>0</v>
      </c>
      <c r="AU214" s="257">
        <f t="shared" si="28"/>
        <v>0</v>
      </c>
      <c r="AV214" s="382"/>
      <c r="AW214" s="257">
        <f t="shared" si="29"/>
        <v>0</v>
      </c>
      <c r="AX214" s="268"/>
      <c r="AY214" s="257">
        <f t="shared" si="30"/>
        <v>0</v>
      </c>
      <c r="AZ214" s="268"/>
      <c r="BA214" s="257">
        <f t="shared" si="31"/>
        <v>0</v>
      </c>
      <c r="BB214" s="268"/>
      <c r="BC214" s="257">
        <f t="shared" si="32"/>
        <v>0</v>
      </c>
      <c r="BD214" s="268"/>
      <c r="BE214" s="257">
        <f t="shared" si="33"/>
        <v>0</v>
      </c>
      <c r="BF214" s="59"/>
      <c r="BG214" s="257">
        <f t="shared" si="34"/>
        <v>0</v>
      </c>
      <c r="BH214" s="59"/>
      <c r="BI214" s="257">
        <f t="shared" si="35"/>
        <v>0</v>
      </c>
      <c r="BJ214" s="1"/>
      <c r="BK214" s="1"/>
      <c r="BL214" s="1" t="s">
        <v>457</v>
      </c>
      <c r="BM214" s="1" t="s">
        <v>1018</v>
      </c>
    </row>
    <row r="215" spans="1:65" s="14" customFormat="1" ht="15.75" customHeight="1">
      <c r="A215" s="250" t="s">
        <v>951</v>
      </c>
      <c r="B215" s="59" t="s">
        <v>1014</v>
      </c>
      <c r="C215" s="354" t="s">
        <v>172</v>
      </c>
      <c r="D215" s="424"/>
      <c r="E215" s="357" t="s">
        <v>214</v>
      </c>
      <c r="F215" s="421"/>
      <c r="G215" s="317">
        <v>2026</v>
      </c>
      <c r="H215" s="59" t="s">
        <v>1015</v>
      </c>
      <c r="I215" s="315" t="s">
        <v>357</v>
      </c>
      <c r="J215" s="318" t="s">
        <v>217</v>
      </c>
      <c r="K215" s="59" t="s">
        <v>1016</v>
      </c>
      <c r="L215" s="59" t="s">
        <v>177</v>
      </c>
      <c r="M215" s="303" t="s">
        <v>1021</v>
      </c>
      <c r="N215" s="303">
        <v>4.17</v>
      </c>
      <c r="O215" s="303">
        <v>4.17</v>
      </c>
      <c r="P215" s="303">
        <v>4.17</v>
      </c>
      <c r="Q215" s="303">
        <v>4.17</v>
      </c>
      <c r="R215" s="401">
        <v>4.7</v>
      </c>
      <c r="S215" s="401">
        <v>4.7</v>
      </c>
      <c r="T215" s="401">
        <v>4.7</v>
      </c>
      <c r="U215" s="401">
        <v>4.7</v>
      </c>
      <c r="V215" s="401">
        <v>4.7</v>
      </c>
      <c r="W215" s="401">
        <v>4.7</v>
      </c>
      <c r="X215" s="401">
        <v>4.7</v>
      </c>
      <c r="Y215" s="401">
        <v>4.7</v>
      </c>
      <c r="Z215" s="59">
        <v>0</v>
      </c>
      <c r="AA215" s="59">
        <v>0</v>
      </c>
      <c r="AB215" s="59">
        <v>0</v>
      </c>
      <c r="AC215" s="59">
        <v>0</v>
      </c>
      <c r="AD215" s="402">
        <v>0.32000000000000028</v>
      </c>
      <c r="AE215" s="402">
        <v>0.32000000000000028</v>
      </c>
      <c r="AF215" s="402">
        <v>0.32000000000000028</v>
      </c>
      <c r="AG215" s="402">
        <v>0.32000000000000028</v>
      </c>
      <c r="AH215" s="402">
        <v>0.32000000000000028</v>
      </c>
      <c r="AI215" s="402">
        <v>0.32000000000000028</v>
      </c>
      <c r="AJ215" s="402">
        <v>0.32000000000000028</v>
      </c>
      <c r="AK215" s="402">
        <v>0.32000000000000028</v>
      </c>
      <c r="AL215" s="270"/>
      <c r="AM215" s="254">
        <f t="shared" si="24"/>
        <v>0</v>
      </c>
      <c r="AN215" s="270"/>
      <c r="AO215" s="254">
        <f t="shared" si="25"/>
        <v>0</v>
      </c>
      <c r="AP215" s="270">
        <v>60</v>
      </c>
      <c r="AQ215" s="254">
        <f t="shared" si="26"/>
        <v>0</v>
      </c>
      <c r="AR215" s="256"/>
      <c r="AS215" s="257">
        <f t="shared" si="27"/>
        <v>0</v>
      </c>
      <c r="AT215" s="382">
        <v>0</v>
      </c>
      <c r="AU215" s="257">
        <f t="shared" si="28"/>
        <v>0</v>
      </c>
      <c r="AV215" s="382"/>
      <c r="AW215" s="257">
        <f t="shared" si="29"/>
        <v>0</v>
      </c>
      <c r="AX215" s="268"/>
      <c r="AY215" s="257">
        <f t="shared" si="30"/>
        <v>0</v>
      </c>
      <c r="AZ215" s="268"/>
      <c r="BA215" s="257">
        <f t="shared" si="31"/>
        <v>0</v>
      </c>
      <c r="BB215" s="268"/>
      <c r="BC215" s="257">
        <f t="shared" si="32"/>
        <v>0</v>
      </c>
      <c r="BD215" s="268"/>
      <c r="BE215" s="257">
        <f t="shared" si="33"/>
        <v>0</v>
      </c>
      <c r="BF215" s="59"/>
      <c r="BG215" s="257">
        <f t="shared" si="34"/>
        <v>0</v>
      </c>
      <c r="BH215" s="59"/>
      <c r="BI215" s="257">
        <f t="shared" si="35"/>
        <v>0</v>
      </c>
      <c r="BJ215" s="1"/>
      <c r="BK215" s="1"/>
      <c r="BL215" s="1" t="s">
        <v>457</v>
      </c>
      <c r="BM215" s="1" t="s">
        <v>1018</v>
      </c>
    </row>
    <row r="216" spans="1:65" s="14" customFormat="1" ht="15.75" customHeight="1">
      <c r="A216" s="250" t="s">
        <v>951</v>
      </c>
      <c r="B216" s="59" t="s">
        <v>1014</v>
      </c>
      <c r="C216" s="354" t="s">
        <v>172</v>
      </c>
      <c r="D216" s="424"/>
      <c r="E216" s="357" t="s">
        <v>214</v>
      </c>
      <c r="F216" s="421"/>
      <c r="G216" s="317">
        <v>2026</v>
      </c>
      <c r="H216" s="59" t="s">
        <v>1015</v>
      </c>
      <c r="I216" s="315" t="s">
        <v>357</v>
      </c>
      <c r="J216" s="318" t="s">
        <v>217</v>
      </c>
      <c r="K216" s="59" t="s">
        <v>1016</v>
      </c>
      <c r="L216" s="59" t="s">
        <v>177</v>
      </c>
      <c r="M216" s="303" t="s">
        <v>1022</v>
      </c>
      <c r="N216" s="303">
        <v>4.17</v>
      </c>
      <c r="O216" s="303">
        <v>4.17</v>
      </c>
      <c r="P216" s="303">
        <v>4.17</v>
      </c>
      <c r="Q216" s="303">
        <v>4.17</v>
      </c>
      <c r="R216" s="401">
        <v>4.7</v>
      </c>
      <c r="S216" s="401">
        <v>4.7</v>
      </c>
      <c r="T216" s="401">
        <v>4.7</v>
      </c>
      <c r="U216" s="401">
        <v>4.7</v>
      </c>
      <c r="V216" s="401">
        <v>4.7</v>
      </c>
      <c r="W216" s="401">
        <v>4.7</v>
      </c>
      <c r="X216" s="401">
        <v>4.7</v>
      </c>
      <c r="Y216" s="401">
        <v>4.7</v>
      </c>
      <c r="Z216" s="59">
        <v>0</v>
      </c>
      <c r="AA216" s="59">
        <v>0</v>
      </c>
      <c r="AB216" s="59">
        <v>0</v>
      </c>
      <c r="AC216" s="59">
        <v>0</v>
      </c>
      <c r="AD216" s="402">
        <v>0.32000000000000028</v>
      </c>
      <c r="AE216" s="402">
        <v>0.32000000000000028</v>
      </c>
      <c r="AF216" s="402">
        <v>0.32000000000000028</v>
      </c>
      <c r="AG216" s="402">
        <v>0.32000000000000028</v>
      </c>
      <c r="AH216" s="402">
        <v>0.32000000000000028</v>
      </c>
      <c r="AI216" s="402">
        <v>0.32000000000000028</v>
      </c>
      <c r="AJ216" s="402">
        <v>0.32000000000000028</v>
      </c>
      <c r="AK216" s="402">
        <v>0.32000000000000028</v>
      </c>
      <c r="AL216" s="270"/>
      <c r="AM216" s="254">
        <f t="shared" si="24"/>
        <v>0</v>
      </c>
      <c r="AN216" s="270"/>
      <c r="AO216" s="254">
        <f t="shared" si="25"/>
        <v>0</v>
      </c>
      <c r="AP216" s="270"/>
      <c r="AQ216" s="254">
        <f t="shared" si="26"/>
        <v>0</v>
      </c>
      <c r="AR216" s="256"/>
      <c r="AS216" s="257">
        <f t="shared" si="27"/>
        <v>0</v>
      </c>
      <c r="AT216" s="382">
        <v>108</v>
      </c>
      <c r="AU216" s="257">
        <f t="shared" si="28"/>
        <v>34.560000000000031</v>
      </c>
      <c r="AV216" s="382"/>
      <c r="AW216" s="257">
        <f t="shared" si="29"/>
        <v>0</v>
      </c>
      <c r="AX216" s="268"/>
      <c r="AY216" s="257">
        <f t="shared" si="30"/>
        <v>0</v>
      </c>
      <c r="AZ216" s="268"/>
      <c r="BA216" s="257">
        <f t="shared" si="31"/>
        <v>0</v>
      </c>
      <c r="BB216" s="268"/>
      <c r="BC216" s="257">
        <f t="shared" si="32"/>
        <v>0</v>
      </c>
      <c r="BD216" s="268"/>
      <c r="BE216" s="257">
        <f t="shared" si="33"/>
        <v>0</v>
      </c>
      <c r="BF216" s="59"/>
      <c r="BG216" s="257">
        <f t="shared" si="34"/>
        <v>0</v>
      </c>
      <c r="BH216" s="59"/>
      <c r="BI216" s="257">
        <f t="shared" si="35"/>
        <v>0</v>
      </c>
      <c r="BJ216" s="1"/>
      <c r="BK216" s="1"/>
      <c r="BL216" s="1" t="s">
        <v>457</v>
      </c>
      <c r="BM216" s="1" t="s">
        <v>1018</v>
      </c>
    </row>
    <row r="217" spans="1:65" s="14" customFormat="1" ht="15.75" customHeight="1">
      <c r="A217" s="250" t="s">
        <v>951</v>
      </c>
      <c r="B217" s="59" t="s">
        <v>1014</v>
      </c>
      <c r="C217" s="354" t="s">
        <v>172</v>
      </c>
      <c r="D217" s="424"/>
      <c r="E217" s="357" t="s">
        <v>214</v>
      </c>
      <c r="F217" s="421"/>
      <c r="G217" s="317">
        <v>2026</v>
      </c>
      <c r="H217" s="59" t="s">
        <v>1015</v>
      </c>
      <c r="I217" s="315" t="s">
        <v>357</v>
      </c>
      <c r="J217" s="318" t="s">
        <v>217</v>
      </c>
      <c r="K217" s="59" t="s">
        <v>1016</v>
      </c>
      <c r="L217" s="59" t="s">
        <v>177</v>
      </c>
      <c r="M217" s="303" t="s">
        <v>600</v>
      </c>
      <c r="N217" s="303">
        <v>4.29</v>
      </c>
      <c r="O217" s="303">
        <v>4.29</v>
      </c>
      <c r="P217" s="303">
        <v>4.29</v>
      </c>
      <c r="Q217" s="303">
        <v>4.29</v>
      </c>
      <c r="R217" s="401">
        <v>4.82</v>
      </c>
      <c r="S217" s="401">
        <v>4.82</v>
      </c>
      <c r="T217" s="401">
        <v>4.82</v>
      </c>
      <c r="U217" s="401">
        <v>4.82</v>
      </c>
      <c r="V217" s="401">
        <v>4.82</v>
      </c>
      <c r="W217" s="401">
        <v>4.82</v>
      </c>
      <c r="X217" s="401">
        <v>4.82</v>
      </c>
      <c r="Y217" s="401">
        <v>4.82</v>
      </c>
      <c r="Z217" s="59">
        <v>0</v>
      </c>
      <c r="AA217" s="59">
        <v>0</v>
      </c>
      <c r="AB217" s="59">
        <v>0</v>
      </c>
      <c r="AC217" s="59">
        <v>0</v>
      </c>
      <c r="AD217" s="402">
        <v>0.32000000000000028</v>
      </c>
      <c r="AE217" s="402">
        <v>0.32000000000000028</v>
      </c>
      <c r="AF217" s="402">
        <v>0.32000000000000028</v>
      </c>
      <c r="AG217" s="402">
        <v>0.32000000000000028</v>
      </c>
      <c r="AH217" s="402">
        <v>0.32000000000000028</v>
      </c>
      <c r="AI217" s="402">
        <v>0.32000000000000028</v>
      </c>
      <c r="AJ217" s="402">
        <v>0.32000000000000028</v>
      </c>
      <c r="AK217" s="402">
        <v>0.32000000000000028</v>
      </c>
      <c r="AL217" s="270"/>
      <c r="AM217" s="254">
        <f t="shared" si="24"/>
        <v>0</v>
      </c>
      <c r="AN217" s="270"/>
      <c r="AO217" s="254">
        <f t="shared" si="25"/>
        <v>0</v>
      </c>
      <c r="AP217" s="270"/>
      <c r="AQ217" s="254">
        <f t="shared" si="26"/>
        <v>0</v>
      </c>
      <c r="AR217" s="256"/>
      <c r="AS217" s="257">
        <f t="shared" si="27"/>
        <v>0</v>
      </c>
      <c r="AT217" s="382"/>
      <c r="AU217" s="257">
        <f t="shared" si="28"/>
        <v>0</v>
      </c>
      <c r="AV217" s="382"/>
      <c r="AW217" s="257">
        <f t="shared" si="29"/>
        <v>0</v>
      </c>
      <c r="AX217" s="268"/>
      <c r="AY217" s="257">
        <f t="shared" si="30"/>
        <v>0</v>
      </c>
      <c r="AZ217" s="268"/>
      <c r="BA217" s="257">
        <f t="shared" si="31"/>
        <v>0</v>
      </c>
      <c r="BB217" s="268"/>
      <c r="BC217" s="257">
        <f t="shared" si="32"/>
        <v>0</v>
      </c>
      <c r="BD217" s="268"/>
      <c r="BE217" s="257">
        <f t="shared" si="33"/>
        <v>0</v>
      </c>
      <c r="BF217" s="59"/>
      <c r="BG217" s="257">
        <f t="shared" si="34"/>
        <v>0</v>
      </c>
      <c r="BH217" s="59"/>
      <c r="BI217" s="257">
        <f t="shared" si="35"/>
        <v>0</v>
      </c>
      <c r="BJ217" s="1"/>
      <c r="BK217" s="1"/>
      <c r="BL217" s="1" t="s">
        <v>457</v>
      </c>
      <c r="BM217" s="1" t="s">
        <v>1018</v>
      </c>
    </row>
    <row r="218" spans="1:65" s="14" customFormat="1" ht="15.75" customHeight="1">
      <c r="A218" s="250" t="s">
        <v>951</v>
      </c>
      <c r="B218" s="59" t="s">
        <v>1014</v>
      </c>
      <c r="C218" s="354" t="s">
        <v>172</v>
      </c>
      <c r="D218" s="424"/>
      <c r="E218" s="357" t="s">
        <v>214</v>
      </c>
      <c r="F218" s="421"/>
      <c r="G218" s="317">
        <v>2026</v>
      </c>
      <c r="H218" s="59" t="s">
        <v>1015</v>
      </c>
      <c r="I218" s="315" t="s">
        <v>357</v>
      </c>
      <c r="J218" s="318" t="s">
        <v>217</v>
      </c>
      <c r="K218" s="59" t="s">
        <v>1016</v>
      </c>
      <c r="L218" s="59" t="s">
        <v>177</v>
      </c>
      <c r="M218" s="303" t="s">
        <v>1023</v>
      </c>
      <c r="N218" s="303">
        <v>4.51</v>
      </c>
      <c r="O218" s="303">
        <v>4.51</v>
      </c>
      <c r="P218" s="303">
        <v>4.51</v>
      </c>
      <c r="Q218" s="303">
        <v>4.51</v>
      </c>
      <c r="R218" s="401">
        <v>5.22</v>
      </c>
      <c r="S218" s="401">
        <v>5.22</v>
      </c>
      <c r="T218" s="401">
        <v>5.22</v>
      </c>
      <c r="U218" s="401">
        <v>5.22</v>
      </c>
      <c r="V218" s="401">
        <v>5.22</v>
      </c>
      <c r="W218" s="401">
        <v>5.22</v>
      </c>
      <c r="X218" s="401">
        <v>5.22</v>
      </c>
      <c r="Y218" s="401">
        <v>5.22</v>
      </c>
      <c r="Z218" s="59">
        <v>0</v>
      </c>
      <c r="AA218" s="59">
        <v>0</v>
      </c>
      <c r="AB218" s="59">
        <v>0</v>
      </c>
      <c r="AC218" s="59">
        <v>0</v>
      </c>
      <c r="AD218" s="402">
        <v>0.5</v>
      </c>
      <c r="AE218" s="402">
        <v>0.5</v>
      </c>
      <c r="AF218" s="402">
        <v>0.5</v>
      </c>
      <c r="AG218" s="402">
        <v>0.5</v>
      </c>
      <c r="AH218" s="402">
        <v>0.5</v>
      </c>
      <c r="AI218" s="402">
        <v>0.5</v>
      </c>
      <c r="AJ218" s="402">
        <v>0.5</v>
      </c>
      <c r="AK218" s="402">
        <v>0.5</v>
      </c>
      <c r="AL218" s="59">
        <v>0</v>
      </c>
      <c r="AM218" s="59">
        <v>0</v>
      </c>
      <c r="AN218" s="270"/>
      <c r="AO218" s="254">
        <f t="shared" si="25"/>
        <v>0</v>
      </c>
      <c r="AP218" s="270"/>
      <c r="AQ218" s="254">
        <f t="shared" si="26"/>
        <v>0</v>
      </c>
      <c r="AR218" s="256"/>
      <c r="AS218" s="257">
        <f t="shared" si="27"/>
        <v>0</v>
      </c>
      <c r="AT218" s="382"/>
      <c r="AU218" s="257">
        <f t="shared" si="28"/>
        <v>0</v>
      </c>
      <c r="AV218" s="382"/>
      <c r="AW218" s="257">
        <f t="shared" si="29"/>
        <v>0</v>
      </c>
      <c r="AX218" s="268"/>
      <c r="AY218" s="257">
        <f t="shared" si="30"/>
        <v>0</v>
      </c>
      <c r="AZ218" s="268"/>
      <c r="BA218" s="257">
        <f t="shared" si="31"/>
        <v>0</v>
      </c>
      <c r="BB218" s="268"/>
      <c r="BC218" s="257">
        <f t="shared" si="32"/>
        <v>0</v>
      </c>
      <c r="BD218" s="268"/>
      <c r="BE218" s="257">
        <f t="shared" si="33"/>
        <v>0</v>
      </c>
      <c r="BF218" s="59"/>
      <c r="BG218" s="257">
        <f t="shared" si="34"/>
        <v>0</v>
      </c>
      <c r="BH218" s="59"/>
      <c r="BI218" s="257">
        <f t="shared" si="35"/>
        <v>0</v>
      </c>
      <c r="BJ218" s="1"/>
      <c r="BK218" s="1"/>
      <c r="BL218" s="1" t="s">
        <v>457</v>
      </c>
      <c r="BM218" s="1" t="s">
        <v>1018</v>
      </c>
    </row>
    <row r="219" spans="1:65" s="14" customFormat="1" ht="15.75" customHeight="1">
      <c r="A219" s="250" t="s">
        <v>951</v>
      </c>
      <c r="B219" s="59" t="s">
        <v>1014</v>
      </c>
      <c r="C219" s="354" t="s">
        <v>172</v>
      </c>
      <c r="D219" s="424"/>
      <c r="E219" s="357" t="s">
        <v>214</v>
      </c>
      <c r="F219" s="421"/>
      <c r="G219" s="317">
        <v>2026</v>
      </c>
      <c r="H219" s="59" t="s">
        <v>1024</v>
      </c>
      <c r="I219" s="315" t="s">
        <v>367</v>
      </c>
      <c r="J219" s="318" t="s">
        <v>217</v>
      </c>
      <c r="K219" s="59" t="s">
        <v>1016</v>
      </c>
      <c r="L219" s="59" t="s">
        <v>177</v>
      </c>
      <c r="M219" s="303" t="s">
        <v>1017</v>
      </c>
      <c r="N219" s="303">
        <v>1.81</v>
      </c>
      <c r="O219" s="303">
        <v>1.81</v>
      </c>
      <c r="P219" s="303">
        <v>1.81</v>
      </c>
      <c r="Q219" s="303">
        <v>1.81</v>
      </c>
      <c r="R219" s="303">
        <v>1.81</v>
      </c>
      <c r="S219" s="303">
        <v>1.81</v>
      </c>
      <c r="T219" s="303">
        <v>1.81</v>
      </c>
      <c r="U219" s="303">
        <v>1.81</v>
      </c>
      <c r="V219" s="303">
        <v>1.81</v>
      </c>
      <c r="W219" s="303">
        <v>1.81</v>
      </c>
      <c r="X219" s="303">
        <v>1.81</v>
      </c>
      <c r="Y219" s="303">
        <v>1.81</v>
      </c>
      <c r="Z219" s="59">
        <v>0</v>
      </c>
      <c r="AA219" s="59">
        <v>0</v>
      </c>
      <c r="AB219" s="59">
        <v>0</v>
      </c>
      <c r="AC219" s="59">
        <v>0</v>
      </c>
      <c r="AD219" s="59">
        <v>0</v>
      </c>
      <c r="AE219" s="59">
        <v>0</v>
      </c>
      <c r="AF219" s="59">
        <v>0</v>
      </c>
      <c r="AG219" s="59">
        <v>0</v>
      </c>
      <c r="AH219" s="59">
        <v>0</v>
      </c>
      <c r="AI219" s="59">
        <v>0</v>
      </c>
      <c r="AJ219" s="59">
        <v>0</v>
      </c>
      <c r="AK219" s="59">
        <v>0</v>
      </c>
      <c r="AL219" s="270"/>
      <c r="AM219" s="254">
        <f t="shared" si="24"/>
        <v>0</v>
      </c>
      <c r="AN219" s="270"/>
      <c r="AO219" s="254">
        <f t="shared" si="25"/>
        <v>0</v>
      </c>
      <c r="AP219" s="270"/>
      <c r="AQ219" s="254">
        <f t="shared" si="26"/>
        <v>0</v>
      </c>
      <c r="AR219" s="256"/>
      <c r="AS219" s="257">
        <f t="shared" si="27"/>
        <v>0</v>
      </c>
      <c r="AT219" s="382">
        <v>0</v>
      </c>
      <c r="AU219" s="257">
        <f t="shared" si="28"/>
        <v>0</v>
      </c>
      <c r="AV219" s="382"/>
      <c r="AW219" s="257">
        <f t="shared" si="29"/>
        <v>0</v>
      </c>
      <c r="AX219" s="268"/>
      <c r="AY219" s="257">
        <f t="shared" si="30"/>
        <v>0</v>
      </c>
      <c r="AZ219" s="268"/>
      <c r="BA219" s="257">
        <f t="shared" si="31"/>
        <v>0</v>
      </c>
      <c r="BB219" s="268"/>
      <c r="BC219" s="257">
        <f t="shared" si="32"/>
        <v>0</v>
      </c>
      <c r="BD219" s="268"/>
      <c r="BE219" s="257">
        <f t="shared" si="33"/>
        <v>0</v>
      </c>
      <c r="BF219" s="59"/>
      <c r="BG219" s="257">
        <f t="shared" si="34"/>
        <v>0</v>
      </c>
      <c r="BH219" s="59"/>
      <c r="BI219" s="257">
        <f t="shared" si="35"/>
        <v>0</v>
      </c>
      <c r="BJ219" s="1"/>
      <c r="BK219" s="1"/>
      <c r="BL219" s="1" t="s">
        <v>457</v>
      </c>
      <c r="BM219" s="1" t="s">
        <v>1025</v>
      </c>
    </row>
    <row r="220" spans="1:65" s="14" customFormat="1" ht="15.75" customHeight="1">
      <c r="A220" s="250" t="s">
        <v>951</v>
      </c>
      <c r="B220" s="59" t="s">
        <v>1014</v>
      </c>
      <c r="C220" s="354" t="s">
        <v>172</v>
      </c>
      <c r="D220" s="424"/>
      <c r="E220" s="357" t="s">
        <v>214</v>
      </c>
      <c r="F220" s="421"/>
      <c r="G220" s="317">
        <v>2026</v>
      </c>
      <c r="H220" s="59" t="s">
        <v>1024</v>
      </c>
      <c r="I220" s="315" t="s">
        <v>367</v>
      </c>
      <c r="J220" s="318" t="s">
        <v>217</v>
      </c>
      <c r="K220" s="59" t="s">
        <v>1016</v>
      </c>
      <c r="L220" s="59" t="s">
        <v>177</v>
      </c>
      <c r="M220" s="303" t="s">
        <v>455</v>
      </c>
      <c r="N220" s="303">
        <v>1.81</v>
      </c>
      <c r="O220" s="303">
        <v>1.81</v>
      </c>
      <c r="P220" s="303">
        <v>1.81</v>
      </c>
      <c r="Q220" s="303">
        <v>1.81</v>
      </c>
      <c r="R220" s="303">
        <v>1.81</v>
      </c>
      <c r="S220" s="303">
        <v>1.81</v>
      </c>
      <c r="T220" s="303">
        <v>1.81</v>
      </c>
      <c r="U220" s="303">
        <v>1.81</v>
      </c>
      <c r="V220" s="303">
        <v>1.81</v>
      </c>
      <c r="W220" s="303">
        <v>1.81</v>
      </c>
      <c r="X220" s="303">
        <v>1.81</v>
      </c>
      <c r="Y220" s="303">
        <v>1.81</v>
      </c>
      <c r="Z220" s="59">
        <v>0</v>
      </c>
      <c r="AA220" s="59">
        <v>0</v>
      </c>
      <c r="AB220" s="59">
        <v>0</v>
      </c>
      <c r="AC220" s="59">
        <v>0</v>
      </c>
      <c r="AD220" s="59">
        <v>0</v>
      </c>
      <c r="AE220" s="59">
        <v>0</v>
      </c>
      <c r="AF220" s="59">
        <v>0</v>
      </c>
      <c r="AG220" s="59">
        <v>0</v>
      </c>
      <c r="AH220" s="59">
        <v>0</v>
      </c>
      <c r="AI220" s="59">
        <v>0</v>
      </c>
      <c r="AJ220" s="59">
        <v>0</v>
      </c>
      <c r="AK220" s="59">
        <v>0</v>
      </c>
      <c r="AL220" s="270"/>
      <c r="AM220" s="254">
        <f t="shared" si="24"/>
        <v>0</v>
      </c>
      <c r="AN220" s="270"/>
      <c r="AO220" s="254">
        <f t="shared" si="25"/>
        <v>0</v>
      </c>
      <c r="AP220" s="270"/>
      <c r="AQ220" s="254">
        <f t="shared" si="26"/>
        <v>0</v>
      </c>
      <c r="AR220" s="256"/>
      <c r="AS220" s="257">
        <f t="shared" si="27"/>
        <v>0</v>
      </c>
      <c r="AT220" s="382">
        <v>120</v>
      </c>
      <c r="AU220" s="257">
        <f t="shared" si="28"/>
        <v>0</v>
      </c>
      <c r="AV220" s="382"/>
      <c r="AW220" s="257">
        <f t="shared" si="29"/>
        <v>0</v>
      </c>
      <c r="AX220" s="268"/>
      <c r="AY220" s="257">
        <f t="shared" si="30"/>
        <v>0</v>
      </c>
      <c r="AZ220" s="268"/>
      <c r="BA220" s="257">
        <f t="shared" si="31"/>
        <v>0</v>
      </c>
      <c r="BB220" s="268"/>
      <c r="BC220" s="257">
        <f t="shared" si="32"/>
        <v>0</v>
      </c>
      <c r="BD220" s="268"/>
      <c r="BE220" s="257">
        <f t="shared" si="33"/>
        <v>0</v>
      </c>
      <c r="BF220" s="59"/>
      <c r="BG220" s="257">
        <f t="shared" si="34"/>
        <v>0</v>
      </c>
      <c r="BH220" s="59"/>
      <c r="BI220" s="257">
        <f t="shared" si="35"/>
        <v>0</v>
      </c>
      <c r="BJ220" s="1"/>
      <c r="BK220" s="1"/>
      <c r="BL220" s="1" t="s">
        <v>457</v>
      </c>
      <c r="BM220" s="1" t="s">
        <v>1025</v>
      </c>
    </row>
    <row r="221" spans="1:65" s="14" customFormat="1" ht="15.75" customHeight="1">
      <c r="A221" s="250" t="s">
        <v>951</v>
      </c>
      <c r="B221" s="59" t="s">
        <v>1014</v>
      </c>
      <c r="C221" s="354" t="s">
        <v>172</v>
      </c>
      <c r="D221" s="424"/>
      <c r="E221" s="357" t="s">
        <v>214</v>
      </c>
      <c r="F221" s="421"/>
      <c r="G221" s="317">
        <v>2026</v>
      </c>
      <c r="H221" s="59" t="s">
        <v>1024</v>
      </c>
      <c r="I221" s="315" t="s">
        <v>367</v>
      </c>
      <c r="J221" s="318" t="s">
        <v>217</v>
      </c>
      <c r="K221" s="59" t="s">
        <v>1016</v>
      </c>
      <c r="L221" s="59" t="s">
        <v>177</v>
      </c>
      <c r="M221" s="303" t="s">
        <v>1019</v>
      </c>
      <c r="N221" s="303">
        <v>1.81</v>
      </c>
      <c r="O221" s="303">
        <v>1.81</v>
      </c>
      <c r="P221" s="303">
        <v>1.81</v>
      </c>
      <c r="Q221" s="303">
        <v>1.81</v>
      </c>
      <c r="R221" s="303">
        <v>1.81</v>
      </c>
      <c r="S221" s="303">
        <v>1.81</v>
      </c>
      <c r="T221" s="303">
        <v>1.81</v>
      </c>
      <c r="U221" s="303">
        <v>1.81</v>
      </c>
      <c r="V221" s="303">
        <v>1.81</v>
      </c>
      <c r="W221" s="303">
        <v>1.81</v>
      </c>
      <c r="X221" s="303">
        <v>1.81</v>
      </c>
      <c r="Y221" s="303">
        <v>1.81</v>
      </c>
      <c r="Z221" s="59">
        <v>0</v>
      </c>
      <c r="AA221" s="59">
        <v>0</v>
      </c>
      <c r="AB221" s="59">
        <v>0</v>
      </c>
      <c r="AC221" s="59">
        <v>0</v>
      </c>
      <c r="AD221" s="59">
        <v>0</v>
      </c>
      <c r="AE221" s="59">
        <v>0</v>
      </c>
      <c r="AF221" s="59">
        <v>0</v>
      </c>
      <c r="AG221" s="59">
        <v>0</v>
      </c>
      <c r="AH221" s="59">
        <v>0</v>
      </c>
      <c r="AI221" s="59">
        <v>0</v>
      </c>
      <c r="AJ221" s="59">
        <v>0</v>
      </c>
      <c r="AK221" s="59">
        <v>0</v>
      </c>
      <c r="AL221" s="270"/>
      <c r="AM221" s="254">
        <f t="shared" si="24"/>
        <v>0</v>
      </c>
      <c r="AN221" s="270"/>
      <c r="AO221" s="254">
        <f t="shared" si="25"/>
        <v>0</v>
      </c>
      <c r="AP221" s="270"/>
      <c r="AQ221" s="254">
        <f t="shared" si="26"/>
        <v>0</v>
      </c>
      <c r="AR221" s="256"/>
      <c r="AS221" s="257">
        <f t="shared" si="27"/>
        <v>0</v>
      </c>
      <c r="AT221" s="382">
        <v>60</v>
      </c>
      <c r="AU221" s="257">
        <f t="shared" si="28"/>
        <v>0</v>
      </c>
      <c r="AV221" s="382"/>
      <c r="AW221" s="257">
        <f t="shared" si="29"/>
        <v>0</v>
      </c>
      <c r="AX221" s="268"/>
      <c r="AY221" s="257">
        <f t="shared" si="30"/>
        <v>0</v>
      </c>
      <c r="AZ221" s="268"/>
      <c r="BA221" s="257">
        <f t="shared" si="31"/>
        <v>0</v>
      </c>
      <c r="BB221" s="268"/>
      <c r="BC221" s="257">
        <f t="shared" si="32"/>
        <v>0</v>
      </c>
      <c r="BD221" s="268"/>
      <c r="BE221" s="257">
        <f t="shared" si="33"/>
        <v>0</v>
      </c>
      <c r="BF221" s="59"/>
      <c r="BG221" s="257">
        <f t="shared" si="34"/>
        <v>0</v>
      </c>
      <c r="BH221" s="59"/>
      <c r="BI221" s="257">
        <f t="shared" si="35"/>
        <v>0</v>
      </c>
      <c r="BJ221" s="1"/>
      <c r="BK221" s="1"/>
      <c r="BL221" s="1" t="s">
        <v>457</v>
      </c>
      <c r="BM221" s="1" t="s">
        <v>1025</v>
      </c>
    </row>
    <row r="222" spans="1:65" s="14" customFormat="1" ht="15.75" customHeight="1">
      <c r="A222" s="250" t="s">
        <v>951</v>
      </c>
      <c r="B222" s="59" t="s">
        <v>1014</v>
      </c>
      <c r="C222" s="354" t="s">
        <v>172</v>
      </c>
      <c r="D222" s="424"/>
      <c r="E222" s="357" t="s">
        <v>214</v>
      </c>
      <c r="F222" s="421"/>
      <c r="G222" s="317">
        <v>2026</v>
      </c>
      <c r="H222" s="59" t="s">
        <v>1024</v>
      </c>
      <c r="I222" s="315" t="s">
        <v>367</v>
      </c>
      <c r="J222" s="318" t="s">
        <v>217</v>
      </c>
      <c r="K222" s="59" t="s">
        <v>1016</v>
      </c>
      <c r="L222" s="59" t="s">
        <v>177</v>
      </c>
      <c r="M222" s="303" t="s">
        <v>1020</v>
      </c>
      <c r="N222" s="303">
        <v>1.81</v>
      </c>
      <c r="O222" s="303">
        <v>1.81</v>
      </c>
      <c r="P222" s="303">
        <v>1.81</v>
      </c>
      <c r="Q222" s="303">
        <v>1.81</v>
      </c>
      <c r="R222" s="303">
        <v>1.81</v>
      </c>
      <c r="S222" s="303">
        <v>1.81</v>
      </c>
      <c r="T222" s="303">
        <v>1.81</v>
      </c>
      <c r="U222" s="303">
        <v>1.81</v>
      </c>
      <c r="V222" s="303">
        <v>1.81</v>
      </c>
      <c r="W222" s="303">
        <v>1.81</v>
      </c>
      <c r="X222" s="303">
        <v>1.81</v>
      </c>
      <c r="Y222" s="303">
        <v>1.81</v>
      </c>
      <c r="Z222" s="59">
        <v>0</v>
      </c>
      <c r="AA222" s="59">
        <v>0</v>
      </c>
      <c r="AB222" s="59">
        <v>0</v>
      </c>
      <c r="AC222" s="59">
        <v>0</v>
      </c>
      <c r="AD222" s="59">
        <v>0</v>
      </c>
      <c r="AE222" s="59">
        <v>0</v>
      </c>
      <c r="AF222" s="59">
        <v>0</v>
      </c>
      <c r="AG222" s="59">
        <v>0</v>
      </c>
      <c r="AH222" s="59">
        <v>0</v>
      </c>
      <c r="AI222" s="59">
        <v>0</v>
      </c>
      <c r="AJ222" s="59">
        <v>0</v>
      </c>
      <c r="AK222" s="59">
        <v>0</v>
      </c>
      <c r="AL222" s="270"/>
      <c r="AM222" s="254">
        <f t="shared" si="24"/>
        <v>0</v>
      </c>
      <c r="AN222" s="270"/>
      <c r="AO222" s="254">
        <f t="shared" si="25"/>
        <v>0</v>
      </c>
      <c r="AP222" s="270"/>
      <c r="AQ222" s="254">
        <f t="shared" si="26"/>
        <v>0</v>
      </c>
      <c r="AR222" s="256"/>
      <c r="AS222" s="257">
        <f t="shared" si="27"/>
        <v>0</v>
      </c>
      <c r="AT222" s="382">
        <v>0</v>
      </c>
      <c r="AU222" s="257">
        <f t="shared" si="28"/>
        <v>0</v>
      </c>
      <c r="AV222" s="382"/>
      <c r="AW222" s="257">
        <f t="shared" si="29"/>
        <v>0</v>
      </c>
      <c r="AX222" s="268"/>
      <c r="AY222" s="257">
        <f t="shared" si="30"/>
        <v>0</v>
      </c>
      <c r="AZ222" s="268"/>
      <c r="BA222" s="257">
        <f t="shared" si="31"/>
        <v>0</v>
      </c>
      <c r="BB222" s="268"/>
      <c r="BC222" s="257">
        <f t="shared" si="32"/>
        <v>0</v>
      </c>
      <c r="BD222" s="268"/>
      <c r="BE222" s="257">
        <f t="shared" si="33"/>
        <v>0</v>
      </c>
      <c r="BF222" s="59"/>
      <c r="BG222" s="257">
        <f t="shared" si="34"/>
        <v>0</v>
      </c>
      <c r="BH222" s="59"/>
      <c r="BI222" s="257">
        <f t="shared" si="35"/>
        <v>0</v>
      </c>
      <c r="BJ222" s="1"/>
      <c r="BK222" s="1"/>
      <c r="BL222" s="1" t="s">
        <v>457</v>
      </c>
      <c r="BM222" s="1" t="s">
        <v>1025</v>
      </c>
    </row>
    <row r="223" spans="1:65" s="14" customFormat="1" ht="15.75" customHeight="1">
      <c r="A223" s="250" t="s">
        <v>951</v>
      </c>
      <c r="B223" s="59" t="s">
        <v>1014</v>
      </c>
      <c r="C223" s="354" t="s">
        <v>172</v>
      </c>
      <c r="D223" s="424"/>
      <c r="E223" s="357" t="s">
        <v>214</v>
      </c>
      <c r="F223" s="421"/>
      <c r="G223" s="317">
        <v>2026</v>
      </c>
      <c r="H223" s="59" t="s">
        <v>1024</v>
      </c>
      <c r="I223" s="315" t="s">
        <v>367</v>
      </c>
      <c r="J223" s="318" t="s">
        <v>217</v>
      </c>
      <c r="K223" s="59" t="s">
        <v>1016</v>
      </c>
      <c r="L223" s="59" t="s">
        <v>177</v>
      </c>
      <c r="M223" s="303" t="s">
        <v>1021</v>
      </c>
      <c r="N223" s="303">
        <v>1.81</v>
      </c>
      <c r="O223" s="303">
        <v>1.81</v>
      </c>
      <c r="P223" s="303">
        <v>1.81</v>
      </c>
      <c r="Q223" s="303">
        <v>1.81</v>
      </c>
      <c r="R223" s="303">
        <v>1.81</v>
      </c>
      <c r="S223" s="303">
        <v>1.81</v>
      </c>
      <c r="T223" s="303">
        <v>1.81</v>
      </c>
      <c r="U223" s="303">
        <v>1.81</v>
      </c>
      <c r="V223" s="303">
        <v>1.81</v>
      </c>
      <c r="W223" s="303">
        <v>1.81</v>
      </c>
      <c r="X223" s="303">
        <v>1.81</v>
      </c>
      <c r="Y223" s="303">
        <v>1.81</v>
      </c>
      <c r="Z223" s="59">
        <v>0</v>
      </c>
      <c r="AA223" s="59">
        <v>0</v>
      </c>
      <c r="AB223" s="59">
        <v>0</v>
      </c>
      <c r="AC223" s="59">
        <v>0</v>
      </c>
      <c r="AD223" s="59">
        <v>0</v>
      </c>
      <c r="AE223" s="59">
        <v>0</v>
      </c>
      <c r="AF223" s="59">
        <v>0</v>
      </c>
      <c r="AG223" s="59">
        <v>0</v>
      </c>
      <c r="AH223" s="59">
        <v>0</v>
      </c>
      <c r="AI223" s="59">
        <v>0</v>
      </c>
      <c r="AJ223" s="59">
        <v>0</v>
      </c>
      <c r="AK223" s="59">
        <v>0</v>
      </c>
      <c r="AL223" s="270"/>
      <c r="AM223" s="254">
        <f t="shared" si="24"/>
        <v>0</v>
      </c>
      <c r="AN223" s="270"/>
      <c r="AO223" s="254">
        <f t="shared" si="25"/>
        <v>0</v>
      </c>
      <c r="AP223" s="270">
        <v>120</v>
      </c>
      <c r="AQ223" s="254">
        <f t="shared" si="26"/>
        <v>0</v>
      </c>
      <c r="AR223" s="256"/>
      <c r="AS223" s="257">
        <f t="shared" si="27"/>
        <v>0</v>
      </c>
      <c r="AT223" s="382">
        <v>0</v>
      </c>
      <c r="AU223" s="257">
        <f t="shared" si="28"/>
        <v>0</v>
      </c>
      <c r="AV223" s="382"/>
      <c r="AW223" s="257">
        <f t="shared" si="29"/>
        <v>0</v>
      </c>
      <c r="AX223" s="268"/>
      <c r="AY223" s="257">
        <f t="shared" si="30"/>
        <v>0</v>
      </c>
      <c r="AZ223" s="268"/>
      <c r="BA223" s="257">
        <f t="shared" si="31"/>
        <v>0</v>
      </c>
      <c r="BB223" s="268"/>
      <c r="BC223" s="257">
        <f t="shared" si="32"/>
        <v>0</v>
      </c>
      <c r="BD223" s="268"/>
      <c r="BE223" s="257">
        <f t="shared" si="33"/>
        <v>0</v>
      </c>
      <c r="BF223" s="59"/>
      <c r="BG223" s="257">
        <f t="shared" si="34"/>
        <v>0</v>
      </c>
      <c r="BH223" s="59"/>
      <c r="BI223" s="257">
        <f t="shared" si="35"/>
        <v>0</v>
      </c>
      <c r="BJ223" s="1"/>
      <c r="BK223" s="1"/>
      <c r="BL223" s="1" t="s">
        <v>457</v>
      </c>
      <c r="BM223" s="1" t="s">
        <v>1025</v>
      </c>
    </row>
    <row r="224" spans="1:65" s="14" customFormat="1" ht="15.75" customHeight="1">
      <c r="A224" s="250" t="s">
        <v>951</v>
      </c>
      <c r="B224" s="59" t="s">
        <v>1014</v>
      </c>
      <c r="C224" s="354" t="s">
        <v>172</v>
      </c>
      <c r="D224" s="424"/>
      <c r="E224" s="357" t="s">
        <v>214</v>
      </c>
      <c r="F224" s="421"/>
      <c r="G224" s="317">
        <v>2026</v>
      </c>
      <c r="H224" s="59" t="s">
        <v>1024</v>
      </c>
      <c r="I224" s="315" t="s">
        <v>367</v>
      </c>
      <c r="J224" s="318" t="s">
        <v>217</v>
      </c>
      <c r="K224" s="59" t="s">
        <v>1016</v>
      </c>
      <c r="L224" s="59" t="s">
        <v>177</v>
      </c>
      <c r="M224" s="303" t="s">
        <v>1022</v>
      </c>
      <c r="N224" s="303">
        <v>1.81</v>
      </c>
      <c r="O224" s="303">
        <v>1.81</v>
      </c>
      <c r="P224" s="303">
        <v>1.81</v>
      </c>
      <c r="Q224" s="303">
        <v>1.81</v>
      </c>
      <c r="R224" s="303">
        <v>1.81</v>
      </c>
      <c r="S224" s="303">
        <v>1.81</v>
      </c>
      <c r="T224" s="303">
        <v>1.81</v>
      </c>
      <c r="U224" s="303">
        <v>1.81</v>
      </c>
      <c r="V224" s="303">
        <v>1.81</v>
      </c>
      <c r="W224" s="303">
        <v>1.81</v>
      </c>
      <c r="X224" s="303">
        <v>1.81</v>
      </c>
      <c r="Y224" s="303">
        <v>1.81</v>
      </c>
      <c r="Z224" s="59">
        <v>0</v>
      </c>
      <c r="AA224" s="59">
        <v>0</v>
      </c>
      <c r="AB224" s="59">
        <v>0</v>
      </c>
      <c r="AC224" s="59">
        <v>0</v>
      </c>
      <c r="AD224" s="59">
        <v>0</v>
      </c>
      <c r="AE224" s="59">
        <v>0</v>
      </c>
      <c r="AF224" s="59">
        <v>0</v>
      </c>
      <c r="AG224" s="59">
        <v>0</v>
      </c>
      <c r="AH224" s="59">
        <v>0</v>
      </c>
      <c r="AI224" s="59">
        <v>0</v>
      </c>
      <c r="AJ224" s="59">
        <v>0</v>
      </c>
      <c r="AK224" s="59">
        <v>0</v>
      </c>
      <c r="AL224" s="270"/>
      <c r="AM224" s="254">
        <f t="shared" si="24"/>
        <v>0</v>
      </c>
      <c r="AN224" s="270"/>
      <c r="AO224" s="254">
        <f t="shared" si="25"/>
        <v>0</v>
      </c>
      <c r="AP224" s="270"/>
      <c r="AQ224" s="254">
        <f t="shared" si="26"/>
        <v>0</v>
      </c>
      <c r="AR224" s="256"/>
      <c r="AS224" s="257">
        <f t="shared" si="27"/>
        <v>0</v>
      </c>
      <c r="AT224" s="382">
        <v>120</v>
      </c>
      <c r="AU224" s="257">
        <f t="shared" si="28"/>
        <v>0</v>
      </c>
      <c r="AV224" s="382"/>
      <c r="AW224" s="257">
        <f t="shared" si="29"/>
        <v>0</v>
      </c>
      <c r="AX224" s="268"/>
      <c r="AY224" s="257">
        <f t="shared" si="30"/>
        <v>0</v>
      </c>
      <c r="AZ224" s="268"/>
      <c r="BA224" s="257">
        <f t="shared" si="31"/>
        <v>0</v>
      </c>
      <c r="BB224" s="268"/>
      <c r="BC224" s="257">
        <f t="shared" si="32"/>
        <v>0</v>
      </c>
      <c r="BD224" s="268"/>
      <c r="BE224" s="257">
        <f t="shared" si="33"/>
        <v>0</v>
      </c>
      <c r="BF224" s="59"/>
      <c r="BG224" s="257">
        <f t="shared" si="34"/>
        <v>0</v>
      </c>
      <c r="BH224" s="59"/>
      <c r="BI224" s="257">
        <f t="shared" si="35"/>
        <v>0</v>
      </c>
      <c r="BJ224" s="1"/>
      <c r="BK224" s="1"/>
      <c r="BL224" s="1" t="s">
        <v>457</v>
      </c>
      <c r="BM224" s="1" t="s">
        <v>1025</v>
      </c>
    </row>
    <row r="225" spans="1:65" s="14" customFormat="1" ht="15.75" customHeight="1">
      <c r="A225" s="250" t="s">
        <v>951</v>
      </c>
      <c r="B225" s="59" t="s">
        <v>1014</v>
      </c>
      <c r="C225" s="354" t="s">
        <v>172</v>
      </c>
      <c r="D225" s="424"/>
      <c r="E225" s="357" t="s">
        <v>214</v>
      </c>
      <c r="F225" s="421"/>
      <c r="G225" s="317">
        <v>2026</v>
      </c>
      <c r="H225" s="59" t="s">
        <v>1024</v>
      </c>
      <c r="I225" s="315" t="s">
        <v>367</v>
      </c>
      <c r="J225" s="318" t="s">
        <v>217</v>
      </c>
      <c r="K225" s="59" t="s">
        <v>1016</v>
      </c>
      <c r="L225" s="59" t="s">
        <v>177</v>
      </c>
      <c r="M225" s="303" t="s">
        <v>1026</v>
      </c>
      <c r="N225" s="303">
        <v>1.99</v>
      </c>
      <c r="O225" s="303">
        <v>1.99</v>
      </c>
      <c r="P225" s="303">
        <v>1.99</v>
      </c>
      <c r="Q225" s="303">
        <v>1.99</v>
      </c>
      <c r="R225" s="303">
        <v>1.99</v>
      </c>
      <c r="S225" s="303">
        <v>1.99</v>
      </c>
      <c r="T225" s="303">
        <v>1.99</v>
      </c>
      <c r="U225" s="303">
        <v>1.99</v>
      </c>
      <c r="V225" s="303">
        <v>1.99</v>
      </c>
      <c r="W225" s="303">
        <v>1.99</v>
      </c>
      <c r="X225" s="303">
        <v>1.99</v>
      </c>
      <c r="Y225" s="303">
        <v>1.99</v>
      </c>
      <c r="Z225" s="59">
        <v>0</v>
      </c>
      <c r="AA225" s="59">
        <v>0</v>
      </c>
      <c r="AB225" s="59">
        <v>0</v>
      </c>
      <c r="AC225" s="59">
        <v>0</v>
      </c>
      <c r="AD225" s="59">
        <v>0</v>
      </c>
      <c r="AE225" s="59">
        <v>0</v>
      </c>
      <c r="AF225" s="59">
        <v>0</v>
      </c>
      <c r="AG225" s="59">
        <v>0</v>
      </c>
      <c r="AH225" s="59">
        <v>0</v>
      </c>
      <c r="AI225" s="59">
        <v>0</v>
      </c>
      <c r="AJ225" s="59">
        <v>0</v>
      </c>
      <c r="AK225" s="59">
        <v>0</v>
      </c>
      <c r="AL225" s="270"/>
      <c r="AM225" s="254">
        <f t="shared" si="24"/>
        <v>0</v>
      </c>
      <c r="AN225" s="270"/>
      <c r="AO225" s="254">
        <f t="shared" si="25"/>
        <v>0</v>
      </c>
      <c r="AP225" s="270"/>
      <c r="AQ225" s="254">
        <f t="shared" si="26"/>
        <v>0</v>
      </c>
      <c r="AR225" s="256"/>
      <c r="AS225" s="257">
        <f t="shared" si="27"/>
        <v>0</v>
      </c>
      <c r="AT225" s="382"/>
      <c r="AU225" s="257">
        <f t="shared" si="28"/>
        <v>0</v>
      </c>
      <c r="AV225" s="382"/>
      <c r="AW225" s="257">
        <f t="shared" si="29"/>
        <v>0</v>
      </c>
      <c r="AX225" s="268"/>
      <c r="AY225" s="257">
        <f t="shared" si="30"/>
        <v>0</v>
      </c>
      <c r="AZ225" s="268"/>
      <c r="BA225" s="257">
        <f t="shared" si="31"/>
        <v>0</v>
      </c>
      <c r="BB225" s="268"/>
      <c r="BC225" s="257">
        <f t="shared" si="32"/>
        <v>0</v>
      </c>
      <c r="BD225" s="268"/>
      <c r="BE225" s="257">
        <f t="shared" si="33"/>
        <v>0</v>
      </c>
      <c r="BF225" s="59"/>
      <c r="BG225" s="257">
        <f t="shared" si="34"/>
        <v>0</v>
      </c>
      <c r="BH225" s="59"/>
      <c r="BI225" s="257">
        <f t="shared" si="35"/>
        <v>0</v>
      </c>
      <c r="BJ225" s="1"/>
      <c r="BK225" s="1"/>
      <c r="BL225" s="1" t="s">
        <v>457</v>
      </c>
      <c r="BM225" s="1" t="s">
        <v>1025</v>
      </c>
    </row>
    <row r="226" spans="1:65" s="14" customFormat="1" ht="15.75" customHeight="1">
      <c r="A226" s="250" t="s">
        <v>951</v>
      </c>
      <c r="B226" s="59" t="s">
        <v>1014</v>
      </c>
      <c r="C226" s="354" t="s">
        <v>172</v>
      </c>
      <c r="D226" s="424"/>
      <c r="E226" s="357" t="s">
        <v>214</v>
      </c>
      <c r="F226" s="421"/>
      <c r="G226" s="317">
        <v>2026</v>
      </c>
      <c r="H226" s="59" t="s">
        <v>1024</v>
      </c>
      <c r="I226" s="315" t="s">
        <v>367</v>
      </c>
      <c r="J226" s="318" t="s">
        <v>217</v>
      </c>
      <c r="K226" s="59" t="s">
        <v>1016</v>
      </c>
      <c r="L226" s="59" t="s">
        <v>177</v>
      </c>
      <c r="M226" s="303" t="s">
        <v>1023</v>
      </c>
      <c r="N226" s="303">
        <v>1.99</v>
      </c>
      <c r="O226" s="303">
        <v>1.99</v>
      </c>
      <c r="P226" s="303">
        <v>1.99</v>
      </c>
      <c r="Q226" s="303">
        <v>1.99</v>
      </c>
      <c r="R226" s="401">
        <v>2.09</v>
      </c>
      <c r="S226" s="401">
        <v>2.09</v>
      </c>
      <c r="T226" s="401">
        <v>2.09</v>
      </c>
      <c r="U226" s="401">
        <v>2.09</v>
      </c>
      <c r="V226" s="401">
        <v>2.09</v>
      </c>
      <c r="W226" s="401">
        <v>2.09</v>
      </c>
      <c r="X226" s="401">
        <v>2.09</v>
      </c>
      <c r="Y226" s="401">
        <v>2.09</v>
      </c>
      <c r="Z226" s="59">
        <v>0</v>
      </c>
      <c r="AA226" s="59">
        <v>0</v>
      </c>
      <c r="AB226" s="59">
        <v>0</v>
      </c>
      <c r="AC226" s="59">
        <v>0</v>
      </c>
      <c r="AD226" s="402">
        <v>0.1</v>
      </c>
      <c r="AE226" s="402">
        <v>0.1</v>
      </c>
      <c r="AF226" s="402">
        <v>0.1</v>
      </c>
      <c r="AG226" s="402">
        <v>0.1</v>
      </c>
      <c r="AH226" s="402">
        <v>0.1</v>
      </c>
      <c r="AI226" s="402">
        <v>0.1</v>
      </c>
      <c r="AJ226" s="402">
        <v>0.1</v>
      </c>
      <c r="AK226" s="402">
        <v>0.1</v>
      </c>
      <c r="AL226" s="270"/>
      <c r="AM226" s="254">
        <f t="shared" si="24"/>
        <v>0</v>
      </c>
      <c r="AN226" s="270"/>
      <c r="AO226" s="254">
        <f t="shared" si="25"/>
        <v>0</v>
      </c>
      <c r="AP226" s="270"/>
      <c r="AQ226" s="254">
        <f t="shared" si="26"/>
        <v>0</v>
      </c>
      <c r="AR226" s="256"/>
      <c r="AS226" s="257">
        <f t="shared" si="27"/>
        <v>0</v>
      </c>
      <c r="AT226" s="382"/>
      <c r="AU226" s="257">
        <f t="shared" si="28"/>
        <v>0</v>
      </c>
      <c r="AV226" s="382"/>
      <c r="AW226" s="257">
        <f t="shared" si="29"/>
        <v>0</v>
      </c>
      <c r="AX226" s="268"/>
      <c r="AY226" s="257">
        <f t="shared" si="30"/>
        <v>0</v>
      </c>
      <c r="AZ226" s="268"/>
      <c r="BA226" s="257">
        <f t="shared" si="31"/>
        <v>0</v>
      </c>
      <c r="BB226" s="268"/>
      <c r="BC226" s="257">
        <f t="shared" si="32"/>
        <v>0</v>
      </c>
      <c r="BD226" s="268"/>
      <c r="BE226" s="257">
        <f t="shared" si="33"/>
        <v>0</v>
      </c>
      <c r="BF226" s="59"/>
      <c r="BG226" s="257">
        <f t="shared" si="34"/>
        <v>0</v>
      </c>
      <c r="BH226" s="59"/>
      <c r="BI226" s="257">
        <f t="shared" si="35"/>
        <v>0</v>
      </c>
      <c r="BJ226" s="1"/>
      <c r="BK226" s="1"/>
      <c r="BL226" s="1" t="s">
        <v>457</v>
      </c>
      <c r="BM226" s="1" t="s">
        <v>1025</v>
      </c>
    </row>
    <row r="227" spans="1:65" s="14" customFormat="1" ht="15.75" customHeight="1">
      <c r="A227" s="250" t="s">
        <v>951</v>
      </c>
      <c r="B227" s="59" t="s">
        <v>1014</v>
      </c>
      <c r="C227" s="354" t="s">
        <v>172</v>
      </c>
      <c r="D227" s="424"/>
      <c r="E227" s="357" t="s">
        <v>214</v>
      </c>
      <c r="F227" s="421"/>
      <c r="G227" s="317">
        <v>2026</v>
      </c>
      <c r="H227" s="59" t="s">
        <v>1027</v>
      </c>
      <c r="I227" s="315" t="s">
        <v>1028</v>
      </c>
      <c r="J227" s="318" t="s">
        <v>217</v>
      </c>
      <c r="K227" s="59" t="s">
        <v>1016</v>
      </c>
      <c r="L227" s="59" t="s">
        <v>177</v>
      </c>
      <c r="M227" s="303" t="s">
        <v>1017</v>
      </c>
      <c r="N227" s="303">
        <v>6.08</v>
      </c>
      <c r="O227" s="303">
        <v>6.08</v>
      </c>
      <c r="P227" s="303">
        <v>6.08</v>
      </c>
      <c r="Q227" s="303">
        <v>6.08</v>
      </c>
      <c r="R227" s="401">
        <v>6.72</v>
      </c>
      <c r="S227" s="401">
        <v>6.72</v>
      </c>
      <c r="T227" s="401">
        <v>6.72</v>
      </c>
      <c r="U227" s="401">
        <v>6.72</v>
      </c>
      <c r="V227" s="401">
        <v>6.72</v>
      </c>
      <c r="W227" s="401">
        <v>6.72</v>
      </c>
      <c r="X227" s="401">
        <v>6.72</v>
      </c>
      <c r="Y227" s="401">
        <v>6.72</v>
      </c>
      <c r="Z227" s="59">
        <v>9.9999999999999645E-2</v>
      </c>
      <c r="AA227" s="59">
        <v>9.9999999999999645E-2</v>
      </c>
      <c r="AB227" s="59">
        <v>9.9999999999999645E-2</v>
      </c>
      <c r="AC227" s="59">
        <v>9.9999999999999645E-2</v>
      </c>
      <c r="AD227" s="402">
        <v>0.52999999999999936</v>
      </c>
      <c r="AE227" s="402">
        <v>0.52999999999999936</v>
      </c>
      <c r="AF227" s="402">
        <v>0.52999999999999936</v>
      </c>
      <c r="AG227" s="402">
        <v>0.52999999999999936</v>
      </c>
      <c r="AH227" s="402">
        <v>0.52999999999999936</v>
      </c>
      <c r="AI227" s="402">
        <v>0.52999999999999936</v>
      </c>
      <c r="AJ227" s="402">
        <v>0.52999999999999936</v>
      </c>
      <c r="AK227" s="402">
        <v>0.52999999999999936</v>
      </c>
      <c r="AL227" s="270"/>
      <c r="AM227" s="254">
        <f t="shared" si="24"/>
        <v>0</v>
      </c>
      <c r="AN227" s="270"/>
      <c r="AO227" s="254">
        <f t="shared" si="25"/>
        <v>0</v>
      </c>
      <c r="AP227" s="270"/>
      <c r="AQ227" s="254">
        <f t="shared" si="26"/>
        <v>0</v>
      </c>
      <c r="AR227" s="256">
        <v>0</v>
      </c>
      <c r="AS227" s="257">
        <f t="shared" si="27"/>
        <v>0</v>
      </c>
      <c r="AT227" s="382">
        <v>0</v>
      </c>
      <c r="AU227" s="257">
        <f t="shared" si="28"/>
        <v>0</v>
      </c>
      <c r="AV227" s="382"/>
      <c r="AW227" s="257">
        <f t="shared" si="29"/>
        <v>0</v>
      </c>
      <c r="AX227" s="268"/>
      <c r="AY227" s="257">
        <f t="shared" si="30"/>
        <v>0</v>
      </c>
      <c r="AZ227" s="268"/>
      <c r="BA227" s="257">
        <f t="shared" si="31"/>
        <v>0</v>
      </c>
      <c r="BB227" s="268"/>
      <c r="BC227" s="257">
        <f t="shared" si="32"/>
        <v>0</v>
      </c>
      <c r="BD227" s="268"/>
      <c r="BE227" s="257">
        <f t="shared" si="33"/>
        <v>0</v>
      </c>
      <c r="BF227" s="59"/>
      <c r="BG227" s="257">
        <f t="shared" si="34"/>
        <v>0</v>
      </c>
      <c r="BH227" s="59"/>
      <c r="BI227" s="257">
        <f t="shared" si="35"/>
        <v>0</v>
      </c>
      <c r="BJ227" s="1"/>
      <c r="BK227" s="1"/>
      <c r="BL227" s="1" t="s">
        <v>457</v>
      </c>
      <c r="BM227" s="1" t="s">
        <v>1029</v>
      </c>
    </row>
    <row r="228" spans="1:65" s="14" customFormat="1" ht="15.75" customHeight="1">
      <c r="A228" s="250" t="s">
        <v>951</v>
      </c>
      <c r="B228" s="59" t="s">
        <v>1014</v>
      </c>
      <c r="C228" s="354" t="s">
        <v>172</v>
      </c>
      <c r="D228" s="424"/>
      <c r="E228" s="357" t="s">
        <v>214</v>
      </c>
      <c r="F228" s="421"/>
      <c r="G228" s="317">
        <v>2026</v>
      </c>
      <c r="H228" s="59" t="s">
        <v>1027</v>
      </c>
      <c r="I228" s="315" t="s">
        <v>1028</v>
      </c>
      <c r="J228" s="318" t="s">
        <v>217</v>
      </c>
      <c r="K228" s="59" t="s">
        <v>1016</v>
      </c>
      <c r="L228" s="59" t="s">
        <v>177</v>
      </c>
      <c r="M228" s="303" t="s">
        <v>455</v>
      </c>
      <c r="N228" s="303">
        <v>6.08</v>
      </c>
      <c r="O228" s="303">
        <v>6.08</v>
      </c>
      <c r="P228" s="303">
        <v>6.08</v>
      </c>
      <c r="Q228" s="303">
        <v>6.08</v>
      </c>
      <c r="R228" s="401">
        <v>6.72</v>
      </c>
      <c r="S228" s="401">
        <v>6.72</v>
      </c>
      <c r="T228" s="401">
        <v>6.72</v>
      </c>
      <c r="U228" s="401">
        <v>6.72</v>
      </c>
      <c r="V228" s="401">
        <v>6.72</v>
      </c>
      <c r="W228" s="401">
        <v>6.72</v>
      </c>
      <c r="X228" s="401">
        <v>6.72</v>
      </c>
      <c r="Y228" s="401">
        <v>6.72</v>
      </c>
      <c r="Z228" s="59">
        <v>9.9999999999999645E-2</v>
      </c>
      <c r="AA228" s="59">
        <v>9.9999999999999645E-2</v>
      </c>
      <c r="AB228" s="59">
        <v>9.9999999999999645E-2</v>
      </c>
      <c r="AC228" s="59">
        <v>9.9999999999999645E-2</v>
      </c>
      <c r="AD228" s="402">
        <v>0.52999999999999936</v>
      </c>
      <c r="AE228" s="402">
        <v>0.52999999999999936</v>
      </c>
      <c r="AF228" s="402">
        <v>0.52999999999999936</v>
      </c>
      <c r="AG228" s="402">
        <v>0.52999999999999936</v>
      </c>
      <c r="AH228" s="402">
        <v>0.52999999999999936</v>
      </c>
      <c r="AI228" s="402">
        <v>0.52999999999999936</v>
      </c>
      <c r="AJ228" s="402">
        <v>0.52999999999999936</v>
      </c>
      <c r="AK228" s="402">
        <v>0.52999999999999936</v>
      </c>
      <c r="AL228" s="270"/>
      <c r="AM228" s="254">
        <f t="shared" si="24"/>
        <v>0</v>
      </c>
      <c r="AN228" s="270"/>
      <c r="AO228" s="254">
        <f t="shared" si="25"/>
        <v>0</v>
      </c>
      <c r="AP228" s="270">
        <v>60</v>
      </c>
      <c r="AQ228" s="254">
        <f t="shared" si="26"/>
        <v>5.9999999999999787</v>
      </c>
      <c r="AR228" s="256">
        <v>1788</v>
      </c>
      <c r="AS228" s="257">
        <f t="shared" si="27"/>
        <v>178.79999999999936</v>
      </c>
      <c r="AT228" s="382">
        <v>5100</v>
      </c>
      <c r="AU228" s="257">
        <f t="shared" si="28"/>
        <v>2702.9999999999968</v>
      </c>
      <c r="AV228" s="382"/>
      <c r="AW228" s="257">
        <f t="shared" si="29"/>
        <v>0</v>
      </c>
      <c r="AX228" s="268"/>
      <c r="AY228" s="257">
        <f t="shared" si="30"/>
        <v>0</v>
      </c>
      <c r="AZ228" s="268"/>
      <c r="BA228" s="257">
        <f t="shared" si="31"/>
        <v>0</v>
      </c>
      <c r="BB228" s="268"/>
      <c r="BC228" s="257">
        <f t="shared" si="32"/>
        <v>0</v>
      </c>
      <c r="BD228" s="268"/>
      <c r="BE228" s="257">
        <f t="shared" si="33"/>
        <v>0</v>
      </c>
      <c r="BF228" s="59"/>
      <c r="BG228" s="257">
        <f t="shared" si="34"/>
        <v>0</v>
      </c>
      <c r="BH228" s="59"/>
      <c r="BI228" s="257">
        <f t="shared" si="35"/>
        <v>0</v>
      </c>
      <c r="BJ228" s="1"/>
      <c r="BK228" s="1"/>
      <c r="BL228" s="1" t="s">
        <v>457</v>
      </c>
      <c r="BM228" s="1" t="s">
        <v>1029</v>
      </c>
    </row>
    <row r="229" spans="1:65" s="14" customFormat="1" ht="15.75" customHeight="1">
      <c r="A229" s="250" t="s">
        <v>951</v>
      </c>
      <c r="B229" s="59" t="s">
        <v>1014</v>
      </c>
      <c r="C229" s="354" t="s">
        <v>172</v>
      </c>
      <c r="D229" s="424"/>
      <c r="E229" s="357" t="s">
        <v>214</v>
      </c>
      <c r="F229" s="421"/>
      <c r="G229" s="317">
        <v>2026</v>
      </c>
      <c r="H229" s="59" t="s">
        <v>1027</v>
      </c>
      <c r="I229" s="315" t="s">
        <v>1028</v>
      </c>
      <c r="J229" s="318" t="s">
        <v>217</v>
      </c>
      <c r="K229" s="59" t="s">
        <v>1016</v>
      </c>
      <c r="L229" s="59" t="s">
        <v>177</v>
      </c>
      <c r="M229" s="303" t="s">
        <v>1019</v>
      </c>
      <c r="N229" s="303">
        <v>6.08</v>
      </c>
      <c r="O229" s="303">
        <v>6.08</v>
      </c>
      <c r="P229" s="303">
        <v>6.08</v>
      </c>
      <c r="Q229" s="303">
        <v>6.08</v>
      </c>
      <c r="R229" s="401">
        <v>6.72</v>
      </c>
      <c r="S229" s="401">
        <v>6.72</v>
      </c>
      <c r="T229" s="401">
        <v>6.72</v>
      </c>
      <c r="U229" s="401">
        <v>6.72</v>
      </c>
      <c r="V229" s="401">
        <v>6.72</v>
      </c>
      <c r="W229" s="401">
        <v>6.72</v>
      </c>
      <c r="X229" s="401">
        <v>6.72</v>
      </c>
      <c r="Y229" s="401">
        <v>6.72</v>
      </c>
      <c r="Z229" s="59">
        <v>9.9999999999999645E-2</v>
      </c>
      <c r="AA229" s="59">
        <v>9.9999999999999645E-2</v>
      </c>
      <c r="AB229" s="59">
        <v>9.9999999999999645E-2</v>
      </c>
      <c r="AC229" s="59">
        <v>9.9999999999999645E-2</v>
      </c>
      <c r="AD229" s="402">
        <v>0.52999999999999936</v>
      </c>
      <c r="AE229" s="402">
        <v>0.52999999999999936</v>
      </c>
      <c r="AF229" s="402">
        <v>0.52999999999999936</v>
      </c>
      <c r="AG229" s="402">
        <v>0.52999999999999936</v>
      </c>
      <c r="AH229" s="402">
        <v>0.52999999999999936</v>
      </c>
      <c r="AI229" s="402">
        <v>0.52999999999999936</v>
      </c>
      <c r="AJ229" s="402">
        <v>0.52999999999999936</v>
      </c>
      <c r="AK229" s="402">
        <v>0.52999999999999936</v>
      </c>
      <c r="AL229" s="270"/>
      <c r="AM229" s="254">
        <f t="shared" si="24"/>
        <v>0</v>
      </c>
      <c r="AN229" s="270"/>
      <c r="AO229" s="254">
        <f t="shared" si="25"/>
        <v>0</v>
      </c>
      <c r="AP229" s="270"/>
      <c r="AQ229" s="254">
        <f t="shared" si="26"/>
        <v>0</v>
      </c>
      <c r="AR229" s="256">
        <v>0</v>
      </c>
      <c r="AS229" s="257">
        <f t="shared" si="27"/>
        <v>0</v>
      </c>
      <c r="AT229" s="382">
        <v>96</v>
      </c>
      <c r="AU229" s="257">
        <f t="shared" si="28"/>
        <v>50.879999999999939</v>
      </c>
      <c r="AV229" s="382"/>
      <c r="AW229" s="257">
        <f t="shared" si="29"/>
        <v>0</v>
      </c>
      <c r="AX229" s="268"/>
      <c r="AY229" s="257">
        <f t="shared" si="30"/>
        <v>0</v>
      </c>
      <c r="AZ229" s="268"/>
      <c r="BA229" s="257">
        <f t="shared" si="31"/>
        <v>0</v>
      </c>
      <c r="BB229" s="268"/>
      <c r="BC229" s="257">
        <f t="shared" si="32"/>
        <v>0</v>
      </c>
      <c r="BD229" s="268"/>
      <c r="BE229" s="257">
        <f t="shared" si="33"/>
        <v>0</v>
      </c>
      <c r="BF229" s="59"/>
      <c r="BG229" s="257">
        <f t="shared" si="34"/>
        <v>0</v>
      </c>
      <c r="BH229" s="59"/>
      <c r="BI229" s="257">
        <f t="shared" si="35"/>
        <v>0</v>
      </c>
      <c r="BJ229" s="1"/>
      <c r="BK229" s="1"/>
      <c r="BL229" s="1" t="s">
        <v>457</v>
      </c>
      <c r="BM229" s="1" t="s">
        <v>1029</v>
      </c>
    </row>
    <row r="230" spans="1:65" s="14" customFormat="1" ht="15.75" customHeight="1">
      <c r="A230" s="250" t="s">
        <v>951</v>
      </c>
      <c r="B230" s="59" t="s">
        <v>1014</v>
      </c>
      <c r="C230" s="354" t="s">
        <v>172</v>
      </c>
      <c r="D230" s="424"/>
      <c r="E230" s="357" t="s">
        <v>214</v>
      </c>
      <c r="F230" s="421"/>
      <c r="G230" s="317">
        <v>2026</v>
      </c>
      <c r="H230" s="59" t="s">
        <v>1027</v>
      </c>
      <c r="I230" s="315" t="s">
        <v>1028</v>
      </c>
      <c r="J230" s="318" t="s">
        <v>217</v>
      </c>
      <c r="K230" s="59" t="s">
        <v>1016</v>
      </c>
      <c r="L230" s="59" t="s">
        <v>177</v>
      </c>
      <c r="M230" s="303" t="s">
        <v>1020</v>
      </c>
      <c r="N230" s="303">
        <v>6.08</v>
      </c>
      <c r="O230" s="303">
        <v>6.08</v>
      </c>
      <c r="P230" s="303">
        <v>6.08</v>
      </c>
      <c r="Q230" s="303">
        <v>6.08</v>
      </c>
      <c r="R230" s="401">
        <v>6.72</v>
      </c>
      <c r="S230" s="401">
        <v>6.72</v>
      </c>
      <c r="T230" s="401">
        <v>6.72</v>
      </c>
      <c r="U230" s="401">
        <v>6.72</v>
      </c>
      <c r="V230" s="401">
        <v>6.72</v>
      </c>
      <c r="W230" s="401">
        <v>6.72</v>
      </c>
      <c r="X230" s="401">
        <v>6.72</v>
      </c>
      <c r="Y230" s="401">
        <v>6.72</v>
      </c>
      <c r="Z230" s="59">
        <v>9.9999999999999645E-2</v>
      </c>
      <c r="AA230" s="59">
        <v>9.9999999999999645E-2</v>
      </c>
      <c r="AB230" s="59">
        <v>9.9999999999999645E-2</v>
      </c>
      <c r="AC230" s="59">
        <v>9.9999999999999645E-2</v>
      </c>
      <c r="AD230" s="402">
        <v>0.52999999999999936</v>
      </c>
      <c r="AE230" s="402">
        <v>0.52999999999999936</v>
      </c>
      <c r="AF230" s="402">
        <v>0.52999999999999936</v>
      </c>
      <c r="AG230" s="402">
        <v>0.52999999999999936</v>
      </c>
      <c r="AH230" s="402">
        <v>0.52999999999999936</v>
      </c>
      <c r="AI230" s="402">
        <v>0.52999999999999936</v>
      </c>
      <c r="AJ230" s="402">
        <v>0.52999999999999936</v>
      </c>
      <c r="AK230" s="402">
        <v>0.52999999999999936</v>
      </c>
      <c r="AL230" s="270"/>
      <c r="AM230" s="254">
        <f t="shared" si="24"/>
        <v>0</v>
      </c>
      <c r="AN230" s="270"/>
      <c r="AO230" s="254">
        <f t="shared" si="25"/>
        <v>0</v>
      </c>
      <c r="AP230" s="270"/>
      <c r="AQ230" s="254">
        <f t="shared" si="26"/>
        <v>0</v>
      </c>
      <c r="AR230" s="256">
        <v>0</v>
      </c>
      <c r="AS230" s="257">
        <f t="shared" si="27"/>
        <v>0</v>
      </c>
      <c r="AT230" s="382">
        <v>0</v>
      </c>
      <c r="AU230" s="257">
        <f t="shared" si="28"/>
        <v>0</v>
      </c>
      <c r="AV230" s="382"/>
      <c r="AW230" s="257">
        <f t="shared" si="29"/>
        <v>0</v>
      </c>
      <c r="AX230" s="268"/>
      <c r="AY230" s="257">
        <f t="shared" si="30"/>
        <v>0</v>
      </c>
      <c r="AZ230" s="268"/>
      <c r="BA230" s="257">
        <f t="shared" si="31"/>
        <v>0</v>
      </c>
      <c r="BB230" s="268"/>
      <c r="BC230" s="257">
        <f t="shared" si="32"/>
        <v>0</v>
      </c>
      <c r="BD230" s="268"/>
      <c r="BE230" s="257">
        <f t="shared" si="33"/>
        <v>0</v>
      </c>
      <c r="BF230" s="59"/>
      <c r="BG230" s="257">
        <f t="shared" si="34"/>
        <v>0</v>
      </c>
      <c r="BH230" s="59"/>
      <c r="BI230" s="257">
        <f t="shared" si="35"/>
        <v>0</v>
      </c>
      <c r="BJ230" s="1"/>
      <c r="BK230" s="1"/>
      <c r="BL230" s="1" t="s">
        <v>457</v>
      </c>
      <c r="BM230" s="1" t="s">
        <v>1029</v>
      </c>
    </row>
    <row r="231" spans="1:65" s="14" customFormat="1" ht="15.75" customHeight="1">
      <c r="A231" s="250" t="s">
        <v>951</v>
      </c>
      <c r="B231" s="59" t="s">
        <v>1014</v>
      </c>
      <c r="C231" s="354" t="s">
        <v>172</v>
      </c>
      <c r="D231" s="424"/>
      <c r="E231" s="357" t="s">
        <v>214</v>
      </c>
      <c r="F231" s="421"/>
      <c r="G231" s="317">
        <v>2026</v>
      </c>
      <c r="H231" s="59" t="s">
        <v>1027</v>
      </c>
      <c r="I231" s="315" t="s">
        <v>1028</v>
      </c>
      <c r="J231" s="318" t="s">
        <v>217</v>
      </c>
      <c r="K231" s="59" t="s">
        <v>1016</v>
      </c>
      <c r="L231" s="59" t="s">
        <v>177</v>
      </c>
      <c r="M231" s="303" t="s">
        <v>1021</v>
      </c>
      <c r="N231" s="303">
        <v>6.08</v>
      </c>
      <c r="O231" s="303">
        <v>6.08</v>
      </c>
      <c r="P231" s="303">
        <v>6.08</v>
      </c>
      <c r="Q231" s="303">
        <v>6.08</v>
      </c>
      <c r="R231" s="401">
        <v>6.72</v>
      </c>
      <c r="S231" s="401">
        <v>6.72</v>
      </c>
      <c r="T231" s="401">
        <v>6.72</v>
      </c>
      <c r="U231" s="401">
        <v>6.72</v>
      </c>
      <c r="V231" s="401">
        <v>6.72</v>
      </c>
      <c r="W231" s="401">
        <v>6.72</v>
      </c>
      <c r="X231" s="401">
        <v>6.72</v>
      </c>
      <c r="Y231" s="401">
        <v>6.72</v>
      </c>
      <c r="Z231" s="59">
        <v>9.9999999999999645E-2</v>
      </c>
      <c r="AA231" s="59">
        <v>9.9999999999999645E-2</v>
      </c>
      <c r="AB231" s="59">
        <v>9.9999999999999645E-2</v>
      </c>
      <c r="AC231" s="59">
        <v>9.9999999999999645E-2</v>
      </c>
      <c r="AD231" s="402">
        <v>0.52999999999999936</v>
      </c>
      <c r="AE231" s="402">
        <v>0.52999999999999936</v>
      </c>
      <c r="AF231" s="402">
        <v>0.52999999999999936</v>
      </c>
      <c r="AG231" s="402">
        <v>0.52999999999999936</v>
      </c>
      <c r="AH231" s="402">
        <v>0.52999999999999936</v>
      </c>
      <c r="AI231" s="402">
        <v>0.52999999999999936</v>
      </c>
      <c r="AJ231" s="402">
        <v>0.52999999999999936</v>
      </c>
      <c r="AK231" s="402">
        <v>0.52999999999999936</v>
      </c>
      <c r="AL231" s="270"/>
      <c r="AM231" s="254">
        <f t="shared" si="24"/>
        <v>0</v>
      </c>
      <c r="AN231" s="270"/>
      <c r="AO231" s="254">
        <f t="shared" si="25"/>
        <v>0</v>
      </c>
      <c r="AP231" s="270"/>
      <c r="AQ231" s="254">
        <f t="shared" si="26"/>
        <v>0</v>
      </c>
      <c r="AR231" s="256">
        <v>444</v>
      </c>
      <c r="AS231" s="257">
        <f t="shared" si="27"/>
        <v>44.399999999999842</v>
      </c>
      <c r="AT231" s="382">
        <v>3744</v>
      </c>
      <c r="AU231" s="257">
        <f t="shared" si="28"/>
        <v>1984.3199999999977</v>
      </c>
      <c r="AV231" s="382"/>
      <c r="AW231" s="257">
        <f t="shared" si="29"/>
        <v>0</v>
      </c>
      <c r="AX231" s="268"/>
      <c r="AY231" s="257">
        <f t="shared" si="30"/>
        <v>0</v>
      </c>
      <c r="AZ231" s="268"/>
      <c r="BA231" s="257">
        <f t="shared" si="31"/>
        <v>0</v>
      </c>
      <c r="BB231" s="268"/>
      <c r="BC231" s="257">
        <f t="shared" si="32"/>
        <v>0</v>
      </c>
      <c r="BD231" s="268"/>
      <c r="BE231" s="257">
        <f t="shared" si="33"/>
        <v>0</v>
      </c>
      <c r="BF231" s="59"/>
      <c r="BG231" s="257">
        <f t="shared" si="34"/>
        <v>0</v>
      </c>
      <c r="BH231" s="59"/>
      <c r="BI231" s="257">
        <f t="shared" si="35"/>
        <v>0</v>
      </c>
      <c r="BJ231" s="1"/>
      <c r="BK231" s="1"/>
      <c r="BL231" s="1" t="s">
        <v>457</v>
      </c>
      <c r="BM231" s="1" t="s">
        <v>1029</v>
      </c>
    </row>
    <row r="232" spans="1:65" s="14" customFormat="1" ht="15.75" customHeight="1">
      <c r="A232" s="250" t="s">
        <v>951</v>
      </c>
      <c r="B232" s="59" t="s">
        <v>1014</v>
      </c>
      <c r="C232" s="354" t="s">
        <v>172</v>
      </c>
      <c r="D232" s="424"/>
      <c r="E232" s="357" t="s">
        <v>214</v>
      </c>
      <c r="F232" s="421"/>
      <c r="G232" s="317">
        <v>2026</v>
      </c>
      <c r="H232" s="59" t="s">
        <v>1027</v>
      </c>
      <c r="I232" s="315" t="s">
        <v>1028</v>
      </c>
      <c r="J232" s="318" t="s">
        <v>217</v>
      </c>
      <c r="K232" s="59" t="s">
        <v>1016</v>
      </c>
      <c r="L232" s="59" t="s">
        <v>177</v>
      </c>
      <c r="M232" s="303" t="s">
        <v>1022</v>
      </c>
      <c r="N232" s="303">
        <v>6.08</v>
      </c>
      <c r="O232" s="303">
        <v>6.08</v>
      </c>
      <c r="P232" s="303">
        <v>6.08</v>
      </c>
      <c r="Q232" s="303">
        <v>6.08</v>
      </c>
      <c r="R232" s="401">
        <v>6.72</v>
      </c>
      <c r="S232" s="401">
        <v>6.72</v>
      </c>
      <c r="T232" s="401">
        <v>6.72</v>
      </c>
      <c r="U232" s="401">
        <v>6.72</v>
      </c>
      <c r="V232" s="401">
        <v>6.72</v>
      </c>
      <c r="W232" s="401">
        <v>6.72</v>
      </c>
      <c r="X232" s="401">
        <v>6.72</v>
      </c>
      <c r="Y232" s="401">
        <v>6.72</v>
      </c>
      <c r="Z232" s="59">
        <v>9.9999999999999645E-2</v>
      </c>
      <c r="AA232" s="59">
        <v>9.9999999999999645E-2</v>
      </c>
      <c r="AB232" s="59">
        <v>9.9999999999999645E-2</v>
      </c>
      <c r="AC232" s="59">
        <v>9.9999999999999645E-2</v>
      </c>
      <c r="AD232" s="402">
        <v>0.52999999999999936</v>
      </c>
      <c r="AE232" s="402">
        <v>0.52999999999999936</v>
      </c>
      <c r="AF232" s="402">
        <v>0.52999999999999936</v>
      </c>
      <c r="AG232" s="402">
        <v>0.52999999999999936</v>
      </c>
      <c r="AH232" s="402">
        <v>0.52999999999999936</v>
      </c>
      <c r="AI232" s="402">
        <v>0.52999999999999936</v>
      </c>
      <c r="AJ232" s="402">
        <v>0.52999999999999936</v>
      </c>
      <c r="AK232" s="402">
        <v>0.52999999999999936</v>
      </c>
      <c r="AL232" s="270"/>
      <c r="AM232" s="254">
        <f t="shared" si="24"/>
        <v>0</v>
      </c>
      <c r="AN232" s="270"/>
      <c r="AO232" s="254">
        <f t="shared" si="25"/>
        <v>0</v>
      </c>
      <c r="AP232" s="270"/>
      <c r="AQ232" s="254">
        <f t="shared" si="26"/>
        <v>0</v>
      </c>
      <c r="AR232" s="256"/>
      <c r="AS232" s="257">
        <f t="shared" si="27"/>
        <v>0</v>
      </c>
      <c r="AT232" s="382"/>
      <c r="AU232" s="257">
        <f t="shared" si="28"/>
        <v>0</v>
      </c>
      <c r="AV232" s="382"/>
      <c r="AW232" s="257">
        <f t="shared" si="29"/>
        <v>0</v>
      </c>
      <c r="AX232" s="268"/>
      <c r="AY232" s="257">
        <f t="shared" si="30"/>
        <v>0</v>
      </c>
      <c r="AZ232" s="268"/>
      <c r="BA232" s="257">
        <f t="shared" si="31"/>
        <v>0</v>
      </c>
      <c r="BB232" s="268"/>
      <c r="BC232" s="257">
        <f t="shared" si="32"/>
        <v>0</v>
      </c>
      <c r="BD232" s="268"/>
      <c r="BE232" s="257">
        <f t="shared" si="33"/>
        <v>0</v>
      </c>
      <c r="BF232" s="59"/>
      <c r="BG232" s="257">
        <f t="shared" si="34"/>
        <v>0</v>
      </c>
      <c r="BH232" s="59"/>
      <c r="BI232" s="257">
        <f t="shared" si="35"/>
        <v>0</v>
      </c>
      <c r="BJ232" s="1"/>
      <c r="BK232" s="1"/>
      <c r="BL232" s="1" t="s">
        <v>457</v>
      </c>
      <c r="BM232" s="1" t="s">
        <v>1029</v>
      </c>
    </row>
    <row r="233" spans="1:65" s="14" customFormat="1" ht="15.75" customHeight="1">
      <c r="A233" s="250" t="s">
        <v>951</v>
      </c>
      <c r="B233" s="59" t="s">
        <v>1014</v>
      </c>
      <c r="C233" s="354" t="s">
        <v>172</v>
      </c>
      <c r="D233" s="424"/>
      <c r="E233" s="357" t="s">
        <v>214</v>
      </c>
      <c r="F233" s="421"/>
      <c r="G233" s="317">
        <v>2026</v>
      </c>
      <c r="H233" s="59" t="s">
        <v>1027</v>
      </c>
      <c r="I233" s="315" t="s">
        <v>1028</v>
      </c>
      <c r="J233" s="318" t="s">
        <v>217</v>
      </c>
      <c r="K233" s="59" t="s">
        <v>1016</v>
      </c>
      <c r="L233" s="59" t="s">
        <v>177</v>
      </c>
      <c r="M233" s="303" t="s">
        <v>600</v>
      </c>
      <c r="N233" s="303">
        <v>6.28</v>
      </c>
      <c r="O233" s="303">
        <v>6.28</v>
      </c>
      <c r="P233" s="303">
        <v>6.28</v>
      </c>
      <c r="Q233" s="303">
        <v>6.28</v>
      </c>
      <c r="R233" s="401">
        <v>6.92</v>
      </c>
      <c r="S233" s="401">
        <v>6.92</v>
      </c>
      <c r="T233" s="401">
        <v>6.92</v>
      </c>
      <c r="U233" s="401">
        <v>6.92</v>
      </c>
      <c r="V233" s="401">
        <v>6.92</v>
      </c>
      <c r="W233" s="401">
        <v>6.92</v>
      </c>
      <c r="X233" s="401">
        <v>6.92</v>
      </c>
      <c r="Y233" s="401">
        <v>6.92</v>
      </c>
      <c r="Z233" s="59">
        <v>0.10000000000000053</v>
      </c>
      <c r="AA233" s="59">
        <v>0.10000000000000053</v>
      </c>
      <c r="AB233" s="59">
        <v>0.10000000000000053</v>
      </c>
      <c r="AC233" s="59">
        <v>0.10000000000000053</v>
      </c>
      <c r="AD233" s="402">
        <v>0.52999999999999936</v>
      </c>
      <c r="AE233" s="402">
        <v>0.52999999999999936</v>
      </c>
      <c r="AF233" s="402">
        <v>0.52999999999999936</v>
      </c>
      <c r="AG233" s="402">
        <v>0.52999999999999936</v>
      </c>
      <c r="AH233" s="402">
        <v>0.52999999999999936</v>
      </c>
      <c r="AI233" s="402">
        <v>0.52999999999999936</v>
      </c>
      <c r="AJ233" s="402">
        <v>0.52999999999999936</v>
      </c>
      <c r="AK233" s="402">
        <v>0.52999999999999936</v>
      </c>
      <c r="AL233" s="270"/>
      <c r="AM233" s="254">
        <f t="shared" si="24"/>
        <v>0</v>
      </c>
      <c r="AN233" s="270"/>
      <c r="AO233" s="254">
        <f t="shared" si="25"/>
        <v>0</v>
      </c>
      <c r="AP233" s="270"/>
      <c r="AQ233" s="254">
        <f t="shared" si="26"/>
        <v>0</v>
      </c>
      <c r="AR233" s="256"/>
      <c r="AS233" s="257">
        <f t="shared" si="27"/>
        <v>0</v>
      </c>
      <c r="AT233" s="382"/>
      <c r="AU233" s="257">
        <f t="shared" si="28"/>
        <v>0</v>
      </c>
      <c r="AV233" s="382"/>
      <c r="AW233" s="257">
        <f t="shared" si="29"/>
        <v>0</v>
      </c>
      <c r="AX233" s="268"/>
      <c r="AY233" s="257">
        <f t="shared" si="30"/>
        <v>0</v>
      </c>
      <c r="AZ233" s="268"/>
      <c r="BA233" s="257">
        <f t="shared" si="31"/>
        <v>0</v>
      </c>
      <c r="BB233" s="268"/>
      <c r="BC233" s="257">
        <f t="shared" si="32"/>
        <v>0</v>
      </c>
      <c r="BD233" s="268"/>
      <c r="BE233" s="257">
        <f t="shared" si="33"/>
        <v>0</v>
      </c>
      <c r="BF233" s="59"/>
      <c r="BG233" s="257">
        <f t="shared" si="34"/>
        <v>0</v>
      </c>
      <c r="BH233" s="59"/>
      <c r="BI233" s="257">
        <f t="shared" si="35"/>
        <v>0</v>
      </c>
      <c r="BJ233" s="1"/>
      <c r="BK233" s="1"/>
      <c r="BL233" s="1" t="s">
        <v>457</v>
      </c>
      <c r="BM233" s="1" t="s">
        <v>1029</v>
      </c>
    </row>
    <row r="234" spans="1:65" s="14" customFormat="1" ht="15.75" customHeight="1">
      <c r="A234" s="250" t="s">
        <v>951</v>
      </c>
      <c r="B234" s="59" t="s">
        <v>1014</v>
      </c>
      <c r="C234" s="354" t="s">
        <v>172</v>
      </c>
      <c r="D234" s="424"/>
      <c r="E234" s="357" t="s">
        <v>214</v>
      </c>
      <c r="F234" s="421"/>
      <c r="G234" s="317">
        <v>2026</v>
      </c>
      <c r="H234" s="59" t="s">
        <v>1027</v>
      </c>
      <c r="I234" s="315" t="s">
        <v>1028</v>
      </c>
      <c r="J234" s="318" t="s">
        <v>217</v>
      </c>
      <c r="K234" s="59" t="s">
        <v>1016</v>
      </c>
      <c r="L234" s="59" t="s">
        <v>177</v>
      </c>
      <c r="M234" s="303" t="s">
        <v>1023</v>
      </c>
      <c r="N234" s="303">
        <v>6.76</v>
      </c>
      <c r="O234" s="303">
        <v>6.76</v>
      </c>
      <c r="P234" s="303">
        <v>6.76</v>
      </c>
      <c r="Q234" s="303">
        <v>6.76</v>
      </c>
      <c r="R234" s="401">
        <v>7.58</v>
      </c>
      <c r="S234" s="401">
        <v>7.58</v>
      </c>
      <c r="T234" s="401">
        <v>7.58</v>
      </c>
      <c r="U234" s="401">
        <v>7.58</v>
      </c>
      <c r="V234" s="401">
        <v>7.58</v>
      </c>
      <c r="W234" s="401">
        <v>7.58</v>
      </c>
      <c r="X234" s="401">
        <v>7.58</v>
      </c>
      <c r="Y234" s="401">
        <v>7.58</v>
      </c>
      <c r="Z234" s="59">
        <v>0.10000000000000053</v>
      </c>
      <c r="AA234" s="59">
        <v>0.10000000000000053</v>
      </c>
      <c r="AB234" s="59">
        <v>0.10000000000000053</v>
      </c>
      <c r="AC234" s="59">
        <v>0.10000000000000053</v>
      </c>
      <c r="AD234" s="402">
        <v>0.71</v>
      </c>
      <c r="AE234" s="402">
        <v>0.71</v>
      </c>
      <c r="AF234" s="402">
        <v>0.71</v>
      </c>
      <c r="AG234" s="402">
        <v>0.71</v>
      </c>
      <c r="AH234" s="402">
        <v>0.71</v>
      </c>
      <c r="AI234" s="402">
        <v>0.71</v>
      </c>
      <c r="AJ234" s="402">
        <v>0.71</v>
      </c>
      <c r="AK234" s="402">
        <v>0.71</v>
      </c>
      <c r="AL234" s="270"/>
      <c r="AM234" s="254">
        <f t="shared" si="24"/>
        <v>0</v>
      </c>
      <c r="AN234" s="270"/>
      <c r="AO234" s="254">
        <f t="shared" si="25"/>
        <v>0</v>
      </c>
      <c r="AP234" s="270"/>
      <c r="AQ234" s="254">
        <f t="shared" si="26"/>
        <v>0</v>
      </c>
      <c r="AR234" s="256"/>
      <c r="AS234" s="257">
        <f t="shared" si="27"/>
        <v>0</v>
      </c>
      <c r="AT234" s="382"/>
      <c r="AU234" s="257">
        <f t="shared" si="28"/>
        <v>0</v>
      </c>
      <c r="AV234" s="382"/>
      <c r="AW234" s="257">
        <f t="shared" si="29"/>
        <v>0</v>
      </c>
      <c r="AX234" s="268"/>
      <c r="AY234" s="257">
        <f t="shared" si="30"/>
        <v>0</v>
      </c>
      <c r="AZ234" s="268"/>
      <c r="BA234" s="257">
        <f t="shared" si="31"/>
        <v>0</v>
      </c>
      <c r="BB234" s="268"/>
      <c r="BC234" s="257">
        <f t="shared" si="32"/>
        <v>0</v>
      </c>
      <c r="BD234" s="268"/>
      <c r="BE234" s="257">
        <f t="shared" si="33"/>
        <v>0</v>
      </c>
      <c r="BF234" s="59"/>
      <c r="BG234" s="257">
        <f t="shared" si="34"/>
        <v>0</v>
      </c>
      <c r="BH234" s="59"/>
      <c r="BI234" s="257">
        <f t="shared" si="35"/>
        <v>0</v>
      </c>
      <c r="BJ234" s="1"/>
      <c r="BK234" s="1"/>
      <c r="BL234" s="1" t="s">
        <v>457</v>
      </c>
      <c r="BM234" s="1" t="s">
        <v>1029</v>
      </c>
    </row>
    <row r="235" spans="1:65" s="14" customFormat="1" ht="15.75" customHeight="1">
      <c r="A235" s="250" t="s">
        <v>951</v>
      </c>
      <c r="B235" s="59"/>
      <c r="C235" s="354"/>
      <c r="D235" s="424"/>
      <c r="E235" s="357"/>
      <c r="F235" s="421"/>
      <c r="G235" s="317"/>
      <c r="H235" s="59"/>
      <c r="I235" s="315"/>
      <c r="J235" s="318"/>
      <c r="K235" s="59"/>
      <c r="L235" s="59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  <c r="X235" s="303"/>
      <c r="Y235" s="303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255"/>
      <c r="AM235" s="254">
        <f t="shared" si="24"/>
        <v>0</v>
      </c>
      <c r="AN235" s="270"/>
      <c r="AO235" s="254">
        <f t="shared" si="25"/>
        <v>0</v>
      </c>
      <c r="AP235" s="270"/>
      <c r="AQ235" s="254">
        <f t="shared" si="26"/>
        <v>0</v>
      </c>
      <c r="AR235" s="256"/>
      <c r="AS235" s="257">
        <f t="shared" si="27"/>
        <v>0</v>
      </c>
      <c r="AT235" s="382"/>
      <c r="AU235" s="257">
        <f t="shared" si="28"/>
        <v>0</v>
      </c>
      <c r="AV235" s="268"/>
      <c r="AW235" s="257">
        <f t="shared" si="29"/>
        <v>0</v>
      </c>
      <c r="AX235" s="269"/>
      <c r="AY235" s="257">
        <f t="shared" si="30"/>
        <v>0</v>
      </c>
      <c r="AZ235" s="269"/>
      <c r="BA235" s="257">
        <f t="shared" si="31"/>
        <v>0</v>
      </c>
      <c r="BB235" s="269"/>
      <c r="BC235" s="257">
        <f t="shared" si="32"/>
        <v>0</v>
      </c>
      <c r="BD235" s="269"/>
      <c r="BE235" s="257">
        <f t="shared" si="33"/>
        <v>0</v>
      </c>
      <c r="BF235" s="60"/>
      <c r="BG235" s="257">
        <f t="shared" si="34"/>
        <v>0</v>
      </c>
      <c r="BH235" s="60"/>
      <c r="BI235" s="257">
        <f t="shared" si="35"/>
        <v>0</v>
      </c>
      <c r="BJ235" s="1"/>
      <c r="BK235" s="1"/>
      <c r="BL235" s="1"/>
      <c r="BM235" s="1"/>
    </row>
    <row r="236" spans="1:65" s="14" customFormat="1" ht="15.75" customHeight="1" thickBot="1">
      <c r="A236" s="250" t="s">
        <v>951</v>
      </c>
      <c r="B236" s="59"/>
      <c r="C236" s="354"/>
      <c r="D236" s="425"/>
      <c r="E236" s="358"/>
      <c r="F236" s="421"/>
      <c r="G236" s="317"/>
      <c r="H236" s="59"/>
      <c r="I236" s="315"/>
      <c r="J236" s="318"/>
      <c r="K236" s="59"/>
      <c r="L236" s="59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  <c r="X236" s="303"/>
      <c r="Y236" s="303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255"/>
      <c r="AM236" s="254">
        <f t="shared" si="24"/>
        <v>0</v>
      </c>
      <c r="AN236" s="270"/>
      <c r="AO236" s="254">
        <f t="shared" si="25"/>
        <v>0</v>
      </c>
      <c r="AP236" s="258"/>
      <c r="AQ236" s="254">
        <f t="shared" si="26"/>
        <v>0</v>
      </c>
      <c r="AR236" s="256"/>
      <c r="AS236" s="257">
        <f t="shared" si="27"/>
        <v>0</v>
      </c>
      <c r="AT236" s="382"/>
      <c r="AU236" s="257">
        <f t="shared" si="28"/>
        <v>0</v>
      </c>
      <c r="AV236" s="268"/>
      <c r="AW236" s="257">
        <f t="shared" si="29"/>
        <v>0</v>
      </c>
      <c r="AX236" s="269"/>
      <c r="AY236" s="257">
        <f t="shared" si="30"/>
        <v>0</v>
      </c>
      <c r="AZ236" s="269"/>
      <c r="BA236" s="257">
        <f t="shared" si="31"/>
        <v>0</v>
      </c>
      <c r="BB236" s="269"/>
      <c r="BC236" s="257">
        <f t="shared" si="32"/>
        <v>0</v>
      </c>
      <c r="BD236" s="60"/>
      <c r="BE236" s="257">
        <f t="shared" si="33"/>
        <v>0</v>
      </c>
      <c r="BF236" s="60"/>
      <c r="BG236" s="257">
        <f t="shared" si="34"/>
        <v>0</v>
      </c>
      <c r="BH236" s="60"/>
      <c r="BI236" s="257">
        <f t="shared" si="35"/>
        <v>0</v>
      </c>
      <c r="BJ236" s="1"/>
      <c r="BK236" s="1"/>
      <c r="BL236" s="1"/>
      <c r="BM236" s="1"/>
    </row>
    <row r="237" spans="1:65" ht="19.5" customHeight="1">
      <c r="A237" s="250" t="s">
        <v>951</v>
      </c>
      <c r="B237" s="59" t="s">
        <v>221</v>
      </c>
      <c r="C237" s="354" t="s">
        <v>172</v>
      </c>
      <c r="D237" s="475" t="s">
        <v>222</v>
      </c>
      <c r="E237" s="359" t="s">
        <v>173</v>
      </c>
      <c r="F237" s="421" t="s">
        <v>75</v>
      </c>
      <c r="G237" s="351" t="s">
        <v>228</v>
      </c>
      <c r="H237" s="323" t="s">
        <v>231</v>
      </c>
      <c r="I237" s="324" t="s">
        <v>183</v>
      </c>
      <c r="J237" s="325" t="s">
        <v>230</v>
      </c>
      <c r="K237" s="323" t="s">
        <v>208</v>
      </c>
      <c r="L237" s="323" t="s">
        <v>177</v>
      </c>
      <c r="M237" s="303" t="s">
        <v>624</v>
      </c>
      <c r="N237" s="303">
        <v>10.199999999999999</v>
      </c>
      <c r="O237" s="303">
        <v>10.199999999999999</v>
      </c>
      <c r="P237" s="303">
        <v>10.199999999999999</v>
      </c>
      <c r="Q237" s="303">
        <v>10.199999999999999</v>
      </c>
      <c r="R237" s="303">
        <v>10.199999999999999</v>
      </c>
      <c r="S237" s="303">
        <v>10.199999999999999</v>
      </c>
      <c r="T237" s="303">
        <v>10.199999999999999</v>
      </c>
      <c r="U237" s="303">
        <v>10.199999999999999</v>
      </c>
      <c r="V237" s="303">
        <v>10.199999999999999</v>
      </c>
      <c r="W237" s="303">
        <v>10.199999999999999</v>
      </c>
      <c r="X237" s="303">
        <v>10.199999999999999</v>
      </c>
      <c r="Y237" s="303">
        <v>10.199999999999999</v>
      </c>
      <c r="Z237" s="304">
        <v>0.3</v>
      </c>
      <c r="AA237" s="304">
        <v>0.3</v>
      </c>
      <c r="AB237" s="304">
        <v>0.3</v>
      </c>
      <c r="AC237" s="304">
        <v>0</v>
      </c>
      <c r="AD237" s="304">
        <v>0.3</v>
      </c>
      <c r="AE237" s="304">
        <v>0.3</v>
      </c>
      <c r="AF237" s="304">
        <v>0.3</v>
      </c>
      <c r="AG237" s="304">
        <v>0.3</v>
      </c>
      <c r="AH237" s="304">
        <v>0.3</v>
      </c>
      <c r="AI237" s="304">
        <v>0.3</v>
      </c>
      <c r="AJ237" s="304">
        <v>0.3</v>
      </c>
      <c r="AK237" s="304">
        <v>0.3</v>
      </c>
      <c r="AL237" s="260"/>
      <c r="AM237" s="254">
        <f t="shared" si="24"/>
        <v>0</v>
      </c>
      <c r="AN237" s="260"/>
      <c r="AO237" s="254">
        <f t="shared" si="25"/>
        <v>0</v>
      </c>
      <c r="AP237" s="260"/>
      <c r="AQ237" s="254">
        <f t="shared" si="26"/>
        <v>0</v>
      </c>
      <c r="AR237" s="256"/>
      <c r="AS237" s="257">
        <f t="shared" si="27"/>
        <v>0</v>
      </c>
      <c r="AT237" s="380"/>
      <c r="AU237" s="257">
        <f t="shared" si="28"/>
        <v>0</v>
      </c>
      <c r="AV237" s="268"/>
      <c r="AW237" s="257">
        <f t="shared" si="29"/>
        <v>0</v>
      </c>
      <c r="AX237" s="256"/>
      <c r="AY237" s="257">
        <f t="shared" si="30"/>
        <v>0</v>
      </c>
      <c r="AZ237" s="268"/>
      <c r="BA237" s="257">
        <f t="shared" si="31"/>
        <v>0</v>
      </c>
      <c r="BB237" s="274"/>
      <c r="BC237" s="257">
        <f t="shared" si="32"/>
        <v>0</v>
      </c>
      <c r="BD237" s="261"/>
      <c r="BE237" s="257">
        <f t="shared" si="33"/>
        <v>0</v>
      </c>
      <c r="BF237" s="261"/>
      <c r="BG237" s="257">
        <f t="shared" si="34"/>
        <v>0</v>
      </c>
      <c r="BH237" s="261"/>
      <c r="BI237" s="257">
        <f t="shared" si="35"/>
        <v>0</v>
      </c>
      <c r="BJ237" s="1" t="s">
        <v>625</v>
      </c>
      <c r="BL237" s="1" t="s">
        <v>457</v>
      </c>
      <c r="BM237" s="1" t="s">
        <v>626</v>
      </c>
    </row>
    <row r="238" spans="1:65" ht="16.5" customHeight="1">
      <c r="A238" s="250" t="s">
        <v>951</v>
      </c>
      <c r="B238" s="59" t="s">
        <v>221</v>
      </c>
      <c r="C238" s="354" t="s">
        <v>172</v>
      </c>
      <c r="D238" s="476"/>
      <c r="E238" s="359" t="s">
        <v>173</v>
      </c>
      <c r="F238" s="421"/>
      <c r="G238" s="351" t="s">
        <v>228</v>
      </c>
      <c r="H238" s="323" t="s">
        <v>231</v>
      </c>
      <c r="I238" s="324" t="s">
        <v>190</v>
      </c>
      <c r="J238" s="325" t="s">
        <v>230</v>
      </c>
      <c r="K238" s="323" t="s">
        <v>208</v>
      </c>
      <c r="L238" s="323" t="s">
        <v>177</v>
      </c>
      <c r="M238" s="303" t="s">
        <v>624</v>
      </c>
      <c r="N238" s="303">
        <v>5.3</v>
      </c>
      <c r="O238" s="303">
        <v>5.3</v>
      </c>
      <c r="P238" s="303">
        <v>5.3</v>
      </c>
      <c r="Q238" s="303">
        <v>5.3</v>
      </c>
      <c r="R238" s="303">
        <v>5.3</v>
      </c>
      <c r="S238" s="303">
        <v>5.3</v>
      </c>
      <c r="T238" s="303">
        <v>5.3</v>
      </c>
      <c r="U238" s="303">
        <v>5.3</v>
      </c>
      <c r="V238" s="303">
        <v>5.3</v>
      </c>
      <c r="W238" s="303">
        <v>5.3</v>
      </c>
      <c r="X238" s="303">
        <v>5.3</v>
      </c>
      <c r="Y238" s="303">
        <v>5.3</v>
      </c>
      <c r="Z238" s="304">
        <v>0</v>
      </c>
      <c r="AA238" s="304">
        <v>0</v>
      </c>
      <c r="AB238" s="304">
        <v>0</v>
      </c>
      <c r="AC238" s="304">
        <v>0</v>
      </c>
      <c r="AD238" s="304">
        <v>0</v>
      </c>
      <c r="AE238" s="304">
        <v>0</v>
      </c>
      <c r="AF238" s="304">
        <v>0</v>
      </c>
      <c r="AG238" s="304">
        <v>0</v>
      </c>
      <c r="AH238" s="304">
        <v>0</v>
      </c>
      <c r="AI238" s="304">
        <v>0</v>
      </c>
      <c r="AJ238" s="304">
        <v>0</v>
      </c>
      <c r="AK238" s="304">
        <v>0</v>
      </c>
      <c r="AL238" s="260"/>
      <c r="AM238" s="254">
        <f t="shared" si="24"/>
        <v>0</v>
      </c>
      <c r="AN238" s="260"/>
      <c r="AO238" s="254">
        <f t="shared" si="25"/>
        <v>0</v>
      </c>
      <c r="AP238" s="260"/>
      <c r="AQ238" s="254">
        <f t="shared" si="26"/>
        <v>0</v>
      </c>
      <c r="AR238" s="256"/>
      <c r="AS238" s="257">
        <f t="shared" si="27"/>
        <v>0</v>
      </c>
      <c r="AT238" s="380"/>
      <c r="AU238" s="257">
        <f t="shared" si="28"/>
        <v>0</v>
      </c>
      <c r="AV238" s="268"/>
      <c r="AW238" s="257">
        <f t="shared" si="29"/>
        <v>0</v>
      </c>
      <c r="AX238" s="256"/>
      <c r="AY238" s="257">
        <f t="shared" si="30"/>
        <v>0</v>
      </c>
      <c r="AZ238" s="268"/>
      <c r="BA238" s="257">
        <f t="shared" si="31"/>
        <v>0</v>
      </c>
      <c r="BB238" s="268"/>
      <c r="BC238" s="257">
        <f t="shared" si="32"/>
        <v>0</v>
      </c>
      <c r="BD238" s="256"/>
      <c r="BE238" s="257">
        <f t="shared" si="33"/>
        <v>0</v>
      </c>
      <c r="BF238" s="256"/>
      <c r="BG238" s="257">
        <f t="shared" si="34"/>
        <v>0</v>
      </c>
      <c r="BH238" s="256"/>
      <c r="BI238" s="257">
        <f t="shared" si="35"/>
        <v>0</v>
      </c>
      <c r="BJ238" s="1" t="s">
        <v>627</v>
      </c>
      <c r="BL238" s="1" t="s">
        <v>457</v>
      </c>
      <c r="BM238" s="1" t="s">
        <v>628</v>
      </c>
    </row>
    <row r="239" spans="1:65" ht="16.5" customHeight="1">
      <c r="A239" s="250" t="s">
        <v>951</v>
      </c>
      <c r="B239" s="59" t="s">
        <v>221</v>
      </c>
      <c r="C239" s="354" t="s">
        <v>172</v>
      </c>
      <c r="D239" s="476"/>
      <c r="E239" s="359" t="s">
        <v>173</v>
      </c>
      <c r="F239" s="421"/>
      <c r="G239" s="351" t="s">
        <v>232</v>
      </c>
      <c r="H239" s="323" t="s">
        <v>231</v>
      </c>
      <c r="I239" s="324" t="s">
        <v>183</v>
      </c>
      <c r="J239" s="325" t="s">
        <v>233</v>
      </c>
      <c r="K239" s="323" t="s">
        <v>227</v>
      </c>
      <c r="L239" s="323" t="s">
        <v>177</v>
      </c>
      <c r="M239" s="303" t="s">
        <v>624</v>
      </c>
      <c r="N239" s="303">
        <v>10.199999999999999</v>
      </c>
      <c r="O239" s="303">
        <v>10.199999999999999</v>
      </c>
      <c r="P239" s="303">
        <v>10.199999999999999</v>
      </c>
      <c r="Q239" s="303">
        <v>10.199999999999999</v>
      </c>
      <c r="R239" s="303">
        <v>10.199999999999999</v>
      </c>
      <c r="S239" s="303">
        <v>10.199999999999999</v>
      </c>
      <c r="T239" s="303">
        <v>10.199999999999999</v>
      </c>
      <c r="U239" s="303">
        <v>10.199999999999999</v>
      </c>
      <c r="V239" s="303">
        <v>10.199999999999999</v>
      </c>
      <c r="W239" s="303">
        <v>10.199999999999999</v>
      </c>
      <c r="X239" s="303">
        <v>10.199999999999999</v>
      </c>
      <c r="Y239" s="303">
        <v>10.199999999999999</v>
      </c>
      <c r="Z239" s="304">
        <v>0.3</v>
      </c>
      <c r="AA239" s="304">
        <v>0.3</v>
      </c>
      <c r="AB239" s="304">
        <v>0.3</v>
      </c>
      <c r="AC239" s="304">
        <v>0</v>
      </c>
      <c r="AD239" s="304">
        <v>0.3</v>
      </c>
      <c r="AE239" s="304">
        <v>0.3</v>
      </c>
      <c r="AF239" s="304">
        <v>0.3</v>
      </c>
      <c r="AG239" s="304">
        <v>0.3</v>
      </c>
      <c r="AH239" s="304">
        <v>0.3</v>
      </c>
      <c r="AI239" s="304">
        <v>0.3</v>
      </c>
      <c r="AJ239" s="304">
        <v>0.3</v>
      </c>
      <c r="AK239" s="304">
        <v>0.3</v>
      </c>
      <c r="AL239" s="260"/>
      <c r="AM239" s="254">
        <f t="shared" si="24"/>
        <v>0</v>
      </c>
      <c r="AN239" s="260"/>
      <c r="AO239" s="254">
        <f t="shared" si="25"/>
        <v>0</v>
      </c>
      <c r="AP239" s="274"/>
      <c r="AQ239" s="254">
        <f t="shared" si="26"/>
        <v>0</v>
      </c>
      <c r="AR239" s="256"/>
      <c r="AS239" s="257">
        <f t="shared" si="27"/>
        <v>0</v>
      </c>
      <c r="AT239" s="383"/>
      <c r="AU239" s="257">
        <f t="shared" si="28"/>
        <v>0</v>
      </c>
      <c r="AV239" s="389"/>
      <c r="AW239" s="257">
        <f t="shared" si="29"/>
        <v>0</v>
      </c>
      <c r="AX239" s="260"/>
      <c r="AY239" s="257">
        <f t="shared" si="30"/>
        <v>0</v>
      </c>
      <c r="AZ239" s="260"/>
      <c r="BA239" s="257">
        <f t="shared" si="31"/>
        <v>0</v>
      </c>
      <c r="BB239" s="274"/>
      <c r="BC239" s="257">
        <f t="shared" si="32"/>
        <v>0</v>
      </c>
      <c r="BD239" s="260"/>
      <c r="BE239" s="257">
        <f t="shared" si="33"/>
        <v>0</v>
      </c>
      <c r="BF239" s="260"/>
      <c r="BG239" s="257">
        <f t="shared" si="34"/>
        <v>0</v>
      </c>
      <c r="BH239" s="261"/>
      <c r="BI239" s="257">
        <f t="shared" si="35"/>
        <v>0</v>
      </c>
      <c r="BJ239" s="1" t="s">
        <v>629</v>
      </c>
      <c r="BL239" s="1" t="s">
        <v>457</v>
      </c>
      <c r="BM239" s="1" t="s">
        <v>630</v>
      </c>
    </row>
    <row r="240" spans="1:65" ht="16.5" customHeight="1">
      <c r="A240" s="250" t="s">
        <v>951</v>
      </c>
      <c r="B240" s="59" t="s">
        <v>221</v>
      </c>
      <c r="C240" s="354" t="s">
        <v>172</v>
      </c>
      <c r="D240" s="476"/>
      <c r="E240" s="359" t="s">
        <v>173</v>
      </c>
      <c r="F240" s="421"/>
      <c r="G240" s="351" t="s">
        <v>232</v>
      </c>
      <c r="H240" s="323" t="s">
        <v>231</v>
      </c>
      <c r="I240" s="324" t="s">
        <v>190</v>
      </c>
      <c r="J240" s="325" t="s">
        <v>233</v>
      </c>
      <c r="K240" s="323" t="s">
        <v>227</v>
      </c>
      <c r="L240" s="323" t="s">
        <v>177</v>
      </c>
      <c r="M240" s="303" t="s">
        <v>624</v>
      </c>
      <c r="N240" s="303">
        <v>3.6</v>
      </c>
      <c r="O240" s="303">
        <v>3.6</v>
      </c>
      <c r="P240" s="303">
        <v>3.6</v>
      </c>
      <c r="Q240" s="303">
        <v>3.6</v>
      </c>
      <c r="R240" s="303">
        <v>3.6</v>
      </c>
      <c r="S240" s="303">
        <v>3.6</v>
      </c>
      <c r="T240" s="303">
        <v>3.6</v>
      </c>
      <c r="U240" s="303">
        <v>3.6</v>
      </c>
      <c r="V240" s="303">
        <v>3.6</v>
      </c>
      <c r="W240" s="303">
        <v>3.6</v>
      </c>
      <c r="X240" s="303">
        <v>3.6</v>
      </c>
      <c r="Y240" s="303">
        <v>3.6</v>
      </c>
      <c r="Z240" s="304">
        <v>0.3</v>
      </c>
      <c r="AA240" s="304">
        <v>0.3</v>
      </c>
      <c r="AB240" s="304">
        <v>0.3</v>
      </c>
      <c r="AC240" s="304">
        <v>0</v>
      </c>
      <c r="AD240" s="304">
        <v>0.3</v>
      </c>
      <c r="AE240" s="304">
        <v>0.3</v>
      </c>
      <c r="AF240" s="304">
        <v>0.3</v>
      </c>
      <c r="AG240" s="304">
        <v>0.3</v>
      </c>
      <c r="AH240" s="304">
        <v>0.3</v>
      </c>
      <c r="AI240" s="304">
        <v>0.3</v>
      </c>
      <c r="AJ240" s="304">
        <v>0.3</v>
      </c>
      <c r="AK240" s="304">
        <v>0.3</v>
      </c>
      <c r="AL240" s="260"/>
      <c r="AM240" s="254">
        <f t="shared" si="24"/>
        <v>0</v>
      </c>
      <c r="AN240" s="260"/>
      <c r="AO240" s="254">
        <f t="shared" si="25"/>
        <v>0</v>
      </c>
      <c r="AP240" s="274"/>
      <c r="AQ240" s="254">
        <f t="shared" si="26"/>
        <v>0</v>
      </c>
      <c r="AR240" s="256"/>
      <c r="AS240" s="257">
        <f t="shared" si="27"/>
        <v>0</v>
      </c>
      <c r="AT240" s="383"/>
      <c r="AU240" s="257">
        <f t="shared" si="28"/>
        <v>0</v>
      </c>
      <c r="AV240" s="389"/>
      <c r="AW240" s="257">
        <f t="shared" si="29"/>
        <v>0</v>
      </c>
      <c r="AX240" s="260"/>
      <c r="AY240" s="257">
        <f t="shared" si="30"/>
        <v>0</v>
      </c>
      <c r="AZ240" s="260"/>
      <c r="BA240" s="257">
        <f t="shared" si="31"/>
        <v>0</v>
      </c>
      <c r="BB240" s="274"/>
      <c r="BC240" s="257">
        <f t="shared" si="32"/>
        <v>0</v>
      </c>
      <c r="BD240" s="260"/>
      <c r="BE240" s="257">
        <f t="shared" si="33"/>
        <v>0</v>
      </c>
      <c r="BF240" s="260"/>
      <c r="BG240" s="257">
        <f t="shared" si="34"/>
        <v>0</v>
      </c>
      <c r="BH240" s="261"/>
      <c r="BI240" s="257">
        <f t="shared" si="35"/>
        <v>0</v>
      </c>
      <c r="BJ240" s="1" t="s">
        <v>631</v>
      </c>
      <c r="BL240" s="1" t="s">
        <v>457</v>
      </c>
      <c r="BM240" s="1" t="s">
        <v>632</v>
      </c>
    </row>
    <row r="241" spans="1:65" ht="16.5" customHeight="1">
      <c r="A241" s="250" t="s">
        <v>951</v>
      </c>
      <c r="B241" s="59" t="s">
        <v>221</v>
      </c>
      <c r="C241" s="354" t="s">
        <v>172</v>
      </c>
      <c r="D241" s="476"/>
      <c r="E241" s="359" t="s">
        <v>173</v>
      </c>
      <c r="F241" s="421"/>
      <c r="G241" s="351" t="s">
        <v>232</v>
      </c>
      <c r="H241" s="323" t="s">
        <v>231</v>
      </c>
      <c r="I241" s="324" t="s">
        <v>183</v>
      </c>
      <c r="J241" s="325" t="s">
        <v>233</v>
      </c>
      <c r="K241" s="323" t="s">
        <v>234</v>
      </c>
      <c r="L241" s="323" t="s">
        <v>177</v>
      </c>
      <c r="M241" s="303" t="s">
        <v>624</v>
      </c>
      <c r="N241" s="303">
        <v>13.1</v>
      </c>
      <c r="O241" s="303">
        <v>13.1</v>
      </c>
      <c r="P241" s="303">
        <v>13.1</v>
      </c>
      <c r="Q241" s="303">
        <v>13.1</v>
      </c>
      <c r="R241" s="303">
        <v>13.1</v>
      </c>
      <c r="S241" s="303">
        <v>13.1</v>
      </c>
      <c r="T241" s="303">
        <v>13.1</v>
      </c>
      <c r="U241" s="303">
        <v>13.1</v>
      </c>
      <c r="V241" s="303">
        <v>13.1</v>
      </c>
      <c r="W241" s="303">
        <v>13.1</v>
      </c>
      <c r="X241" s="303">
        <v>13.1</v>
      </c>
      <c r="Y241" s="303">
        <v>13.1</v>
      </c>
      <c r="Z241" s="304">
        <v>2.7</v>
      </c>
      <c r="AA241" s="304">
        <v>2.7</v>
      </c>
      <c r="AB241" s="304">
        <v>2.7</v>
      </c>
      <c r="AC241" s="304">
        <v>0</v>
      </c>
      <c r="AD241" s="304">
        <v>2.7</v>
      </c>
      <c r="AE241" s="304">
        <v>2.7</v>
      </c>
      <c r="AF241" s="304">
        <v>2.7</v>
      </c>
      <c r="AG241" s="304">
        <v>2.7</v>
      </c>
      <c r="AH241" s="304">
        <v>2.7</v>
      </c>
      <c r="AI241" s="304">
        <v>2.7</v>
      </c>
      <c r="AJ241" s="304">
        <v>2.7</v>
      </c>
      <c r="AK241" s="304">
        <v>2.7</v>
      </c>
      <c r="AL241" s="260"/>
      <c r="AM241" s="254">
        <f t="shared" si="24"/>
        <v>0</v>
      </c>
      <c r="AN241" s="262"/>
      <c r="AO241" s="254">
        <f t="shared" si="25"/>
        <v>0</v>
      </c>
      <c r="AP241" s="274"/>
      <c r="AQ241" s="254">
        <f t="shared" si="26"/>
        <v>0</v>
      </c>
      <c r="AR241" s="256"/>
      <c r="AS241" s="257">
        <f t="shared" si="27"/>
        <v>0</v>
      </c>
      <c r="AT241" s="383"/>
      <c r="AU241" s="257">
        <f t="shared" si="28"/>
        <v>0</v>
      </c>
      <c r="AV241" s="389"/>
      <c r="AW241" s="257">
        <f t="shared" si="29"/>
        <v>0</v>
      </c>
      <c r="AX241" s="260"/>
      <c r="AY241" s="257">
        <f t="shared" si="30"/>
        <v>0</v>
      </c>
      <c r="AZ241" s="260"/>
      <c r="BA241" s="257">
        <f t="shared" si="31"/>
        <v>0</v>
      </c>
      <c r="BB241" s="274"/>
      <c r="BC241" s="257">
        <f t="shared" si="32"/>
        <v>0</v>
      </c>
      <c r="BD241" s="260"/>
      <c r="BE241" s="257">
        <f t="shared" si="33"/>
        <v>0</v>
      </c>
      <c r="BF241" s="262"/>
      <c r="BG241" s="257">
        <f t="shared" si="34"/>
        <v>0</v>
      </c>
      <c r="BH241" s="261"/>
      <c r="BI241" s="257">
        <f t="shared" si="35"/>
        <v>0</v>
      </c>
      <c r="BJ241" s="1" t="s">
        <v>633</v>
      </c>
      <c r="BL241" s="1" t="s">
        <v>457</v>
      </c>
      <c r="BM241" s="1" t="s">
        <v>634</v>
      </c>
    </row>
    <row r="242" spans="1:65" ht="15" customHeight="1">
      <c r="A242" s="250" t="s">
        <v>951</v>
      </c>
      <c r="B242" s="59" t="s">
        <v>221</v>
      </c>
      <c r="C242" s="354" t="s">
        <v>172</v>
      </c>
      <c r="D242" s="476"/>
      <c r="E242" s="359" t="s">
        <v>173</v>
      </c>
      <c r="F242" s="421"/>
      <c r="G242" s="351" t="s">
        <v>232</v>
      </c>
      <c r="H242" s="323" t="s">
        <v>231</v>
      </c>
      <c r="I242" s="324" t="s">
        <v>190</v>
      </c>
      <c r="J242" s="325" t="s">
        <v>233</v>
      </c>
      <c r="K242" s="323" t="s">
        <v>234</v>
      </c>
      <c r="L242" s="323" t="s">
        <v>177</v>
      </c>
      <c r="M242" s="303" t="s">
        <v>624</v>
      </c>
      <c r="N242" s="303">
        <v>3.6</v>
      </c>
      <c r="O242" s="303">
        <v>3.6</v>
      </c>
      <c r="P242" s="303">
        <v>3.6</v>
      </c>
      <c r="Q242" s="303">
        <v>3.6</v>
      </c>
      <c r="R242" s="303">
        <v>3.6</v>
      </c>
      <c r="S242" s="303">
        <v>3.6</v>
      </c>
      <c r="T242" s="303">
        <v>3.6</v>
      </c>
      <c r="U242" s="303">
        <v>3.6</v>
      </c>
      <c r="V242" s="303">
        <v>3.6</v>
      </c>
      <c r="W242" s="303">
        <v>3.6</v>
      </c>
      <c r="X242" s="303">
        <v>3.6</v>
      </c>
      <c r="Y242" s="303">
        <v>3.6</v>
      </c>
      <c r="Z242" s="304">
        <v>0.3</v>
      </c>
      <c r="AA242" s="304">
        <v>0.3</v>
      </c>
      <c r="AB242" s="304">
        <v>0.3</v>
      </c>
      <c r="AC242" s="304">
        <v>0</v>
      </c>
      <c r="AD242" s="304">
        <v>0.3</v>
      </c>
      <c r="AE242" s="304">
        <v>0.3</v>
      </c>
      <c r="AF242" s="304">
        <v>0.3</v>
      </c>
      <c r="AG242" s="304">
        <v>0.3</v>
      </c>
      <c r="AH242" s="304">
        <v>0.3</v>
      </c>
      <c r="AI242" s="304">
        <v>0.3</v>
      </c>
      <c r="AJ242" s="304">
        <v>0.3</v>
      </c>
      <c r="AK242" s="304">
        <v>0.3</v>
      </c>
      <c r="AL242" s="260"/>
      <c r="AM242" s="254">
        <f t="shared" si="24"/>
        <v>0</v>
      </c>
      <c r="AN242" s="262"/>
      <c r="AO242" s="254">
        <f t="shared" si="25"/>
        <v>0</v>
      </c>
      <c r="AP242" s="274"/>
      <c r="AQ242" s="254">
        <f t="shared" si="26"/>
        <v>0</v>
      </c>
      <c r="AR242" s="256"/>
      <c r="AS242" s="257">
        <f t="shared" si="27"/>
        <v>0</v>
      </c>
      <c r="AT242" s="383"/>
      <c r="AU242" s="257">
        <f t="shared" si="28"/>
        <v>0</v>
      </c>
      <c r="AV242" s="389"/>
      <c r="AW242" s="257">
        <f t="shared" si="29"/>
        <v>0</v>
      </c>
      <c r="AX242" s="260"/>
      <c r="AY242" s="257">
        <f t="shared" si="30"/>
        <v>0</v>
      </c>
      <c r="AZ242" s="260"/>
      <c r="BA242" s="257">
        <f t="shared" si="31"/>
        <v>0</v>
      </c>
      <c r="BB242" s="274"/>
      <c r="BC242" s="257">
        <f t="shared" si="32"/>
        <v>0</v>
      </c>
      <c r="BD242" s="260"/>
      <c r="BE242" s="257">
        <f t="shared" si="33"/>
        <v>0</v>
      </c>
      <c r="BF242" s="260"/>
      <c r="BG242" s="257">
        <f t="shared" si="34"/>
        <v>0</v>
      </c>
      <c r="BH242" s="260"/>
      <c r="BI242" s="257">
        <f t="shared" si="35"/>
        <v>0</v>
      </c>
      <c r="BJ242" s="1" t="s">
        <v>635</v>
      </c>
      <c r="BL242" s="1" t="s">
        <v>457</v>
      </c>
      <c r="BM242" s="1" t="s">
        <v>636</v>
      </c>
    </row>
    <row r="243" spans="1:65" ht="15" customHeight="1">
      <c r="A243" s="250" t="s">
        <v>951</v>
      </c>
      <c r="B243" s="59" t="s">
        <v>221</v>
      </c>
      <c r="C243" s="354" t="s">
        <v>172</v>
      </c>
      <c r="D243" s="476"/>
      <c r="E243" s="359" t="s">
        <v>173</v>
      </c>
      <c r="F243" s="421"/>
      <c r="G243" s="351" t="s">
        <v>232</v>
      </c>
      <c r="H243" s="323" t="s">
        <v>231</v>
      </c>
      <c r="I243" s="324" t="s">
        <v>190</v>
      </c>
      <c r="J243" s="325" t="s">
        <v>233</v>
      </c>
      <c r="K243" s="323" t="s">
        <v>637</v>
      </c>
      <c r="L243" s="323" t="s">
        <v>177</v>
      </c>
      <c r="M243" s="303" t="s">
        <v>624</v>
      </c>
      <c r="N243" s="303">
        <v>3.6</v>
      </c>
      <c r="O243" s="303">
        <v>3.6</v>
      </c>
      <c r="P243" s="303">
        <v>3.6</v>
      </c>
      <c r="Q243" s="303">
        <v>3.6</v>
      </c>
      <c r="R243" s="303">
        <v>3.6</v>
      </c>
      <c r="S243" s="303">
        <v>3.6</v>
      </c>
      <c r="T243" s="303">
        <v>3.6</v>
      </c>
      <c r="U243" s="303">
        <v>3.6</v>
      </c>
      <c r="V243" s="303">
        <v>3.6</v>
      </c>
      <c r="W243" s="303">
        <v>3.6</v>
      </c>
      <c r="X243" s="303">
        <v>3.6</v>
      </c>
      <c r="Y243" s="303">
        <v>3.6</v>
      </c>
      <c r="Z243" s="304">
        <v>0.3</v>
      </c>
      <c r="AA243" s="304">
        <v>0.3</v>
      </c>
      <c r="AB243" s="304">
        <v>0.3</v>
      </c>
      <c r="AC243" s="304">
        <v>0</v>
      </c>
      <c r="AD243" s="304">
        <v>0.3</v>
      </c>
      <c r="AE243" s="304">
        <v>0.3</v>
      </c>
      <c r="AF243" s="304">
        <v>0.3</v>
      </c>
      <c r="AG243" s="304">
        <v>0.3</v>
      </c>
      <c r="AH243" s="304">
        <v>0.3</v>
      </c>
      <c r="AI243" s="304">
        <v>0.3</v>
      </c>
      <c r="AJ243" s="304">
        <v>0.3</v>
      </c>
      <c r="AK243" s="304">
        <v>0.3</v>
      </c>
      <c r="AL243" s="260"/>
      <c r="AM243" s="254">
        <f t="shared" si="24"/>
        <v>0</v>
      </c>
      <c r="AN243" s="262"/>
      <c r="AO243" s="254">
        <f t="shared" si="25"/>
        <v>0</v>
      </c>
      <c r="AP243" s="274"/>
      <c r="AQ243" s="254">
        <f t="shared" si="26"/>
        <v>0</v>
      </c>
      <c r="AR243" s="256"/>
      <c r="AS243" s="257">
        <f t="shared" si="27"/>
        <v>0</v>
      </c>
      <c r="AT243" s="383"/>
      <c r="AU243" s="257">
        <f t="shared" si="28"/>
        <v>0</v>
      </c>
      <c r="AV243" s="389"/>
      <c r="AW243" s="257">
        <f t="shared" si="29"/>
        <v>0</v>
      </c>
      <c r="AX243" s="260"/>
      <c r="AY243" s="257">
        <f t="shared" si="30"/>
        <v>0</v>
      </c>
      <c r="AZ243" s="260"/>
      <c r="BA243" s="257">
        <f t="shared" si="31"/>
        <v>0</v>
      </c>
      <c r="BB243" s="274"/>
      <c r="BC243" s="257">
        <f t="shared" si="32"/>
        <v>0</v>
      </c>
      <c r="BD243" s="260"/>
      <c r="BE243" s="257">
        <f t="shared" si="33"/>
        <v>0</v>
      </c>
      <c r="BF243" s="262"/>
      <c r="BG243" s="257">
        <f t="shared" si="34"/>
        <v>0</v>
      </c>
      <c r="BH243" s="261"/>
      <c r="BI243" s="257">
        <f t="shared" si="35"/>
        <v>0</v>
      </c>
      <c r="BJ243" s="1" t="s">
        <v>638</v>
      </c>
      <c r="BL243" s="1" t="s">
        <v>457</v>
      </c>
      <c r="BM243" s="1" t="s">
        <v>639</v>
      </c>
    </row>
    <row r="244" spans="1:65" ht="16.5" customHeight="1">
      <c r="A244" s="250" t="s">
        <v>951</v>
      </c>
      <c r="B244" s="59" t="s">
        <v>221</v>
      </c>
      <c r="C244" s="354" t="s">
        <v>172</v>
      </c>
      <c r="D244" s="476"/>
      <c r="E244" s="359" t="s">
        <v>173</v>
      </c>
      <c r="F244" s="421"/>
      <c r="G244" s="351" t="s">
        <v>232</v>
      </c>
      <c r="H244" s="323" t="s">
        <v>231</v>
      </c>
      <c r="I244" s="324" t="s">
        <v>183</v>
      </c>
      <c r="J244" s="325" t="s">
        <v>233</v>
      </c>
      <c r="K244" s="323" t="s">
        <v>235</v>
      </c>
      <c r="L244" s="323" t="s">
        <v>177</v>
      </c>
      <c r="M244" s="303" t="s">
        <v>624</v>
      </c>
      <c r="N244" s="303">
        <v>12.1</v>
      </c>
      <c r="O244" s="303">
        <v>12.1</v>
      </c>
      <c r="P244" s="303">
        <v>12.1</v>
      </c>
      <c r="Q244" s="303">
        <v>12.1</v>
      </c>
      <c r="R244" s="303">
        <v>12.1</v>
      </c>
      <c r="S244" s="303">
        <v>12.1</v>
      </c>
      <c r="T244" s="303">
        <v>12.1</v>
      </c>
      <c r="U244" s="303">
        <v>12.1</v>
      </c>
      <c r="V244" s="303">
        <v>12.1</v>
      </c>
      <c r="W244" s="303">
        <v>12.1</v>
      </c>
      <c r="X244" s="303">
        <v>12.1</v>
      </c>
      <c r="Y244" s="303">
        <v>12.1</v>
      </c>
      <c r="Z244" s="304">
        <v>1.2</v>
      </c>
      <c r="AA244" s="304">
        <v>1.2</v>
      </c>
      <c r="AB244" s="304">
        <v>1.2</v>
      </c>
      <c r="AC244" s="304">
        <v>0</v>
      </c>
      <c r="AD244" s="304">
        <v>1.2</v>
      </c>
      <c r="AE244" s="304">
        <v>1.2</v>
      </c>
      <c r="AF244" s="304">
        <v>1.2</v>
      </c>
      <c r="AG244" s="304">
        <v>1.2</v>
      </c>
      <c r="AH244" s="304">
        <v>1.2</v>
      </c>
      <c r="AI244" s="304">
        <v>1.2</v>
      </c>
      <c r="AJ244" s="304">
        <v>1.2</v>
      </c>
      <c r="AK244" s="304">
        <v>1.2</v>
      </c>
      <c r="AL244" s="260"/>
      <c r="AM244" s="254">
        <f t="shared" si="24"/>
        <v>0</v>
      </c>
      <c r="AN244" s="262"/>
      <c r="AO244" s="254">
        <f t="shared" si="25"/>
        <v>0</v>
      </c>
      <c r="AP244" s="274"/>
      <c r="AQ244" s="254">
        <f t="shared" si="26"/>
        <v>0</v>
      </c>
      <c r="AR244" s="256"/>
      <c r="AS244" s="257">
        <f t="shared" si="27"/>
        <v>0</v>
      </c>
      <c r="AT244" s="383"/>
      <c r="AU244" s="257">
        <f t="shared" si="28"/>
        <v>0</v>
      </c>
      <c r="AV244" s="389"/>
      <c r="AW244" s="257">
        <f t="shared" si="29"/>
        <v>0</v>
      </c>
      <c r="AX244" s="260"/>
      <c r="AY244" s="257">
        <f t="shared" si="30"/>
        <v>0</v>
      </c>
      <c r="AZ244" s="260"/>
      <c r="BA244" s="257">
        <f t="shared" si="31"/>
        <v>0</v>
      </c>
      <c r="BB244" s="274"/>
      <c r="BC244" s="257">
        <f t="shared" si="32"/>
        <v>0</v>
      </c>
      <c r="BD244" s="260"/>
      <c r="BE244" s="257">
        <f t="shared" si="33"/>
        <v>0</v>
      </c>
      <c r="BF244" s="262"/>
      <c r="BG244" s="257">
        <f t="shared" si="34"/>
        <v>0</v>
      </c>
      <c r="BH244" s="261"/>
      <c r="BI244" s="257">
        <f t="shared" si="35"/>
        <v>0</v>
      </c>
      <c r="BJ244" s="1" t="s">
        <v>640</v>
      </c>
      <c r="BL244" s="1" t="s">
        <v>457</v>
      </c>
      <c r="BM244" s="1" t="s">
        <v>641</v>
      </c>
    </row>
    <row r="245" spans="1:65" ht="16.5" customHeight="1">
      <c r="A245" s="250" t="s">
        <v>951</v>
      </c>
      <c r="B245" s="59" t="s">
        <v>221</v>
      </c>
      <c r="C245" s="354" t="s">
        <v>172</v>
      </c>
      <c r="D245" s="476"/>
      <c r="E245" s="359" t="s">
        <v>173</v>
      </c>
      <c r="F245" s="421"/>
      <c r="G245" s="351" t="s">
        <v>232</v>
      </c>
      <c r="H245" s="323" t="s">
        <v>231</v>
      </c>
      <c r="I245" s="324" t="s">
        <v>190</v>
      </c>
      <c r="J245" s="325" t="s">
        <v>233</v>
      </c>
      <c r="K245" s="323" t="s">
        <v>235</v>
      </c>
      <c r="L245" s="323" t="s">
        <v>177</v>
      </c>
      <c r="M245" s="303" t="s">
        <v>624</v>
      </c>
      <c r="N245" s="303">
        <v>5.3</v>
      </c>
      <c r="O245" s="303">
        <v>5.3</v>
      </c>
      <c r="P245" s="303">
        <v>5.3</v>
      </c>
      <c r="Q245" s="303">
        <v>5.3</v>
      </c>
      <c r="R245" s="303">
        <v>5.3</v>
      </c>
      <c r="S245" s="303">
        <v>5.3</v>
      </c>
      <c r="T245" s="303">
        <v>5.3</v>
      </c>
      <c r="U245" s="303">
        <v>5.3</v>
      </c>
      <c r="V245" s="303">
        <v>5.3</v>
      </c>
      <c r="W245" s="303">
        <v>5.3</v>
      </c>
      <c r="X245" s="303">
        <v>5.3</v>
      </c>
      <c r="Y245" s="303">
        <v>5.3</v>
      </c>
      <c r="Z245" s="304">
        <v>0</v>
      </c>
      <c r="AA245" s="304">
        <v>0</v>
      </c>
      <c r="AB245" s="304">
        <v>0</v>
      </c>
      <c r="AC245" s="304">
        <v>0</v>
      </c>
      <c r="AD245" s="304">
        <v>0</v>
      </c>
      <c r="AE245" s="304">
        <v>0</v>
      </c>
      <c r="AF245" s="304">
        <v>0</v>
      </c>
      <c r="AG245" s="304">
        <v>0</v>
      </c>
      <c r="AH245" s="304">
        <v>0</v>
      </c>
      <c r="AI245" s="304">
        <v>0</v>
      </c>
      <c r="AJ245" s="304">
        <v>0</v>
      </c>
      <c r="AK245" s="304">
        <v>0</v>
      </c>
      <c r="AL245" s="260"/>
      <c r="AM245" s="254">
        <f t="shared" si="24"/>
        <v>0</v>
      </c>
      <c r="AN245" s="262"/>
      <c r="AO245" s="254">
        <f t="shared" si="25"/>
        <v>0</v>
      </c>
      <c r="AP245" s="274"/>
      <c r="AQ245" s="254">
        <f t="shared" si="26"/>
        <v>0</v>
      </c>
      <c r="AR245" s="256"/>
      <c r="AS245" s="257">
        <f t="shared" si="27"/>
        <v>0</v>
      </c>
      <c r="AT245" s="383"/>
      <c r="AU245" s="257">
        <f t="shared" si="28"/>
        <v>0</v>
      </c>
      <c r="AV245" s="389"/>
      <c r="AW245" s="257">
        <f t="shared" si="29"/>
        <v>0</v>
      </c>
      <c r="AX245" s="260"/>
      <c r="AY245" s="257">
        <f t="shared" si="30"/>
        <v>0</v>
      </c>
      <c r="AZ245" s="260"/>
      <c r="BA245" s="257">
        <f t="shared" si="31"/>
        <v>0</v>
      </c>
      <c r="BB245" s="274"/>
      <c r="BC245" s="257">
        <f t="shared" si="32"/>
        <v>0</v>
      </c>
      <c r="BD245" s="260"/>
      <c r="BE245" s="257">
        <f t="shared" si="33"/>
        <v>0</v>
      </c>
      <c r="BF245" s="262"/>
      <c r="BG245" s="257">
        <f t="shared" si="34"/>
        <v>0</v>
      </c>
      <c r="BH245" s="261"/>
      <c r="BI245" s="257">
        <f t="shared" si="35"/>
        <v>0</v>
      </c>
      <c r="BJ245" s="1" t="s">
        <v>642</v>
      </c>
      <c r="BL245" s="1" t="s">
        <v>457</v>
      </c>
      <c r="BM245" s="1" t="s">
        <v>643</v>
      </c>
    </row>
    <row r="246" spans="1:65" ht="16.5" customHeight="1">
      <c r="A246" s="250" t="s">
        <v>951</v>
      </c>
      <c r="C246" s="354"/>
      <c r="D246" s="476"/>
      <c r="E246" s="359"/>
      <c r="F246" s="421"/>
      <c r="G246" s="317"/>
      <c r="H246" s="323"/>
      <c r="I246" s="327"/>
      <c r="J246" s="331"/>
      <c r="K246" s="323"/>
      <c r="L246" s="32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  <c r="X246" s="303"/>
      <c r="Y246" s="303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260"/>
      <c r="AM246" s="254">
        <f t="shared" si="24"/>
        <v>0</v>
      </c>
      <c r="AN246" s="260"/>
      <c r="AO246" s="254">
        <f t="shared" si="25"/>
        <v>0</v>
      </c>
      <c r="AP246" s="274"/>
      <c r="AQ246" s="254">
        <f t="shared" si="26"/>
        <v>0</v>
      </c>
      <c r="AR246" s="256"/>
      <c r="AS246" s="257">
        <f t="shared" si="27"/>
        <v>0</v>
      </c>
      <c r="AT246" s="382"/>
      <c r="AU246" s="257">
        <f t="shared" si="28"/>
        <v>0</v>
      </c>
      <c r="AV246" s="268"/>
      <c r="AW246" s="257">
        <f t="shared" si="29"/>
        <v>0</v>
      </c>
      <c r="AX246" s="268"/>
      <c r="AY246" s="257">
        <f t="shared" si="30"/>
        <v>0</v>
      </c>
      <c r="AZ246" s="268"/>
      <c r="BA246" s="257">
        <f t="shared" si="31"/>
        <v>0</v>
      </c>
      <c r="BB246" s="268"/>
      <c r="BC246" s="257">
        <f t="shared" si="32"/>
        <v>0</v>
      </c>
      <c r="BD246" s="59"/>
      <c r="BE246" s="257">
        <f t="shared" si="33"/>
        <v>0</v>
      </c>
      <c r="BF246" s="59"/>
      <c r="BG246" s="257">
        <f t="shared" si="34"/>
        <v>0</v>
      </c>
      <c r="BH246" s="59"/>
      <c r="BI246" s="257">
        <f t="shared" si="35"/>
        <v>0</v>
      </c>
    </row>
    <row r="247" spans="1:65" ht="16.5" customHeight="1">
      <c r="A247" s="250" t="s">
        <v>951</v>
      </c>
      <c r="C247" s="354"/>
      <c r="D247" s="476"/>
      <c r="E247" s="359"/>
      <c r="F247" s="421"/>
      <c r="G247" s="352"/>
      <c r="H247" s="333"/>
      <c r="I247" s="333"/>
      <c r="J247" s="334"/>
      <c r="K247" s="333"/>
      <c r="L247" s="33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  <c r="X247" s="303"/>
      <c r="Y247" s="303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260"/>
      <c r="AM247" s="254">
        <f t="shared" si="24"/>
        <v>0</v>
      </c>
      <c r="AN247" s="260"/>
      <c r="AO247" s="254">
        <f t="shared" si="25"/>
        <v>0</v>
      </c>
      <c r="AP247" s="274"/>
      <c r="AQ247" s="254">
        <f t="shared" si="26"/>
        <v>0</v>
      </c>
      <c r="AR247" s="256"/>
      <c r="AS247" s="257">
        <f t="shared" si="27"/>
        <v>0</v>
      </c>
      <c r="AT247" s="382"/>
      <c r="AU247" s="257">
        <f t="shared" si="28"/>
        <v>0</v>
      </c>
      <c r="AV247" s="268"/>
      <c r="AW247" s="257">
        <f t="shared" si="29"/>
        <v>0</v>
      </c>
      <c r="AX247" s="268"/>
      <c r="AY247" s="257">
        <f t="shared" si="30"/>
        <v>0</v>
      </c>
      <c r="AZ247" s="268"/>
      <c r="BA247" s="257">
        <f t="shared" si="31"/>
        <v>0</v>
      </c>
      <c r="BB247" s="268"/>
      <c r="BC247" s="257">
        <f t="shared" si="32"/>
        <v>0</v>
      </c>
      <c r="BD247" s="59"/>
      <c r="BE247" s="257">
        <f t="shared" si="33"/>
        <v>0</v>
      </c>
      <c r="BF247" s="59"/>
      <c r="BG247" s="257">
        <f t="shared" si="34"/>
        <v>0</v>
      </c>
      <c r="BH247" s="59"/>
      <c r="BI247" s="257">
        <f t="shared" si="35"/>
        <v>0</v>
      </c>
    </row>
    <row r="248" spans="1:65" ht="16.5" customHeight="1">
      <c r="A248" s="250" t="s">
        <v>951</v>
      </c>
      <c r="C248" s="354"/>
      <c r="D248" s="476"/>
      <c r="E248" s="359"/>
      <c r="F248" s="421"/>
      <c r="G248" s="352"/>
      <c r="H248" s="333"/>
      <c r="I248" s="333"/>
      <c r="J248" s="334"/>
      <c r="K248" s="333"/>
      <c r="L248" s="33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260"/>
      <c r="AM248" s="254">
        <f t="shared" si="24"/>
        <v>0</v>
      </c>
      <c r="AN248" s="260"/>
      <c r="AO248" s="254">
        <f t="shared" si="25"/>
        <v>0</v>
      </c>
      <c r="AP248" s="274"/>
      <c r="AQ248" s="254">
        <f t="shared" si="26"/>
        <v>0</v>
      </c>
      <c r="AR248" s="256"/>
      <c r="AS248" s="257">
        <f t="shared" si="27"/>
        <v>0</v>
      </c>
      <c r="AT248" s="382"/>
      <c r="AU248" s="257">
        <f t="shared" si="28"/>
        <v>0</v>
      </c>
      <c r="AV248" s="268"/>
      <c r="AW248" s="257">
        <f t="shared" si="29"/>
        <v>0</v>
      </c>
      <c r="AX248" s="268"/>
      <c r="AY248" s="257">
        <f t="shared" si="30"/>
        <v>0</v>
      </c>
      <c r="AZ248" s="268"/>
      <c r="BA248" s="257">
        <f t="shared" si="31"/>
        <v>0</v>
      </c>
      <c r="BB248" s="268"/>
      <c r="BC248" s="257">
        <f t="shared" si="32"/>
        <v>0</v>
      </c>
      <c r="BD248" s="59"/>
      <c r="BE248" s="257">
        <f t="shared" si="33"/>
        <v>0</v>
      </c>
      <c r="BF248" s="59"/>
      <c r="BG248" s="257">
        <f t="shared" si="34"/>
        <v>0</v>
      </c>
      <c r="BH248" s="59"/>
      <c r="BI248" s="257">
        <f t="shared" si="35"/>
        <v>0</v>
      </c>
    </row>
    <row r="249" spans="1:65" ht="15" customHeight="1">
      <c r="A249" s="250" t="s">
        <v>951</v>
      </c>
      <c r="C249" s="354"/>
      <c r="D249" s="476"/>
      <c r="E249" s="359"/>
      <c r="F249" s="421" t="s">
        <v>188</v>
      </c>
      <c r="G249" s="319"/>
      <c r="H249" s="298"/>
      <c r="I249" s="298"/>
      <c r="J249" s="299"/>
      <c r="K249" s="298"/>
      <c r="L249" s="298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255"/>
      <c r="AM249" s="254">
        <f t="shared" si="24"/>
        <v>0</v>
      </c>
      <c r="AN249" s="255"/>
      <c r="AO249" s="254">
        <f t="shared" si="25"/>
        <v>0</v>
      </c>
      <c r="AP249" s="255"/>
      <c r="AQ249" s="254">
        <f t="shared" si="26"/>
        <v>0</v>
      </c>
      <c r="AR249" s="256"/>
      <c r="AS249" s="257">
        <f t="shared" si="27"/>
        <v>0</v>
      </c>
      <c r="AT249" s="382"/>
      <c r="AU249" s="257">
        <f t="shared" si="28"/>
        <v>0</v>
      </c>
      <c r="AV249" s="268"/>
      <c r="AW249" s="257">
        <f t="shared" si="29"/>
        <v>0</v>
      </c>
      <c r="AX249" s="268"/>
      <c r="AY249" s="257">
        <f t="shared" si="30"/>
        <v>0</v>
      </c>
      <c r="AZ249" s="268"/>
      <c r="BA249" s="257">
        <f t="shared" si="31"/>
        <v>0</v>
      </c>
      <c r="BB249" s="268"/>
      <c r="BC249" s="257">
        <f t="shared" si="32"/>
        <v>0</v>
      </c>
      <c r="BD249" s="59"/>
      <c r="BE249" s="257">
        <f t="shared" si="33"/>
        <v>0</v>
      </c>
      <c r="BF249" s="59"/>
      <c r="BG249" s="257">
        <f t="shared" si="34"/>
        <v>0</v>
      </c>
      <c r="BH249" s="59"/>
      <c r="BI249" s="257">
        <f t="shared" si="35"/>
        <v>0</v>
      </c>
    </row>
    <row r="250" spans="1:65" ht="15" customHeight="1">
      <c r="A250" s="250" t="s">
        <v>951</v>
      </c>
      <c r="C250" s="354"/>
      <c r="D250" s="476"/>
      <c r="E250" s="359"/>
      <c r="F250" s="421"/>
      <c r="G250" s="59"/>
      <c r="H250" s="298"/>
      <c r="I250" s="298"/>
      <c r="J250" s="299"/>
      <c r="K250" s="298"/>
      <c r="L250" s="298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255"/>
      <c r="AM250" s="254">
        <f t="shared" si="24"/>
        <v>0</v>
      </c>
      <c r="AN250" s="255"/>
      <c r="AO250" s="254">
        <f t="shared" si="25"/>
        <v>0</v>
      </c>
      <c r="AP250" s="255"/>
      <c r="AQ250" s="254">
        <f t="shared" si="26"/>
        <v>0</v>
      </c>
      <c r="AR250" s="256"/>
      <c r="AS250" s="257">
        <f t="shared" si="27"/>
        <v>0</v>
      </c>
      <c r="AT250" s="382"/>
      <c r="AU250" s="257">
        <f t="shared" si="28"/>
        <v>0</v>
      </c>
      <c r="AV250" s="268"/>
      <c r="AW250" s="257">
        <f t="shared" si="29"/>
        <v>0</v>
      </c>
      <c r="AX250" s="268"/>
      <c r="AY250" s="257">
        <f t="shared" si="30"/>
        <v>0</v>
      </c>
      <c r="AZ250" s="268"/>
      <c r="BA250" s="257">
        <f t="shared" si="31"/>
        <v>0</v>
      </c>
      <c r="BB250" s="268"/>
      <c r="BC250" s="257">
        <f t="shared" si="32"/>
        <v>0</v>
      </c>
      <c r="BD250" s="59"/>
      <c r="BE250" s="257">
        <f t="shared" si="33"/>
        <v>0</v>
      </c>
      <c r="BF250" s="59"/>
      <c r="BG250" s="257">
        <f t="shared" si="34"/>
        <v>0</v>
      </c>
      <c r="BH250" s="59"/>
      <c r="BI250" s="257">
        <f t="shared" si="35"/>
        <v>0</v>
      </c>
    </row>
    <row r="251" spans="1:65" ht="15" customHeight="1">
      <c r="A251" s="250" t="s">
        <v>951</v>
      </c>
      <c r="C251" s="354"/>
      <c r="D251" s="476"/>
      <c r="E251" s="359"/>
      <c r="F251" s="421"/>
      <c r="G251" s="59"/>
      <c r="H251" s="298"/>
      <c r="I251" s="298"/>
      <c r="J251" s="299"/>
      <c r="K251" s="298"/>
      <c r="L251" s="298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303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255"/>
      <c r="AM251" s="254">
        <f t="shared" si="24"/>
        <v>0</v>
      </c>
      <c r="AN251" s="255"/>
      <c r="AO251" s="254">
        <f t="shared" si="25"/>
        <v>0</v>
      </c>
      <c r="AP251" s="255"/>
      <c r="AQ251" s="254">
        <f t="shared" si="26"/>
        <v>0</v>
      </c>
      <c r="AR251" s="256"/>
      <c r="AS251" s="257">
        <f t="shared" si="27"/>
        <v>0</v>
      </c>
      <c r="AT251" s="382"/>
      <c r="AU251" s="257">
        <f t="shared" si="28"/>
        <v>0</v>
      </c>
      <c r="AV251" s="268"/>
      <c r="AW251" s="257">
        <f t="shared" si="29"/>
        <v>0</v>
      </c>
      <c r="AX251" s="268"/>
      <c r="AY251" s="257">
        <f t="shared" si="30"/>
        <v>0</v>
      </c>
      <c r="AZ251" s="268"/>
      <c r="BA251" s="257">
        <f t="shared" si="31"/>
        <v>0</v>
      </c>
      <c r="BB251" s="268"/>
      <c r="BC251" s="257">
        <f t="shared" si="32"/>
        <v>0</v>
      </c>
      <c r="BD251" s="59"/>
      <c r="BE251" s="257">
        <f t="shared" si="33"/>
        <v>0</v>
      </c>
      <c r="BF251" s="59"/>
      <c r="BG251" s="257">
        <f t="shared" si="34"/>
        <v>0</v>
      </c>
      <c r="BH251" s="59"/>
      <c r="BI251" s="257">
        <f t="shared" si="35"/>
        <v>0</v>
      </c>
    </row>
    <row r="252" spans="1:65" ht="15" customHeight="1">
      <c r="A252" s="250" t="s">
        <v>951</v>
      </c>
      <c r="C252" s="354"/>
      <c r="D252" s="476"/>
      <c r="E252" s="359"/>
      <c r="F252" s="421"/>
      <c r="G252" s="59"/>
      <c r="H252" s="59"/>
      <c r="I252" s="59"/>
      <c r="J252" s="302"/>
      <c r="K252" s="59"/>
      <c r="L252" s="59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303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255"/>
      <c r="AM252" s="254">
        <f t="shared" si="24"/>
        <v>0</v>
      </c>
      <c r="AN252" s="255"/>
      <c r="AO252" s="254">
        <f t="shared" si="25"/>
        <v>0</v>
      </c>
      <c r="AP252" s="255"/>
      <c r="AQ252" s="254">
        <f t="shared" si="26"/>
        <v>0</v>
      </c>
      <c r="AR252" s="256"/>
      <c r="AS252" s="257">
        <f t="shared" si="27"/>
        <v>0</v>
      </c>
      <c r="AT252" s="382"/>
      <c r="AU252" s="257">
        <f t="shared" si="28"/>
        <v>0</v>
      </c>
      <c r="AV252" s="268"/>
      <c r="AW252" s="257">
        <f t="shared" si="29"/>
        <v>0</v>
      </c>
      <c r="AX252" s="268"/>
      <c r="AY252" s="257">
        <f t="shared" si="30"/>
        <v>0</v>
      </c>
      <c r="AZ252" s="268"/>
      <c r="BA252" s="257">
        <f t="shared" si="31"/>
        <v>0</v>
      </c>
      <c r="BB252" s="268"/>
      <c r="BC252" s="257">
        <f t="shared" si="32"/>
        <v>0</v>
      </c>
      <c r="BD252" s="59"/>
      <c r="BE252" s="257">
        <f t="shared" si="33"/>
        <v>0</v>
      </c>
      <c r="BF252" s="59"/>
      <c r="BG252" s="257">
        <f t="shared" si="34"/>
        <v>0</v>
      </c>
      <c r="BH252" s="59"/>
      <c r="BI252" s="257">
        <f t="shared" si="35"/>
        <v>0</v>
      </c>
    </row>
    <row r="253" spans="1:65" ht="15" customHeight="1">
      <c r="A253" s="250" t="s">
        <v>951</v>
      </c>
      <c r="B253" s="59" t="s">
        <v>221</v>
      </c>
      <c r="C253" s="354" t="s">
        <v>172</v>
      </c>
      <c r="D253" s="476"/>
      <c r="E253" s="359" t="s">
        <v>173</v>
      </c>
      <c r="F253" s="421" t="s">
        <v>252</v>
      </c>
      <c r="G253" s="317">
        <v>2022</v>
      </c>
      <c r="H253" s="336" t="s">
        <v>374</v>
      </c>
      <c r="I253" s="332" t="s">
        <v>249</v>
      </c>
      <c r="J253" s="331">
        <v>14</v>
      </c>
      <c r="K253" s="335" t="s">
        <v>369</v>
      </c>
      <c r="L253" s="323" t="s">
        <v>344</v>
      </c>
      <c r="M253" s="303" t="s">
        <v>558</v>
      </c>
      <c r="N253" s="303">
        <v>10.199999999999999</v>
      </c>
      <c r="O253" s="303">
        <v>10.199999999999999</v>
      </c>
      <c r="P253" s="303">
        <v>10.199999999999999</v>
      </c>
      <c r="Q253" s="303">
        <v>10.199999999999999</v>
      </c>
      <c r="R253" s="303">
        <v>10.199999999999999</v>
      </c>
      <c r="S253" s="303">
        <v>10.199999999999999</v>
      </c>
      <c r="T253" s="303">
        <v>10.199999999999999</v>
      </c>
      <c r="U253" s="303">
        <v>10.199999999999999</v>
      </c>
      <c r="V253" s="303">
        <v>10.199999999999999</v>
      </c>
      <c r="W253" s="303">
        <v>10.199999999999999</v>
      </c>
      <c r="X253" s="303">
        <v>10.199999999999999</v>
      </c>
      <c r="Y253" s="303">
        <v>10.199999999999999</v>
      </c>
      <c r="Z253" s="304">
        <v>1.3</v>
      </c>
      <c r="AA253" s="304">
        <v>1.3</v>
      </c>
      <c r="AB253" s="304">
        <v>1.3</v>
      </c>
      <c r="AC253" s="304">
        <v>0</v>
      </c>
      <c r="AD253" s="304">
        <v>1.3</v>
      </c>
      <c r="AE253" s="304">
        <v>1.3</v>
      </c>
      <c r="AF253" s="304">
        <v>1.3</v>
      </c>
      <c r="AG253" s="304">
        <v>1.3</v>
      </c>
      <c r="AH253" s="304">
        <v>1.3</v>
      </c>
      <c r="AI253" s="304">
        <v>1.3</v>
      </c>
      <c r="AJ253" s="304">
        <v>1.3</v>
      </c>
      <c r="AK253" s="304">
        <v>1.3</v>
      </c>
      <c r="AL253" s="265">
        <v>80</v>
      </c>
      <c r="AM253" s="254">
        <f t="shared" si="24"/>
        <v>104</v>
      </c>
      <c r="AN253" s="265">
        <v>40</v>
      </c>
      <c r="AO253" s="254">
        <f t="shared" si="25"/>
        <v>52</v>
      </c>
      <c r="AP253" s="265"/>
      <c r="AQ253" s="254">
        <f t="shared" si="26"/>
        <v>0</v>
      </c>
      <c r="AR253" s="265"/>
      <c r="AS253" s="257">
        <f t="shared" si="27"/>
        <v>0</v>
      </c>
      <c r="AT253" s="385"/>
      <c r="AU253" s="257">
        <f t="shared" si="28"/>
        <v>0</v>
      </c>
      <c r="AV253" s="390"/>
      <c r="AW253" s="257">
        <f t="shared" si="29"/>
        <v>0</v>
      </c>
      <c r="AX253" s="265"/>
      <c r="AY253" s="257">
        <f t="shared" si="30"/>
        <v>0</v>
      </c>
      <c r="AZ253" s="265"/>
      <c r="BA253" s="257">
        <f t="shared" si="31"/>
        <v>0</v>
      </c>
      <c r="BB253" s="265"/>
      <c r="BC253" s="257">
        <f t="shared" si="32"/>
        <v>0</v>
      </c>
      <c r="BD253" s="265"/>
      <c r="BE253" s="257">
        <f t="shared" si="33"/>
        <v>0</v>
      </c>
      <c r="BF253" s="265"/>
      <c r="BG253" s="257">
        <f t="shared" si="34"/>
        <v>0</v>
      </c>
      <c r="BH253" s="265"/>
      <c r="BI253" s="257">
        <f t="shared" si="35"/>
        <v>0</v>
      </c>
      <c r="BJ253" s="1" t="s">
        <v>648</v>
      </c>
      <c r="BL253" s="1" t="s">
        <v>457</v>
      </c>
      <c r="BM253" s="1" t="s">
        <v>649</v>
      </c>
    </row>
    <row r="254" spans="1:65" ht="15" customHeight="1">
      <c r="A254" s="250" t="s">
        <v>951</v>
      </c>
      <c r="B254" s="59" t="s">
        <v>221</v>
      </c>
      <c r="C254" s="354" t="s">
        <v>172</v>
      </c>
      <c r="D254" s="476"/>
      <c r="E254" s="359" t="s">
        <v>173</v>
      </c>
      <c r="F254" s="421"/>
      <c r="G254" s="317">
        <v>2023</v>
      </c>
      <c r="H254" s="323" t="s">
        <v>377</v>
      </c>
      <c r="I254" s="332" t="s">
        <v>249</v>
      </c>
      <c r="J254" s="331">
        <v>16</v>
      </c>
      <c r="K254" s="323" t="s">
        <v>378</v>
      </c>
      <c r="L254" s="323" t="s">
        <v>344</v>
      </c>
      <c r="M254" s="303" t="s">
        <v>558</v>
      </c>
      <c r="N254" s="303">
        <v>10.8</v>
      </c>
      <c r="O254" s="303">
        <v>10.8</v>
      </c>
      <c r="P254" s="303">
        <v>10.8</v>
      </c>
      <c r="Q254" s="303">
        <v>10.8</v>
      </c>
      <c r="R254" s="303">
        <v>10.8</v>
      </c>
      <c r="S254" s="303">
        <v>10.8</v>
      </c>
      <c r="T254" s="303">
        <v>10.8</v>
      </c>
      <c r="U254" s="303">
        <v>10.8</v>
      </c>
      <c r="V254" s="303">
        <v>10.8</v>
      </c>
      <c r="W254" s="303">
        <v>10.8</v>
      </c>
      <c r="X254" s="303">
        <v>10.8</v>
      </c>
      <c r="Y254" s="303">
        <v>10.8</v>
      </c>
      <c r="Z254" s="304">
        <v>1.4</v>
      </c>
      <c r="AA254" s="304">
        <v>1.4</v>
      </c>
      <c r="AB254" s="304">
        <v>1.4</v>
      </c>
      <c r="AC254" s="304">
        <v>0</v>
      </c>
      <c r="AD254" s="304">
        <v>1.4</v>
      </c>
      <c r="AE254" s="304">
        <v>1.4</v>
      </c>
      <c r="AF254" s="304">
        <v>1.4</v>
      </c>
      <c r="AG254" s="304">
        <v>1.4</v>
      </c>
      <c r="AH254" s="304">
        <v>1.4</v>
      </c>
      <c r="AI254" s="304">
        <v>1.4</v>
      </c>
      <c r="AJ254" s="304">
        <v>1.4</v>
      </c>
      <c r="AK254" s="304">
        <v>1.4</v>
      </c>
      <c r="AL254" s="265">
        <v>200</v>
      </c>
      <c r="AM254" s="254">
        <f t="shared" si="24"/>
        <v>280</v>
      </c>
      <c r="AN254" s="265"/>
      <c r="AO254" s="254">
        <f t="shared" si="25"/>
        <v>0</v>
      </c>
      <c r="AP254" s="265">
        <v>40</v>
      </c>
      <c r="AQ254" s="254">
        <f t="shared" si="26"/>
        <v>56</v>
      </c>
      <c r="AR254" s="265"/>
      <c r="AS254" s="257">
        <f t="shared" si="27"/>
        <v>0</v>
      </c>
      <c r="AT254" s="385"/>
      <c r="AU254" s="257">
        <f t="shared" si="28"/>
        <v>0</v>
      </c>
      <c r="AV254" s="390"/>
      <c r="AW254" s="257">
        <f t="shared" si="29"/>
        <v>0</v>
      </c>
      <c r="AX254" s="265"/>
      <c r="AY254" s="257">
        <f t="shared" si="30"/>
        <v>0</v>
      </c>
      <c r="AZ254" s="265"/>
      <c r="BA254" s="257">
        <f t="shared" si="31"/>
        <v>0</v>
      </c>
      <c r="BB254" s="265"/>
      <c r="BC254" s="257">
        <f t="shared" si="32"/>
        <v>0</v>
      </c>
      <c r="BD254" s="265"/>
      <c r="BE254" s="257">
        <f t="shared" si="33"/>
        <v>0</v>
      </c>
      <c r="BF254" s="265"/>
      <c r="BG254" s="257">
        <f t="shared" si="34"/>
        <v>0</v>
      </c>
      <c r="BH254" s="265"/>
      <c r="BI254" s="257">
        <f t="shared" si="35"/>
        <v>0</v>
      </c>
      <c r="BJ254" s="1" t="s">
        <v>650</v>
      </c>
      <c r="BL254" s="1" t="s">
        <v>457</v>
      </c>
      <c r="BM254" s="1" t="s">
        <v>651</v>
      </c>
    </row>
    <row r="255" spans="1:65" ht="16.5" customHeight="1">
      <c r="A255" s="250" t="s">
        <v>951</v>
      </c>
      <c r="B255" s="59" t="s">
        <v>221</v>
      </c>
      <c r="C255" s="354" t="s">
        <v>172</v>
      </c>
      <c r="D255" s="476"/>
      <c r="E255" s="359" t="s">
        <v>173</v>
      </c>
      <c r="F255" s="421"/>
      <c r="G255" s="317">
        <v>2023</v>
      </c>
      <c r="H255" s="323" t="s">
        <v>377</v>
      </c>
      <c r="I255" s="327" t="s">
        <v>249</v>
      </c>
      <c r="J255" s="331">
        <v>16</v>
      </c>
      <c r="K255" s="323" t="s">
        <v>379</v>
      </c>
      <c r="L255" s="323" t="s">
        <v>344</v>
      </c>
      <c r="M255" s="303" t="s">
        <v>558</v>
      </c>
      <c r="N255" s="303">
        <v>11.2</v>
      </c>
      <c r="O255" s="303">
        <v>11.2</v>
      </c>
      <c r="P255" s="303">
        <v>11.2</v>
      </c>
      <c r="Q255" s="303">
        <v>11.2</v>
      </c>
      <c r="R255" s="303">
        <v>11.2</v>
      </c>
      <c r="S255" s="303">
        <v>11.2</v>
      </c>
      <c r="T255" s="303">
        <v>11.2</v>
      </c>
      <c r="U255" s="303">
        <v>11.2</v>
      </c>
      <c r="V255" s="303">
        <v>11.2</v>
      </c>
      <c r="W255" s="303">
        <v>11.2</v>
      </c>
      <c r="X255" s="303">
        <v>11.2</v>
      </c>
      <c r="Y255" s="303">
        <v>11.2</v>
      </c>
      <c r="Z255" s="304">
        <v>1.8</v>
      </c>
      <c r="AA255" s="304">
        <v>1.8</v>
      </c>
      <c r="AB255" s="304">
        <v>1.8</v>
      </c>
      <c r="AC255" s="304">
        <v>0</v>
      </c>
      <c r="AD255" s="304">
        <v>1.8</v>
      </c>
      <c r="AE255" s="304">
        <v>1.8</v>
      </c>
      <c r="AF255" s="304">
        <v>1.8</v>
      </c>
      <c r="AG255" s="304">
        <v>1.8</v>
      </c>
      <c r="AH255" s="304">
        <v>1.8</v>
      </c>
      <c r="AI255" s="304">
        <v>1.8</v>
      </c>
      <c r="AJ255" s="304">
        <v>1.8</v>
      </c>
      <c r="AK255" s="304">
        <v>1.8</v>
      </c>
      <c r="AL255" s="265"/>
      <c r="AM255" s="254">
        <f t="shared" si="24"/>
        <v>0</v>
      </c>
      <c r="AN255" s="265"/>
      <c r="AO255" s="254">
        <f t="shared" si="25"/>
        <v>0</v>
      </c>
      <c r="AP255" s="274"/>
      <c r="AQ255" s="254">
        <f t="shared" si="26"/>
        <v>0</v>
      </c>
      <c r="AR255" s="256"/>
      <c r="AS255" s="257">
        <f t="shared" si="27"/>
        <v>0</v>
      </c>
      <c r="AT255" s="385"/>
      <c r="AU255" s="257">
        <f t="shared" si="28"/>
        <v>0</v>
      </c>
      <c r="AV255" s="389"/>
      <c r="AW255" s="257">
        <f t="shared" si="29"/>
        <v>0</v>
      </c>
      <c r="AX255" s="265"/>
      <c r="AY255" s="257">
        <f t="shared" si="30"/>
        <v>0</v>
      </c>
      <c r="AZ255" s="265"/>
      <c r="BA255" s="257">
        <f t="shared" si="31"/>
        <v>0</v>
      </c>
      <c r="BB255" s="274"/>
      <c r="BC255" s="257">
        <f t="shared" si="32"/>
        <v>0</v>
      </c>
      <c r="BD255" s="265"/>
      <c r="BE255" s="257">
        <f t="shared" si="33"/>
        <v>0</v>
      </c>
      <c r="BF255" s="265"/>
      <c r="BG255" s="257">
        <f t="shared" si="34"/>
        <v>0</v>
      </c>
      <c r="BH255" s="265"/>
      <c r="BI255" s="257">
        <f t="shared" si="35"/>
        <v>0</v>
      </c>
      <c r="BJ255" s="1" t="s">
        <v>652</v>
      </c>
      <c r="BL255" s="1" t="s">
        <v>457</v>
      </c>
      <c r="BM255" s="1" t="s">
        <v>653</v>
      </c>
    </row>
    <row r="256" spans="1:65" ht="16.5" customHeight="1">
      <c r="A256" s="250" t="s">
        <v>951</v>
      </c>
      <c r="B256" s="59" t="s">
        <v>221</v>
      </c>
      <c r="C256" s="354" t="s">
        <v>172</v>
      </c>
      <c r="D256" s="476"/>
      <c r="E256" s="359" t="s">
        <v>173</v>
      </c>
      <c r="F256" s="421"/>
      <c r="G256" s="317">
        <v>2024</v>
      </c>
      <c r="H256" s="323" t="s">
        <v>380</v>
      </c>
      <c r="I256" s="327" t="s">
        <v>249</v>
      </c>
      <c r="J256" s="331">
        <v>16</v>
      </c>
      <c r="K256" s="323" t="s">
        <v>335</v>
      </c>
      <c r="L256" s="323" t="s">
        <v>382</v>
      </c>
      <c r="M256" s="303" t="s">
        <v>654</v>
      </c>
      <c r="N256" s="303">
        <v>8.8000000000000007</v>
      </c>
      <c r="O256" s="303">
        <v>8.8000000000000007</v>
      </c>
      <c r="P256" s="303">
        <v>7.65</v>
      </c>
      <c r="Q256" s="303">
        <v>7.65</v>
      </c>
      <c r="R256" s="401">
        <v>8.35</v>
      </c>
      <c r="S256" s="401">
        <v>8.35</v>
      </c>
      <c r="T256" s="401">
        <v>8.35</v>
      </c>
      <c r="U256" s="401">
        <v>8.35</v>
      </c>
      <c r="V256" s="401">
        <v>8.35</v>
      </c>
      <c r="W256" s="401">
        <v>8.35</v>
      </c>
      <c r="X256" s="401">
        <v>8.35</v>
      </c>
      <c r="Y256" s="401">
        <v>8.35</v>
      </c>
      <c r="Z256" s="59">
        <v>1.6</v>
      </c>
      <c r="AA256" s="59">
        <v>1.6</v>
      </c>
      <c r="AB256" s="59">
        <v>0.55000000000000004</v>
      </c>
      <c r="AC256" s="304">
        <v>0</v>
      </c>
      <c r="AD256" s="402">
        <v>0.65</v>
      </c>
      <c r="AE256" s="402">
        <v>0.65</v>
      </c>
      <c r="AF256" s="402">
        <v>0.65</v>
      </c>
      <c r="AG256" s="402">
        <v>0.65</v>
      </c>
      <c r="AH256" s="402">
        <v>0.65</v>
      </c>
      <c r="AI256" s="402">
        <v>0.65</v>
      </c>
      <c r="AJ256" s="402">
        <v>0.65</v>
      </c>
      <c r="AK256" s="402">
        <v>0.65</v>
      </c>
      <c r="AL256" s="265">
        <v>11750</v>
      </c>
      <c r="AM256" s="254">
        <f t="shared" si="24"/>
        <v>18800</v>
      </c>
      <c r="AN256" s="265">
        <v>9152</v>
      </c>
      <c r="AO256" s="254">
        <f t="shared" si="25"/>
        <v>14643.2</v>
      </c>
      <c r="AP256" s="271">
        <v>4000</v>
      </c>
      <c r="AQ256" s="254">
        <f t="shared" si="26"/>
        <v>2200</v>
      </c>
      <c r="AR256" s="256">
        <v>4914</v>
      </c>
      <c r="AS256" s="257">
        <f t="shared" si="27"/>
        <v>0</v>
      </c>
      <c r="AT256" s="382">
        <v>2320</v>
      </c>
      <c r="AU256" s="257">
        <f t="shared" si="28"/>
        <v>1508</v>
      </c>
      <c r="AV256" s="268">
        <v>10000</v>
      </c>
      <c r="AW256" s="257">
        <f t="shared" si="29"/>
        <v>6500</v>
      </c>
      <c r="AX256" s="268">
        <v>10000</v>
      </c>
      <c r="AY256" s="257">
        <f t="shared" si="30"/>
        <v>6500</v>
      </c>
      <c r="AZ256" s="268">
        <v>15000</v>
      </c>
      <c r="BA256" s="257">
        <f t="shared" si="31"/>
        <v>9750</v>
      </c>
      <c r="BB256" s="270">
        <v>10000</v>
      </c>
      <c r="BC256" s="257">
        <f t="shared" si="32"/>
        <v>6500</v>
      </c>
      <c r="BD256" s="270">
        <v>10000</v>
      </c>
      <c r="BE256" s="257">
        <f t="shared" si="33"/>
        <v>6500</v>
      </c>
      <c r="BF256" s="256">
        <v>15000</v>
      </c>
      <c r="BG256" s="257">
        <f t="shared" si="34"/>
        <v>9750</v>
      </c>
      <c r="BH256" s="256">
        <v>10000</v>
      </c>
      <c r="BI256" s="257">
        <f t="shared" si="35"/>
        <v>6500</v>
      </c>
      <c r="BJ256" s="1" t="s">
        <v>655</v>
      </c>
      <c r="BL256" s="1" t="s">
        <v>457</v>
      </c>
      <c r="BM256" s="1" t="s">
        <v>656</v>
      </c>
    </row>
    <row r="257" spans="1:65" ht="16.5" customHeight="1">
      <c r="A257" s="250" t="s">
        <v>951</v>
      </c>
      <c r="B257" s="59" t="s">
        <v>221</v>
      </c>
      <c r="C257" s="354" t="s">
        <v>172</v>
      </c>
      <c r="D257" s="476"/>
      <c r="E257" s="359" t="s">
        <v>173</v>
      </c>
      <c r="F257" s="421"/>
      <c r="G257" s="317">
        <v>2024</v>
      </c>
      <c r="H257" s="323" t="s">
        <v>380</v>
      </c>
      <c r="I257" s="327" t="s">
        <v>249</v>
      </c>
      <c r="J257" s="331">
        <v>16</v>
      </c>
      <c r="K257" s="323" t="s">
        <v>384</v>
      </c>
      <c r="L257" s="323" t="s">
        <v>382</v>
      </c>
      <c r="M257" s="303" t="s">
        <v>654</v>
      </c>
      <c r="N257" s="303">
        <v>11.6</v>
      </c>
      <c r="O257" s="303">
        <v>11.6</v>
      </c>
      <c r="P257" s="303">
        <v>11.6</v>
      </c>
      <c r="Q257" s="303">
        <v>11.6</v>
      </c>
      <c r="R257" s="303">
        <v>11.6</v>
      </c>
      <c r="S257" s="303">
        <v>11.6</v>
      </c>
      <c r="T257" s="303">
        <v>11.6</v>
      </c>
      <c r="U257" s="303">
        <v>11.6</v>
      </c>
      <c r="V257" s="303">
        <v>11.6</v>
      </c>
      <c r="W257" s="303">
        <v>11.6</v>
      </c>
      <c r="X257" s="303">
        <v>11.6</v>
      </c>
      <c r="Y257" s="303">
        <v>11.6</v>
      </c>
      <c r="Z257" s="59">
        <v>2.6</v>
      </c>
      <c r="AA257" s="59">
        <v>2.6</v>
      </c>
      <c r="AB257" s="59">
        <v>2.7</v>
      </c>
      <c r="AC257" s="304">
        <v>0</v>
      </c>
      <c r="AD257" s="59">
        <v>2.7</v>
      </c>
      <c r="AE257" s="59">
        <v>2.7</v>
      </c>
      <c r="AF257" s="59">
        <v>2.7</v>
      </c>
      <c r="AG257" s="59">
        <v>2.7</v>
      </c>
      <c r="AH257" s="59">
        <v>2.7</v>
      </c>
      <c r="AI257" s="59">
        <v>2.7</v>
      </c>
      <c r="AJ257" s="59">
        <v>2.7</v>
      </c>
      <c r="AK257" s="59">
        <v>2.7</v>
      </c>
      <c r="AL257" s="265">
        <v>1636</v>
      </c>
      <c r="AM257" s="254">
        <f t="shared" si="24"/>
        <v>4253.6000000000004</v>
      </c>
      <c r="AN257" s="265">
        <v>2875</v>
      </c>
      <c r="AO257" s="254">
        <f t="shared" si="25"/>
        <v>7475</v>
      </c>
      <c r="AP257" s="265">
        <v>2600</v>
      </c>
      <c r="AQ257" s="254">
        <f t="shared" si="26"/>
        <v>7020.0000000000009</v>
      </c>
      <c r="AR257" s="265">
        <v>240</v>
      </c>
      <c r="AS257" s="257">
        <f t="shared" si="27"/>
        <v>0</v>
      </c>
      <c r="AT257" s="265">
        <v>80</v>
      </c>
      <c r="AU257" s="257">
        <f t="shared" si="28"/>
        <v>216</v>
      </c>
      <c r="AV257" s="265">
        <v>1000</v>
      </c>
      <c r="AW257" s="257">
        <f t="shared" si="29"/>
        <v>2700</v>
      </c>
      <c r="AX257" s="265">
        <v>1000</v>
      </c>
      <c r="AY257" s="257">
        <f t="shared" si="30"/>
        <v>2700</v>
      </c>
      <c r="AZ257" s="265">
        <v>1000</v>
      </c>
      <c r="BA257" s="257">
        <f t="shared" si="31"/>
        <v>2700</v>
      </c>
      <c r="BB257" s="265">
        <v>1000</v>
      </c>
      <c r="BC257" s="257">
        <f t="shared" si="32"/>
        <v>2700</v>
      </c>
      <c r="BD257" s="265">
        <v>1000</v>
      </c>
      <c r="BE257" s="257">
        <f t="shared" si="33"/>
        <v>2700</v>
      </c>
      <c r="BF257" s="265">
        <v>1000</v>
      </c>
      <c r="BG257" s="257">
        <f t="shared" si="34"/>
        <v>2700</v>
      </c>
      <c r="BH257" s="265">
        <v>1000</v>
      </c>
      <c r="BI257" s="257">
        <f t="shared" si="35"/>
        <v>2700</v>
      </c>
      <c r="BJ257" s="1" t="s">
        <v>657</v>
      </c>
      <c r="BL257" s="1" t="s">
        <v>457</v>
      </c>
      <c r="BM257" s="1" t="s">
        <v>658</v>
      </c>
    </row>
    <row r="258" spans="1:65" ht="16.5" customHeight="1">
      <c r="A258" s="250" t="s">
        <v>951</v>
      </c>
      <c r="B258" s="59" t="s">
        <v>221</v>
      </c>
      <c r="C258" s="354" t="s">
        <v>172</v>
      </c>
      <c r="D258" s="476"/>
      <c r="E258" s="359" t="s">
        <v>173</v>
      </c>
      <c r="F258" s="421"/>
      <c r="G258" s="317">
        <v>2025</v>
      </c>
      <c r="H258" s="323" t="s">
        <v>659</v>
      </c>
      <c r="I258" s="327" t="s">
        <v>249</v>
      </c>
      <c r="J258" s="331">
        <v>14</v>
      </c>
      <c r="K258" s="323" t="s">
        <v>335</v>
      </c>
      <c r="L258" s="323" t="s">
        <v>344</v>
      </c>
      <c r="M258" s="303" t="s">
        <v>558</v>
      </c>
      <c r="N258" s="303">
        <v>7.95</v>
      </c>
      <c r="O258" s="303">
        <v>7.95</v>
      </c>
      <c r="P258" s="303">
        <v>7.85</v>
      </c>
      <c r="Q258" s="303">
        <v>7.85</v>
      </c>
      <c r="R258" s="401">
        <v>8.1999999999999993</v>
      </c>
      <c r="S258" s="401">
        <v>8.1999999999999993</v>
      </c>
      <c r="T258" s="401">
        <v>8.1999999999999993</v>
      </c>
      <c r="U258" s="401">
        <v>8.1999999999999993</v>
      </c>
      <c r="V258" s="401">
        <v>8.1999999999999993</v>
      </c>
      <c r="W258" s="401">
        <v>8.1999999999999993</v>
      </c>
      <c r="X258" s="401">
        <v>8.1999999999999993</v>
      </c>
      <c r="Y258" s="401">
        <v>8.1999999999999993</v>
      </c>
      <c r="Z258" s="59">
        <v>0.85</v>
      </c>
      <c r="AA258" s="59">
        <v>0.85</v>
      </c>
      <c r="AB258" s="59">
        <v>0.75</v>
      </c>
      <c r="AC258" s="304">
        <v>0</v>
      </c>
      <c r="AD258" s="402">
        <v>0.59999999999999964</v>
      </c>
      <c r="AE258" s="402">
        <v>0.59999999999999964</v>
      </c>
      <c r="AF258" s="402">
        <v>0.59999999999999964</v>
      </c>
      <c r="AG258" s="402">
        <v>0.59999999999999964</v>
      </c>
      <c r="AH258" s="402">
        <v>0.59999999999999964</v>
      </c>
      <c r="AI258" s="402">
        <v>0.59999999999999964</v>
      </c>
      <c r="AJ258" s="402">
        <v>0.59999999999999964</v>
      </c>
      <c r="AK258" s="402">
        <v>0.59999999999999964</v>
      </c>
      <c r="AL258" s="265">
        <v>6770</v>
      </c>
      <c r="AM258" s="254">
        <f t="shared" si="24"/>
        <v>5754.5</v>
      </c>
      <c r="AN258" s="265">
        <v>5438</v>
      </c>
      <c r="AO258" s="254">
        <f t="shared" si="25"/>
        <v>4622.3</v>
      </c>
      <c r="AP258" s="265">
        <v>3040</v>
      </c>
      <c r="AQ258" s="254">
        <f t="shared" si="26"/>
        <v>2280</v>
      </c>
      <c r="AR258" s="265">
        <v>3960</v>
      </c>
      <c r="AS258" s="257">
        <f t="shared" si="27"/>
        <v>0</v>
      </c>
      <c r="AT258" s="385">
        <v>2760</v>
      </c>
      <c r="AU258" s="257">
        <f t="shared" si="28"/>
        <v>1655.9999999999991</v>
      </c>
      <c r="AV258" s="390">
        <v>10000</v>
      </c>
      <c r="AW258" s="257">
        <f t="shared" si="29"/>
        <v>5999.9999999999964</v>
      </c>
      <c r="AX258" s="390">
        <v>10000</v>
      </c>
      <c r="AY258" s="257">
        <f t="shared" si="30"/>
        <v>5999.9999999999964</v>
      </c>
      <c r="AZ258" s="265">
        <v>13000</v>
      </c>
      <c r="BA258" s="257">
        <f t="shared" si="31"/>
        <v>7799.9999999999955</v>
      </c>
      <c r="BB258" s="265">
        <v>10000</v>
      </c>
      <c r="BC258" s="257">
        <f t="shared" si="32"/>
        <v>5999.9999999999964</v>
      </c>
      <c r="BD258" s="265">
        <v>10000</v>
      </c>
      <c r="BE258" s="257">
        <f t="shared" si="33"/>
        <v>5999.9999999999964</v>
      </c>
      <c r="BF258" s="265">
        <v>14000</v>
      </c>
      <c r="BG258" s="257">
        <f t="shared" si="34"/>
        <v>8399.9999999999945</v>
      </c>
      <c r="BH258" s="265">
        <v>10000</v>
      </c>
      <c r="BI258" s="257">
        <f t="shared" si="35"/>
        <v>5999.9999999999964</v>
      </c>
      <c r="BJ258" s="1" t="s">
        <v>660</v>
      </c>
      <c r="BL258" s="1" t="s">
        <v>457</v>
      </c>
      <c r="BM258" s="1" t="s">
        <v>661</v>
      </c>
    </row>
    <row r="259" spans="1:65" ht="15" customHeight="1">
      <c r="A259" s="250" t="s">
        <v>951</v>
      </c>
      <c r="B259" s="59" t="s">
        <v>221</v>
      </c>
      <c r="C259" s="354" t="s">
        <v>172</v>
      </c>
      <c r="D259" s="476"/>
      <c r="E259" s="359" t="s">
        <v>173</v>
      </c>
      <c r="F259" s="421"/>
      <c r="G259" s="317">
        <v>2025</v>
      </c>
      <c r="H259" s="323" t="s">
        <v>659</v>
      </c>
      <c r="I259" s="332" t="s">
        <v>175</v>
      </c>
      <c r="J259" s="331">
        <v>14</v>
      </c>
      <c r="K259" s="323" t="s">
        <v>335</v>
      </c>
      <c r="L259" s="323" t="s">
        <v>344</v>
      </c>
      <c r="M259" s="303" t="s">
        <v>558</v>
      </c>
      <c r="N259" s="303">
        <v>4.7</v>
      </c>
      <c r="O259" s="303">
        <v>4.7</v>
      </c>
      <c r="P259" s="303">
        <v>4.7</v>
      </c>
      <c r="Q259" s="303">
        <v>4.7</v>
      </c>
      <c r="R259" s="401">
        <v>5.3</v>
      </c>
      <c r="S259" s="401">
        <v>5.3</v>
      </c>
      <c r="T259" s="401">
        <v>5.3</v>
      </c>
      <c r="U259" s="401">
        <v>5.3</v>
      </c>
      <c r="V259" s="401">
        <v>5.3</v>
      </c>
      <c r="W259" s="401">
        <v>5.3</v>
      </c>
      <c r="X259" s="401">
        <v>5.3</v>
      </c>
      <c r="Y259" s="401">
        <v>5.3</v>
      </c>
      <c r="Z259" s="59">
        <v>0.3</v>
      </c>
      <c r="AA259" s="59">
        <v>0.3</v>
      </c>
      <c r="AB259" s="59">
        <v>0.3</v>
      </c>
      <c r="AC259" s="304">
        <v>0</v>
      </c>
      <c r="AD259" s="402">
        <v>0.39999999999999947</v>
      </c>
      <c r="AE259" s="402">
        <v>0.39999999999999947</v>
      </c>
      <c r="AF259" s="402">
        <v>0.39999999999999947</v>
      </c>
      <c r="AG259" s="402">
        <v>0.39999999999999947</v>
      </c>
      <c r="AH259" s="402">
        <v>0.39999999999999947</v>
      </c>
      <c r="AI259" s="402">
        <v>0.39999999999999947</v>
      </c>
      <c r="AJ259" s="402">
        <v>0.39999999999999947</v>
      </c>
      <c r="AK259" s="402">
        <v>0.39999999999999947</v>
      </c>
      <c r="AL259" s="265">
        <v>920</v>
      </c>
      <c r="AM259" s="254">
        <f t="shared" si="24"/>
        <v>276</v>
      </c>
      <c r="AN259" s="265">
        <v>1959</v>
      </c>
      <c r="AO259" s="254">
        <f t="shared" si="25"/>
        <v>587.69999999999993</v>
      </c>
      <c r="AP259" s="265">
        <v>320</v>
      </c>
      <c r="AQ259" s="254">
        <f t="shared" si="26"/>
        <v>96</v>
      </c>
      <c r="AR259" s="265">
        <v>1920</v>
      </c>
      <c r="AS259" s="257">
        <f t="shared" si="27"/>
        <v>0</v>
      </c>
      <c r="AT259" s="265">
        <v>2320</v>
      </c>
      <c r="AU259" s="257">
        <f t="shared" si="28"/>
        <v>927.99999999999875</v>
      </c>
      <c r="AV259" s="265">
        <v>1000</v>
      </c>
      <c r="AW259" s="257">
        <f t="shared" si="29"/>
        <v>399.99999999999949</v>
      </c>
      <c r="AX259" s="265">
        <v>1000</v>
      </c>
      <c r="AY259" s="257">
        <f t="shared" si="30"/>
        <v>399.99999999999949</v>
      </c>
      <c r="AZ259" s="265">
        <v>1000</v>
      </c>
      <c r="BA259" s="257">
        <f t="shared" si="31"/>
        <v>399.99999999999949</v>
      </c>
      <c r="BB259" s="265">
        <v>1000</v>
      </c>
      <c r="BC259" s="257">
        <f t="shared" si="32"/>
        <v>399.99999999999949</v>
      </c>
      <c r="BD259" s="265">
        <v>1000</v>
      </c>
      <c r="BE259" s="257">
        <f t="shared" si="33"/>
        <v>399.99999999999949</v>
      </c>
      <c r="BF259" s="265">
        <v>1000</v>
      </c>
      <c r="BG259" s="257">
        <f t="shared" si="34"/>
        <v>399.99999999999949</v>
      </c>
      <c r="BH259" s="265">
        <v>1000</v>
      </c>
      <c r="BI259" s="257">
        <f t="shared" si="35"/>
        <v>399.99999999999949</v>
      </c>
      <c r="BJ259" s="1" t="s">
        <v>662</v>
      </c>
      <c r="BL259" s="1" t="s">
        <v>457</v>
      </c>
      <c r="BM259" s="1" t="s">
        <v>663</v>
      </c>
    </row>
    <row r="260" spans="1:65" ht="15" customHeight="1">
      <c r="A260" s="250" t="s">
        <v>951</v>
      </c>
      <c r="B260" s="59" t="s">
        <v>221</v>
      </c>
      <c r="C260" s="354" t="s">
        <v>172</v>
      </c>
      <c r="D260" s="476"/>
      <c r="E260" s="359" t="s">
        <v>173</v>
      </c>
      <c r="F260" s="421"/>
      <c r="G260" s="317">
        <v>2025</v>
      </c>
      <c r="H260" s="323" t="s">
        <v>659</v>
      </c>
      <c r="I260" s="327" t="s">
        <v>249</v>
      </c>
      <c r="J260" s="331">
        <v>14</v>
      </c>
      <c r="K260" s="323" t="s">
        <v>384</v>
      </c>
      <c r="L260" s="323" t="s">
        <v>344</v>
      </c>
      <c r="M260" s="303" t="s">
        <v>558</v>
      </c>
      <c r="N260" s="303">
        <v>9.4</v>
      </c>
      <c r="O260" s="303">
        <v>9.4</v>
      </c>
      <c r="P260" s="303">
        <v>9.1999999999999993</v>
      </c>
      <c r="Q260" s="303">
        <v>9.1999999999999993</v>
      </c>
      <c r="R260" s="401">
        <v>9.6</v>
      </c>
      <c r="S260" s="401">
        <v>9.6</v>
      </c>
      <c r="T260" s="401">
        <v>9.6</v>
      </c>
      <c r="U260" s="401">
        <v>9.6</v>
      </c>
      <c r="V260" s="401">
        <v>9.6</v>
      </c>
      <c r="W260" s="401">
        <v>9.6</v>
      </c>
      <c r="X260" s="401">
        <v>9.6</v>
      </c>
      <c r="Y260" s="401">
        <v>9.6</v>
      </c>
      <c r="Z260" s="304">
        <v>1.65</v>
      </c>
      <c r="AA260" s="304">
        <v>1.65</v>
      </c>
      <c r="AB260" s="304">
        <v>1.5</v>
      </c>
      <c r="AC260" s="304">
        <v>0</v>
      </c>
      <c r="AD260" s="403">
        <v>1.4000000000000004</v>
      </c>
      <c r="AE260" s="403">
        <v>1.4000000000000004</v>
      </c>
      <c r="AF260" s="403">
        <v>1.4000000000000004</v>
      </c>
      <c r="AG260" s="403">
        <v>1.4000000000000004</v>
      </c>
      <c r="AH260" s="403">
        <v>1.4000000000000004</v>
      </c>
      <c r="AI260" s="403">
        <v>1.4000000000000004</v>
      </c>
      <c r="AJ260" s="403">
        <v>1.4000000000000004</v>
      </c>
      <c r="AK260" s="403">
        <v>1.4000000000000004</v>
      </c>
      <c r="AL260" s="265">
        <v>717</v>
      </c>
      <c r="AM260" s="254">
        <f t="shared" si="24"/>
        <v>1183.05</v>
      </c>
      <c r="AN260" s="265">
        <v>840</v>
      </c>
      <c r="AO260" s="254">
        <f t="shared" si="25"/>
        <v>1386</v>
      </c>
      <c r="AP260" s="265">
        <v>520</v>
      </c>
      <c r="AQ260" s="254">
        <f t="shared" si="26"/>
        <v>780</v>
      </c>
      <c r="AR260" s="265">
        <v>840</v>
      </c>
      <c r="AS260" s="257">
        <f t="shared" si="27"/>
        <v>0</v>
      </c>
      <c r="AT260" s="265">
        <v>1680</v>
      </c>
      <c r="AU260" s="257">
        <f t="shared" si="28"/>
        <v>2352.0000000000005</v>
      </c>
      <c r="AV260" s="265">
        <v>200</v>
      </c>
      <c r="AW260" s="257">
        <f t="shared" si="29"/>
        <v>280.00000000000006</v>
      </c>
      <c r="AX260" s="265">
        <v>200</v>
      </c>
      <c r="AY260" s="257">
        <f t="shared" si="30"/>
        <v>280.00000000000006</v>
      </c>
      <c r="AZ260" s="265">
        <v>200</v>
      </c>
      <c r="BA260" s="257">
        <f t="shared" si="31"/>
        <v>280.00000000000006</v>
      </c>
      <c r="BB260" s="265">
        <v>200</v>
      </c>
      <c r="BC260" s="257">
        <f t="shared" si="32"/>
        <v>280.00000000000006</v>
      </c>
      <c r="BD260" s="265">
        <v>200</v>
      </c>
      <c r="BE260" s="257">
        <f t="shared" si="33"/>
        <v>280.00000000000006</v>
      </c>
      <c r="BF260" s="265">
        <v>200</v>
      </c>
      <c r="BG260" s="257">
        <f t="shared" si="34"/>
        <v>280.00000000000006</v>
      </c>
      <c r="BH260" s="265">
        <v>200</v>
      </c>
      <c r="BI260" s="257">
        <f t="shared" si="35"/>
        <v>280.00000000000006</v>
      </c>
      <c r="BJ260" s="1" t="s">
        <v>664</v>
      </c>
      <c r="BL260" s="1" t="s">
        <v>457</v>
      </c>
      <c r="BM260" s="1" t="s">
        <v>665</v>
      </c>
    </row>
    <row r="261" spans="1:65" ht="15" customHeight="1">
      <c r="A261" s="250" t="s">
        <v>951</v>
      </c>
      <c r="B261" s="59" t="s">
        <v>221</v>
      </c>
      <c r="C261" s="354" t="s">
        <v>172</v>
      </c>
      <c r="D261" s="476"/>
      <c r="E261" s="359" t="s">
        <v>173</v>
      </c>
      <c r="F261" s="421"/>
      <c r="G261" s="317">
        <v>2025</v>
      </c>
      <c r="H261" s="323" t="s">
        <v>659</v>
      </c>
      <c r="I261" s="332" t="s">
        <v>175</v>
      </c>
      <c r="J261" s="331">
        <v>14</v>
      </c>
      <c r="K261" s="323" t="s">
        <v>384</v>
      </c>
      <c r="L261" s="323" t="s">
        <v>344</v>
      </c>
      <c r="M261" s="303" t="s">
        <v>558</v>
      </c>
      <c r="N261" s="303">
        <v>4.7</v>
      </c>
      <c r="O261" s="303">
        <v>4.7</v>
      </c>
      <c r="P261" s="303">
        <v>4.7</v>
      </c>
      <c r="Q261" s="303">
        <v>4.7</v>
      </c>
      <c r="R261" s="401">
        <v>5.3</v>
      </c>
      <c r="S261" s="401">
        <v>5.3</v>
      </c>
      <c r="T261" s="401">
        <v>5.3</v>
      </c>
      <c r="U261" s="401">
        <v>5.3</v>
      </c>
      <c r="V261" s="401">
        <v>5.3</v>
      </c>
      <c r="W261" s="401">
        <v>5.3</v>
      </c>
      <c r="X261" s="401">
        <v>5.3</v>
      </c>
      <c r="Y261" s="401">
        <v>5.3</v>
      </c>
      <c r="Z261" s="59">
        <v>0.3</v>
      </c>
      <c r="AA261" s="59">
        <v>0.3</v>
      </c>
      <c r="AB261" s="59">
        <v>0.3</v>
      </c>
      <c r="AC261" s="304">
        <v>0</v>
      </c>
      <c r="AD261" s="402">
        <v>0.39999999999999947</v>
      </c>
      <c r="AE261" s="402">
        <v>0.39999999999999947</v>
      </c>
      <c r="AF261" s="402">
        <v>0.39999999999999947</v>
      </c>
      <c r="AG261" s="402">
        <v>0.39999999999999947</v>
      </c>
      <c r="AH261" s="402">
        <v>0.39999999999999947</v>
      </c>
      <c r="AI261" s="402">
        <v>0.39999999999999947</v>
      </c>
      <c r="AJ261" s="402">
        <v>0.39999999999999947</v>
      </c>
      <c r="AK261" s="402">
        <v>0.39999999999999947</v>
      </c>
      <c r="AL261" s="265">
        <v>760</v>
      </c>
      <c r="AM261" s="254">
        <f t="shared" si="24"/>
        <v>228</v>
      </c>
      <c r="AN261" s="265">
        <v>480</v>
      </c>
      <c r="AO261" s="254">
        <f t="shared" si="25"/>
        <v>144</v>
      </c>
      <c r="AP261" s="265">
        <v>360</v>
      </c>
      <c r="AQ261" s="254">
        <f t="shared" si="26"/>
        <v>108</v>
      </c>
      <c r="AR261" s="265">
        <v>80</v>
      </c>
      <c r="AS261" s="257">
        <f t="shared" si="27"/>
        <v>0</v>
      </c>
      <c r="AT261" s="265">
        <v>680</v>
      </c>
      <c r="AU261" s="257">
        <f t="shared" si="28"/>
        <v>271.99999999999966</v>
      </c>
      <c r="AV261" s="265"/>
      <c r="AW261" s="257">
        <f t="shared" si="29"/>
        <v>0</v>
      </c>
      <c r="AX261" s="265"/>
      <c r="AY261" s="257">
        <f t="shared" si="30"/>
        <v>0</v>
      </c>
      <c r="AZ261" s="265"/>
      <c r="BA261" s="257">
        <f t="shared" si="31"/>
        <v>0</v>
      </c>
      <c r="BB261" s="265"/>
      <c r="BC261" s="257">
        <f t="shared" si="32"/>
        <v>0</v>
      </c>
      <c r="BD261" s="265"/>
      <c r="BE261" s="257">
        <f t="shared" si="33"/>
        <v>0</v>
      </c>
      <c r="BF261" s="265"/>
      <c r="BG261" s="257">
        <f t="shared" si="34"/>
        <v>0</v>
      </c>
      <c r="BH261" s="265"/>
      <c r="BI261" s="257">
        <f t="shared" si="35"/>
        <v>0</v>
      </c>
      <c r="BJ261" s="1" t="s">
        <v>666</v>
      </c>
      <c r="BL261" s="1" t="s">
        <v>457</v>
      </c>
      <c r="BM261" s="1" t="s">
        <v>667</v>
      </c>
    </row>
    <row r="262" spans="1:65" ht="15" customHeight="1">
      <c r="A262" s="250" t="s">
        <v>951</v>
      </c>
      <c r="B262" s="59" t="s">
        <v>221</v>
      </c>
      <c r="C262" s="354" t="s">
        <v>172</v>
      </c>
      <c r="D262" s="476"/>
      <c r="E262" s="359" t="s">
        <v>173</v>
      </c>
      <c r="F262" s="421"/>
      <c r="G262" s="317">
        <v>2025</v>
      </c>
      <c r="H262" s="323" t="s">
        <v>659</v>
      </c>
      <c r="I262" s="332" t="s">
        <v>359</v>
      </c>
      <c r="J262" s="331">
        <v>14</v>
      </c>
      <c r="K262" s="323" t="s">
        <v>668</v>
      </c>
      <c r="L262" s="323" t="s">
        <v>344</v>
      </c>
      <c r="M262" s="303" t="s">
        <v>558</v>
      </c>
      <c r="N262" s="303">
        <v>9.4</v>
      </c>
      <c r="O262" s="303">
        <v>9.4</v>
      </c>
      <c r="P262" s="303">
        <v>9.1999999999999993</v>
      </c>
      <c r="Q262" s="303">
        <v>9.1999999999999993</v>
      </c>
      <c r="R262" s="401">
        <v>9.6</v>
      </c>
      <c r="S262" s="401">
        <v>9.6</v>
      </c>
      <c r="T262" s="401">
        <v>9.6</v>
      </c>
      <c r="U262" s="401">
        <v>9.6</v>
      </c>
      <c r="V262" s="401">
        <v>9.6</v>
      </c>
      <c r="W262" s="401">
        <v>9.6</v>
      </c>
      <c r="X262" s="401">
        <v>9.6</v>
      </c>
      <c r="Y262" s="401">
        <v>9.6</v>
      </c>
      <c r="Z262" s="304">
        <v>1.65</v>
      </c>
      <c r="AA262" s="304">
        <v>1.65</v>
      </c>
      <c r="AB262" s="304">
        <v>1.5</v>
      </c>
      <c r="AC262" s="304">
        <v>0</v>
      </c>
      <c r="AD262" s="403">
        <v>1.4000000000000004</v>
      </c>
      <c r="AE262" s="403">
        <v>1.4000000000000004</v>
      </c>
      <c r="AF262" s="403">
        <v>1.4000000000000004</v>
      </c>
      <c r="AG262" s="403">
        <v>1.4000000000000004</v>
      </c>
      <c r="AH262" s="403">
        <v>1.4000000000000004</v>
      </c>
      <c r="AI262" s="403">
        <v>1.4000000000000004</v>
      </c>
      <c r="AJ262" s="403">
        <v>1.4000000000000004</v>
      </c>
      <c r="AK262" s="403">
        <v>1.4000000000000004</v>
      </c>
      <c r="AL262" s="265">
        <v>398</v>
      </c>
      <c r="AM262" s="254">
        <f t="shared" ref="AM262:AM328" si="36">Z262*AL262</f>
        <v>656.69999999999993</v>
      </c>
      <c r="AN262" s="265">
        <v>120</v>
      </c>
      <c r="AO262" s="254">
        <f t="shared" ref="AO262:AO328" si="37">AA262*AN262</f>
        <v>198</v>
      </c>
      <c r="AP262" s="265">
        <v>160</v>
      </c>
      <c r="AQ262" s="254">
        <f t="shared" ref="AQ262:AQ328" si="38">AB262*AP262</f>
        <v>240</v>
      </c>
      <c r="AR262" s="265">
        <v>520</v>
      </c>
      <c r="AS262" s="257">
        <f t="shared" ref="AS262:AS328" si="39">AC262*AR262</f>
        <v>0</v>
      </c>
      <c r="AT262" s="265">
        <v>145</v>
      </c>
      <c r="AU262" s="257">
        <f t="shared" ref="AU262:AU328" si="40">AD262*AT262</f>
        <v>203.00000000000006</v>
      </c>
      <c r="AV262" s="265">
        <v>200</v>
      </c>
      <c r="AW262" s="257">
        <f t="shared" ref="AW262:AW328" si="41">AE262*AV262</f>
        <v>280.00000000000006</v>
      </c>
      <c r="AX262" s="265">
        <v>200</v>
      </c>
      <c r="AY262" s="257">
        <f t="shared" ref="AY262:AY328" si="42">AF262*AX262</f>
        <v>280.00000000000006</v>
      </c>
      <c r="AZ262" s="265">
        <v>200</v>
      </c>
      <c r="BA262" s="257">
        <f t="shared" ref="BA262:BA328" si="43">AG262*AZ262</f>
        <v>280.00000000000006</v>
      </c>
      <c r="BB262" s="265">
        <v>200</v>
      </c>
      <c r="BC262" s="257">
        <f t="shared" ref="BC262:BC328" si="44">AH262*BB262</f>
        <v>280.00000000000006</v>
      </c>
      <c r="BD262" s="265">
        <v>200</v>
      </c>
      <c r="BE262" s="257">
        <f t="shared" ref="BE262:BE328" si="45">AI262*BD262</f>
        <v>280.00000000000006</v>
      </c>
      <c r="BF262" s="265">
        <v>200</v>
      </c>
      <c r="BG262" s="257">
        <f t="shared" ref="BG262:BG328" si="46">AJ262*BF262</f>
        <v>280.00000000000006</v>
      </c>
      <c r="BH262" s="265">
        <v>200</v>
      </c>
      <c r="BI262" s="257">
        <f t="shared" ref="BI262:BI328" si="47">AK262*BH262</f>
        <v>280.00000000000006</v>
      </c>
      <c r="BJ262" s="1" t="s">
        <v>669</v>
      </c>
      <c r="BL262" s="1" t="s">
        <v>457</v>
      </c>
      <c r="BM262" s="1" t="s">
        <v>670</v>
      </c>
    </row>
    <row r="263" spans="1:65" ht="15" customHeight="1">
      <c r="A263" s="250" t="s">
        <v>951</v>
      </c>
      <c r="B263" s="59" t="s">
        <v>221</v>
      </c>
      <c r="C263" s="354" t="s">
        <v>172</v>
      </c>
      <c r="D263" s="476"/>
      <c r="E263" s="359" t="s">
        <v>173</v>
      </c>
      <c r="F263" s="421"/>
      <c r="G263" s="317">
        <v>2026</v>
      </c>
      <c r="H263" s="323" t="s">
        <v>1030</v>
      </c>
      <c r="I263" s="332" t="s">
        <v>359</v>
      </c>
      <c r="J263" s="331">
        <v>14</v>
      </c>
      <c r="K263" s="323" t="s">
        <v>1031</v>
      </c>
      <c r="L263" s="323" t="s">
        <v>344</v>
      </c>
      <c r="M263" s="303" t="s">
        <v>558</v>
      </c>
      <c r="N263" s="303">
        <v>8.4</v>
      </c>
      <c r="O263" s="303">
        <v>8.4</v>
      </c>
      <c r="P263" s="303">
        <v>8.4</v>
      </c>
      <c r="Q263" s="303">
        <v>8.4</v>
      </c>
      <c r="R263" s="401">
        <v>8.8000000000000007</v>
      </c>
      <c r="S263" s="401">
        <v>8.8000000000000007</v>
      </c>
      <c r="T263" s="401">
        <v>8.8000000000000007</v>
      </c>
      <c r="U263" s="401">
        <v>8.8000000000000007</v>
      </c>
      <c r="V263" s="401">
        <v>8.8000000000000007</v>
      </c>
      <c r="W263" s="401">
        <v>8.8000000000000007</v>
      </c>
      <c r="X263" s="401">
        <v>8.8000000000000007</v>
      </c>
      <c r="Y263" s="401">
        <v>8.8000000000000007</v>
      </c>
      <c r="Z263" s="304">
        <v>1.2</v>
      </c>
      <c r="AA263" s="304">
        <v>1.2</v>
      </c>
      <c r="AB263" s="304">
        <v>1.2</v>
      </c>
      <c r="AC263" s="304">
        <v>0</v>
      </c>
      <c r="AD263" s="403">
        <v>1.1000000000000005</v>
      </c>
      <c r="AE263" s="403">
        <v>1.1000000000000005</v>
      </c>
      <c r="AF263" s="403">
        <v>1.1000000000000005</v>
      </c>
      <c r="AG263" s="403">
        <v>1.1000000000000005</v>
      </c>
      <c r="AH263" s="403">
        <v>1.1000000000000005</v>
      </c>
      <c r="AI263" s="403">
        <v>1.1000000000000005</v>
      </c>
      <c r="AJ263" s="403">
        <v>1.1000000000000005</v>
      </c>
      <c r="AK263" s="403">
        <v>1.1000000000000005</v>
      </c>
      <c r="AL263" s="265"/>
      <c r="AM263" s="254">
        <f t="shared" si="36"/>
        <v>0</v>
      </c>
      <c r="AN263" s="265"/>
      <c r="AO263" s="254">
        <f t="shared" si="37"/>
        <v>0</v>
      </c>
      <c r="AP263" s="265">
        <v>240</v>
      </c>
      <c r="AQ263" s="254">
        <f t="shared" si="38"/>
        <v>288</v>
      </c>
      <c r="AR263" s="265"/>
      <c r="AS263" s="257">
        <f t="shared" si="39"/>
        <v>0</v>
      </c>
      <c r="AT263" s="265">
        <v>1640</v>
      </c>
      <c r="AU263" s="257">
        <f t="shared" si="40"/>
        <v>1804.0000000000009</v>
      </c>
      <c r="AV263" s="265"/>
      <c r="AW263" s="257">
        <f t="shared" si="41"/>
        <v>0</v>
      </c>
      <c r="AX263" s="265"/>
      <c r="AY263" s="257">
        <f t="shared" si="42"/>
        <v>0</v>
      </c>
      <c r="AZ263" s="265"/>
      <c r="BA263" s="257">
        <f t="shared" si="43"/>
        <v>0</v>
      </c>
      <c r="BB263" s="265"/>
      <c r="BC263" s="257">
        <f t="shared" si="44"/>
        <v>0</v>
      </c>
      <c r="BD263" s="265"/>
      <c r="BE263" s="257">
        <f t="shared" si="45"/>
        <v>0</v>
      </c>
      <c r="BF263" s="265"/>
      <c r="BG263" s="257">
        <f t="shared" si="46"/>
        <v>0</v>
      </c>
      <c r="BH263" s="265"/>
      <c r="BI263" s="257">
        <f t="shared" si="47"/>
        <v>0</v>
      </c>
      <c r="BJ263" s="1" t="s">
        <v>1032</v>
      </c>
      <c r="BL263" s="1" t="s">
        <v>457</v>
      </c>
      <c r="BM263" s="1" t="s">
        <v>1033</v>
      </c>
    </row>
    <row r="264" spans="1:65" ht="15" customHeight="1">
      <c r="A264" s="250" t="s">
        <v>951</v>
      </c>
      <c r="B264" s="59" t="s">
        <v>221</v>
      </c>
      <c r="C264" s="354" t="s">
        <v>172</v>
      </c>
      <c r="D264" s="476"/>
      <c r="E264" s="359" t="s">
        <v>173</v>
      </c>
      <c r="F264" s="421"/>
      <c r="G264" s="317">
        <v>2026</v>
      </c>
      <c r="H264" s="323" t="s">
        <v>1030</v>
      </c>
      <c r="I264" s="332" t="s">
        <v>175</v>
      </c>
      <c r="J264" s="331">
        <v>14</v>
      </c>
      <c r="K264" s="323" t="s">
        <v>1034</v>
      </c>
      <c r="L264" s="323" t="s">
        <v>344</v>
      </c>
      <c r="M264" s="303" t="s">
        <v>558</v>
      </c>
      <c r="N264" s="303">
        <v>4.7</v>
      </c>
      <c r="O264" s="303">
        <v>4.7</v>
      </c>
      <c r="P264" s="303">
        <v>4.7</v>
      </c>
      <c r="Q264" s="303">
        <v>4.7</v>
      </c>
      <c r="R264" s="401">
        <v>5.3</v>
      </c>
      <c r="S264" s="401">
        <v>5.3</v>
      </c>
      <c r="T264" s="401">
        <v>5.3</v>
      </c>
      <c r="U264" s="401">
        <v>5.3</v>
      </c>
      <c r="V264" s="401">
        <v>5.3</v>
      </c>
      <c r="W264" s="401">
        <v>5.3</v>
      </c>
      <c r="X264" s="401">
        <v>5.3</v>
      </c>
      <c r="Y264" s="401">
        <v>5.3</v>
      </c>
      <c r="Z264" s="304">
        <v>0.3</v>
      </c>
      <c r="AA264" s="304">
        <v>0.3</v>
      </c>
      <c r="AB264" s="304">
        <v>0.3</v>
      </c>
      <c r="AC264" s="304">
        <v>0</v>
      </c>
      <c r="AD264" s="403">
        <v>0.39999999999999947</v>
      </c>
      <c r="AE264" s="403">
        <v>0.39999999999999947</v>
      </c>
      <c r="AF264" s="403">
        <v>0.39999999999999947</v>
      </c>
      <c r="AG264" s="403">
        <v>0.39999999999999947</v>
      </c>
      <c r="AH264" s="403">
        <v>0.39999999999999947</v>
      </c>
      <c r="AI264" s="403">
        <v>0.39999999999999947</v>
      </c>
      <c r="AJ264" s="403">
        <v>0.39999999999999947</v>
      </c>
      <c r="AK264" s="403">
        <v>0.39999999999999947</v>
      </c>
      <c r="AL264" s="265"/>
      <c r="AM264" s="254">
        <f t="shared" si="36"/>
        <v>0</v>
      </c>
      <c r="AN264" s="265"/>
      <c r="AO264" s="254">
        <f t="shared" si="37"/>
        <v>0</v>
      </c>
      <c r="AP264" s="265"/>
      <c r="AQ264" s="254">
        <f t="shared" si="38"/>
        <v>0</v>
      </c>
      <c r="AR264" s="265"/>
      <c r="AS264" s="257">
        <f t="shared" si="39"/>
        <v>0</v>
      </c>
      <c r="AT264" s="265"/>
      <c r="AU264" s="257">
        <f t="shared" si="40"/>
        <v>0</v>
      </c>
      <c r="AV264" s="265"/>
      <c r="AW264" s="257">
        <f t="shared" si="41"/>
        <v>0</v>
      </c>
      <c r="AX264" s="265"/>
      <c r="AY264" s="257">
        <f t="shared" si="42"/>
        <v>0</v>
      </c>
      <c r="AZ264" s="265"/>
      <c r="BA264" s="257">
        <f t="shared" si="43"/>
        <v>0</v>
      </c>
      <c r="BB264" s="265"/>
      <c r="BC264" s="257">
        <f t="shared" si="44"/>
        <v>0</v>
      </c>
      <c r="BD264" s="265"/>
      <c r="BE264" s="257">
        <f t="shared" si="45"/>
        <v>0</v>
      </c>
      <c r="BF264" s="265"/>
      <c r="BG264" s="257">
        <f t="shared" si="46"/>
        <v>0</v>
      </c>
      <c r="BH264" s="265"/>
      <c r="BI264" s="257">
        <f t="shared" si="47"/>
        <v>0</v>
      </c>
      <c r="BJ264" s="1" t="s">
        <v>1035</v>
      </c>
      <c r="BL264" s="1" t="s">
        <v>457</v>
      </c>
      <c r="BM264" s="1" t="s">
        <v>1036</v>
      </c>
    </row>
    <row r="265" spans="1:65" ht="15" customHeight="1">
      <c r="A265" s="250" t="s">
        <v>951</v>
      </c>
      <c r="B265" s="59" t="s">
        <v>221</v>
      </c>
      <c r="C265" s="354" t="s">
        <v>172</v>
      </c>
      <c r="D265" s="476"/>
      <c r="E265" s="359" t="s">
        <v>173</v>
      </c>
      <c r="F265" s="421"/>
      <c r="G265" s="317">
        <v>2025</v>
      </c>
      <c r="H265" s="323" t="s">
        <v>671</v>
      </c>
      <c r="I265" s="327" t="s">
        <v>249</v>
      </c>
      <c r="J265" s="331">
        <v>14</v>
      </c>
      <c r="K265" s="323" t="s">
        <v>335</v>
      </c>
      <c r="L265" s="323" t="s">
        <v>382</v>
      </c>
      <c r="M265" s="303" t="s">
        <v>672</v>
      </c>
      <c r="N265" s="303">
        <v>7.95</v>
      </c>
      <c r="O265" s="303">
        <v>7.95</v>
      </c>
      <c r="P265" s="303">
        <v>7.85</v>
      </c>
      <c r="Q265" s="303">
        <v>7.85</v>
      </c>
      <c r="R265" s="401">
        <v>8.1999999999999993</v>
      </c>
      <c r="S265" s="401">
        <v>8.1999999999999993</v>
      </c>
      <c r="T265" s="401">
        <v>8.1999999999999993</v>
      </c>
      <c r="U265" s="401">
        <v>8.1999999999999993</v>
      </c>
      <c r="V265" s="401">
        <v>8.1999999999999993</v>
      </c>
      <c r="W265" s="401">
        <v>8.1999999999999993</v>
      </c>
      <c r="X265" s="401">
        <v>8.1999999999999993</v>
      </c>
      <c r="Y265" s="401">
        <v>8.1999999999999993</v>
      </c>
      <c r="Z265" s="59">
        <v>0.85</v>
      </c>
      <c r="AA265" s="59">
        <v>0.85</v>
      </c>
      <c r="AB265" s="59">
        <v>0.75</v>
      </c>
      <c r="AC265" s="304">
        <v>0</v>
      </c>
      <c r="AD265" s="402">
        <v>0.59999999999999964</v>
      </c>
      <c r="AE265" s="402">
        <v>0.59999999999999964</v>
      </c>
      <c r="AF265" s="402">
        <v>0.59999999999999964</v>
      </c>
      <c r="AG265" s="402">
        <v>0.59999999999999964</v>
      </c>
      <c r="AH265" s="402">
        <v>0.59999999999999964</v>
      </c>
      <c r="AI265" s="402">
        <v>0.59999999999999964</v>
      </c>
      <c r="AJ265" s="402">
        <v>0.59999999999999964</v>
      </c>
      <c r="AK265" s="402">
        <v>0.59999999999999964</v>
      </c>
      <c r="AL265" s="265">
        <v>3680</v>
      </c>
      <c r="AM265" s="254">
        <f t="shared" si="36"/>
        <v>3128</v>
      </c>
      <c r="AN265" s="265">
        <v>2749</v>
      </c>
      <c r="AO265" s="254">
        <f t="shared" si="37"/>
        <v>2336.65</v>
      </c>
      <c r="AP265" s="265"/>
      <c r="AQ265" s="254">
        <f t="shared" si="38"/>
        <v>0</v>
      </c>
      <c r="AR265" s="265"/>
      <c r="AS265" s="257">
        <f t="shared" si="39"/>
        <v>0</v>
      </c>
      <c r="AT265" s="385">
        <v>7840</v>
      </c>
      <c r="AU265" s="257">
        <f t="shared" si="40"/>
        <v>4703.9999999999973</v>
      </c>
      <c r="AV265" s="389">
        <v>5000</v>
      </c>
      <c r="AW265" s="257">
        <f t="shared" si="41"/>
        <v>2999.9999999999982</v>
      </c>
      <c r="AX265" s="389">
        <v>5000</v>
      </c>
      <c r="AY265" s="257">
        <f t="shared" si="42"/>
        <v>2999.9999999999982</v>
      </c>
      <c r="AZ265" s="389">
        <v>5000</v>
      </c>
      <c r="BA265" s="257">
        <f t="shared" si="43"/>
        <v>2999.9999999999982</v>
      </c>
      <c r="BB265" s="389">
        <v>5000</v>
      </c>
      <c r="BC265" s="257">
        <f t="shared" si="44"/>
        <v>2999.9999999999982</v>
      </c>
      <c r="BD265" s="389">
        <v>5000</v>
      </c>
      <c r="BE265" s="257">
        <f t="shared" si="45"/>
        <v>2999.9999999999982</v>
      </c>
      <c r="BF265" s="265">
        <v>6000</v>
      </c>
      <c r="BG265" s="257">
        <f t="shared" si="46"/>
        <v>3599.9999999999977</v>
      </c>
      <c r="BH265" s="265">
        <v>5000</v>
      </c>
      <c r="BI265" s="257">
        <f t="shared" si="47"/>
        <v>2999.9999999999982</v>
      </c>
      <c r="BJ265" s="1" t="s">
        <v>673</v>
      </c>
      <c r="BL265" s="1" t="s">
        <v>457</v>
      </c>
      <c r="BM265" s="1" t="s">
        <v>1037</v>
      </c>
    </row>
    <row r="266" spans="1:65" ht="15" customHeight="1">
      <c r="A266" s="250" t="s">
        <v>951</v>
      </c>
      <c r="B266" s="59" t="s">
        <v>221</v>
      </c>
      <c r="C266" s="354" t="s">
        <v>172</v>
      </c>
      <c r="D266" s="476"/>
      <c r="E266" s="359" t="s">
        <v>173</v>
      </c>
      <c r="F266" s="421"/>
      <c r="G266" s="317">
        <v>2025</v>
      </c>
      <c r="H266" s="323" t="s">
        <v>671</v>
      </c>
      <c r="I266" s="332" t="s">
        <v>175</v>
      </c>
      <c r="J266" s="331">
        <v>14</v>
      </c>
      <c r="K266" s="323" t="s">
        <v>335</v>
      </c>
      <c r="L266" s="323" t="s">
        <v>382</v>
      </c>
      <c r="M266" s="303" t="s">
        <v>672</v>
      </c>
      <c r="N266" s="303">
        <v>4.7</v>
      </c>
      <c r="O266" s="303">
        <v>4.7</v>
      </c>
      <c r="P266" s="303">
        <v>4.7</v>
      </c>
      <c r="Q266" s="303">
        <v>4.7</v>
      </c>
      <c r="R266" s="401">
        <v>5.3</v>
      </c>
      <c r="S266" s="401">
        <v>5.3</v>
      </c>
      <c r="T266" s="401">
        <v>5.3</v>
      </c>
      <c r="U266" s="401">
        <v>5.3</v>
      </c>
      <c r="V266" s="401">
        <v>5.3</v>
      </c>
      <c r="W266" s="401">
        <v>5.3</v>
      </c>
      <c r="X266" s="401">
        <v>5.3</v>
      </c>
      <c r="Y266" s="401">
        <v>5.3</v>
      </c>
      <c r="Z266" s="59">
        <v>0.3</v>
      </c>
      <c r="AA266" s="59">
        <v>0.3</v>
      </c>
      <c r="AB266" s="59">
        <v>0.3</v>
      </c>
      <c r="AC266" s="304">
        <v>0</v>
      </c>
      <c r="AD266" s="402">
        <v>0.39999999999999947</v>
      </c>
      <c r="AE266" s="402">
        <v>0.39999999999999947</v>
      </c>
      <c r="AF266" s="402">
        <v>0.39999999999999947</v>
      </c>
      <c r="AG266" s="402">
        <v>0.39999999999999947</v>
      </c>
      <c r="AH266" s="402">
        <v>0.39999999999999947</v>
      </c>
      <c r="AI266" s="402">
        <v>0.39999999999999947</v>
      </c>
      <c r="AJ266" s="402">
        <v>0.39999999999999947</v>
      </c>
      <c r="AK266" s="402">
        <v>0.39999999999999947</v>
      </c>
      <c r="AL266" s="265">
        <v>3080</v>
      </c>
      <c r="AM266" s="254">
        <f t="shared" si="36"/>
        <v>924</v>
      </c>
      <c r="AN266" s="265"/>
      <c r="AO266" s="254">
        <f t="shared" si="37"/>
        <v>0</v>
      </c>
      <c r="AP266" s="265"/>
      <c r="AQ266" s="254">
        <f t="shared" si="38"/>
        <v>0</v>
      </c>
      <c r="AR266" s="265"/>
      <c r="AS266" s="257">
        <f t="shared" si="39"/>
        <v>0</v>
      </c>
      <c r="AT266" s="265"/>
      <c r="AU266" s="257">
        <f t="shared" si="40"/>
        <v>0</v>
      </c>
      <c r="AV266" s="265">
        <v>2000</v>
      </c>
      <c r="AW266" s="257">
        <f t="shared" si="41"/>
        <v>799.99999999999898</v>
      </c>
      <c r="AX266" s="265">
        <v>2000</v>
      </c>
      <c r="AY266" s="257">
        <f t="shared" si="42"/>
        <v>799.99999999999898</v>
      </c>
      <c r="AZ266" s="265">
        <v>2000</v>
      </c>
      <c r="BA266" s="257">
        <f t="shared" si="43"/>
        <v>799.99999999999898</v>
      </c>
      <c r="BB266" s="265">
        <v>2000</v>
      </c>
      <c r="BC266" s="257">
        <f t="shared" si="44"/>
        <v>799.99999999999898</v>
      </c>
      <c r="BD266" s="265">
        <v>2000</v>
      </c>
      <c r="BE266" s="257">
        <f t="shared" si="45"/>
        <v>799.99999999999898</v>
      </c>
      <c r="BF266" s="265">
        <v>2000</v>
      </c>
      <c r="BG266" s="257">
        <f t="shared" si="46"/>
        <v>799.99999999999898</v>
      </c>
      <c r="BH266" s="265">
        <v>2000</v>
      </c>
      <c r="BI266" s="257">
        <f t="shared" si="47"/>
        <v>799.99999999999898</v>
      </c>
      <c r="BJ266" s="1" t="s">
        <v>675</v>
      </c>
      <c r="BL266" s="1" t="s">
        <v>457</v>
      </c>
      <c r="BM266" s="1" t="s">
        <v>1037</v>
      </c>
    </row>
    <row r="267" spans="1:65" ht="15" customHeight="1">
      <c r="A267" s="250" t="s">
        <v>951</v>
      </c>
      <c r="B267" s="59" t="s">
        <v>221</v>
      </c>
      <c r="C267" s="354" t="s">
        <v>172</v>
      </c>
      <c r="D267" s="476"/>
      <c r="E267" s="359" t="s">
        <v>173</v>
      </c>
      <c r="F267" s="421"/>
      <c r="G267" s="317">
        <v>2025</v>
      </c>
      <c r="H267" s="323" t="s">
        <v>671</v>
      </c>
      <c r="I267" s="327" t="s">
        <v>249</v>
      </c>
      <c r="J267" s="331">
        <v>14</v>
      </c>
      <c r="K267" s="323" t="s">
        <v>1038</v>
      </c>
      <c r="L267" s="323" t="s">
        <v>382</v>
      </c>
      <c r="M267" s="303" t="s">
        <v>672</v>
      </c>
      <c r="N267" s="303">
        <v>9.4</v>
      </c>
      <c r="O267" s="303">
        <v>9.4</v>
      </c>
      <c r="P267" s="303">
        <v>9.1999999999999993</v>
      </c>
      <c r="Q267" s="303">
        <v>9.1999999999999993</v>
      </c>
      <c r="R267" s="401">
        <v>9.6</v>
      </c>
      <c r="S267" s="401">
        <v>9.6</v>
      </c>
      <c r="T267" s="401">
        <v>9.6</v>
      </c>
      <c r="U267" s="401">
        <v>9.6</v>
      </c>
      <c r="V267" s="401">
        <v>9.6</v>
      </c>
      <c r="W267" s="401">
        <v>9.6</v>
      </c>
      <c r="X267" s="401">
        <v>9.6</v>
      </c>
      <c r="Y267" s="401">
        <v>9.6</v>
      </c>
      <c r="Z267" s="304">
        <v>1.65</v>
      </c>
      <c r="AA267" s="304">
        <v>1.65</v>
      </c>
      <c r="AB267" s="304">
        <v>1.5</v>
      </c>
      <c r="AC267" s="304">
        <v>0</v>
      </c>
      <c r="AD267" s="403">
        <v>1.4000000000000004</v>
      </c>
      <c r="AE267" s="403">
        <v>1.4000000000000004</v>
      </c>
      <c r="AF267" s="403">
        <v>1.4000000000000004</v>
      </c>
      <c r="AG267" s="403">
        <v>1.4000000000000004</v>
      </c>
      <c r="AH267" s="403">
        <v>1.4000000000000004</v>
      </c>
      <c r="AI267" s="403">
        <v>1.4000000000000004</v>
      </c>
      <c r="AJ267" s="403">
        <v>1.4000000000000004</v>
      </c>
      <c r="AK267" s="403">
        <v>1.4000000000000004</v>
      </c>
      <c r="AL267" s="59"/>
      <c r="AM267" s="254">
        <f t="shared" si="36"/>
        <v>0</v>
      </c>
      <c r="AN267" s="265"/>
      <c r="AO267" s="254">
        <f t="shared" si="37"/>
        <v>0</v>
      </c>
      <c r="AP267" s="265"/>
      <c r="AQ267" s="254">
        <f t="shared" si="38"/>
        <v>0</v>
      </c>
      <c r="AR267" s="265"/>
      <c r="AS267" s="257">
        <f t="shared" si="39"/>
        <v>0</v>
      </c>
      <c r="AT267" s="385">
        <v>120</v>
      </c>
      <c r="AU267" s="257">
        <f t="shared" si="40"/>
        <v>168.00000000000006</v>
      </c>
      <c r="AV267" s="389"/>
      <c r="AW267" s="257">
        <f t="shared" si="41"/>
        <v>0</v>
      </c>
      <c r="AX267" s="389"/>
      <c r="AY267" s="257">
        <f t="shared" si="42"/>
        <v>0</v>
      </c>
      <c r="AZ267" s="389"/>
      <c r="BA267" s="257">
        <f t="shared" si="43"/>
        <v>0</v>
      </c>
      <c r="BB267" s="389"/>
      <c r="BC267" s="257">
        <f t="shared" si="44"/>
        <v>0</v>
      </c>
      <c r="BD267" s="389"/>
      <c r="BE267" s="257">
        <f t="shared" si="45"/>
        <v>0</v>
      </c>
      <c r="BF267" s="265"/>
      <c r="BG267" s="257">
        <f t="shared" si="46"/>
        <v>0</v>
      </c>
      <c r="BH267" s="265"/>
      <c r="BI267" s="257">
        <f t="shared" si="47"/>
        <v>0</v>
      </c>
      <c r="BJ267" s="1" t="s">
        <v>1039</v>
      </c>
      <c r="BL267" s="1" t="s">
        <v>457</v>
      </c>
      <c r="BM267" s="1" t="s">
        <v>1040</v>
      </c>
    </row>
    <row r="268" spans="1:65" ht="15" customHeight="1">
      <c r="A268" s="250" t="s">
        <v>951</v>
      </c>
      <c r="B268" s="59" t="s">
        <v>221</v>
      </c>
      <c r="C268" s="354" t="s">
        <v>172</v>
      </c>
      <c r="D268" s="476"/>
      <c r="E268" s="359" t="s">
        <v>173</v>
      </c>
      <c r="F268" s="421"/>
      <c r="G268" s="317">
        <v>2026</v>
      </c>
      <c r="H268" s="323" t="s">
        <v>1041</v>
      </c>
      <c r="I268" s="327" t="s">
        <v>249</v>
      </c>
      <c r="J268" s="331">
        <v>14</v>
      </c>
      <c r="K268" s="323" t="s">
        <v>1042</v>
      </c>
      <c r="L268" s="323" t="s">
        <v>382</v>
      </c>
      <c r="M268" s="303" t="s">
        <v>672</v>
      </c>
      <c r="N268" s="303">
        <v>8.4</v>
      </c>
      <c r="O268" s="303">
        <v>8.4</v>
      </c>
      <c r="P268" s="303">
        <v>8.4</v>
      </c>
      <c r="Q268" s="303">
        <v>8.4</v>
      </c>
      <c r="R268" s="401">
        <v>8.8000000000000007</v>
      </c>
      <c r="S268" s="401">
        <v>8.8000000000000007</v>
      </c>
      <c r="T268" s="401">
        <v>8.8000000000000007</v>
      </c>
      <c r="U268" s="401">
        <v>8.8000000000000007</v>
      </c>
      <c r="V268" s="401">
        <v>8.8000000000000007</v>
      </c>
      <c r="W268" s="401">
        <v>8.8000000000000007</v>
      </c>
      <c r="X268" s="401">
        <v>8.8000000000000007</v>
      </c>
      <c r="Y268" s="401">
        <v>8.8000000000000007</v>
      </c>
      <c r="Z268" s="304">
        <v>1.2</v>
      </c>
      <c r="AA268" s="304">
        <v>1.2</v>
      </c>
      <c r="AB268" s="304">
        <v>1.2</v>
      </c>
      <c r="AC268" s="304">
        <v>0</v>
      </c>
      <c r="AD268" s="403">
        <v>1.1000000000000005</v>
      </c>
      <c r="AE268" s="403">
        <v>1.1000000000000005</v>
      </c>
      <c r="AF268" s="403">
        <v>1.1000000000000005</v>
      </c>
      <c r="AG268" s="403">
        <v>1.1000000000000005</v>
      </c>
      <c r="AH268" s="403">
        <v>1.1000000000000005</v>
      </c>
      <c r="AI268" s="403">
        <v>1.1000000000000005</v>
      </c>
      <c r="AJ268" s="403">
        <v>1.1000000000000005</v>
      </c>
      <c r="AK268" s="403">
        <v>1.1000000000000005</v>
      </c>
      <c r="AL268" s="265"/>
      <c r="AM268" s="254">
        <f t="shared" si="36"/>
        <v>0</v>
      </c>
      <c r="AN268" s="265"/>
      <c r="AO268" s="254">
        <f t="shared" si="37"/>
        <v>0</v>
      </c>
      <c r="AP268" s="265"/>
      <c r="AQ268" s="254">
        <f t="shared" si="38"/>
        <v>0</v>
      </c>
      <c r="AR268" s="265">
        <v>1440</v>
      </c>
      <c r="AS268" s="257">
        <f t="shared" si="39"/>
        <v>0</v>
      </c>
      <c r="AT268" s="265">
        <v>600</v>
      </c>
      <c r="AU268" s="257">
        <f t="shared" si="40"/>
        <v>660.00000000000034</v>
      </c>
      <c r="AV268" s="265"/>
      <c r="AW268" s="257">
        <f t="shared" si="41"/>
        <v>0</v>
      </c>
      <c r="AX268" s="265"/>
      <c r="AY268" s="257">
        <f t="shared" si="42"/>
        <v>0</v>
      </c>
      <c r="AZ268" s="265"/>
      <c r="BA268" s="257">
        <f t="shared" si="43"/>
        <v>0</v>
      </c>
      <c r="BB268" s="265"/>
      <c r="BC268" s="257">
        <f t="shared" si="44"/>
        <v>0</v>
      </c>
      <c r="BD268" s="265"/>
      <c r="BE268" s="257">
        <f t="shared" si="45"/>
        <v>0</v>
      </c>
      <c r="BF268" s="265"/>
      <c r="BG268" s="257">
        <f t="shared" si="46"/>
        <v>0</v>
      </c>
      <c r="BH268" s="265"/>
      <c r="BI268" s="257">
        <f t="shared" si="47"/>
        <v>0</v>
      </c>
      <c r="BJ268" s="1" t="s">
        <v>1043</v>
      </c>
      <c r="BL268" s="1" t="s">
        <v>457</v>
      </c>
      <c r="BM268" s="1" t="s">
        <v>1040</v>
      </c>
    </row>
    <row r="269" spans="1:65" ht="15" customHeight="1">
      <c r="A269" s="250" t="s">
        <v>951</v>
      </c>
      <c r="B269" s="59" t="s">
        <v>221</v>
      </c>
      <c r="C269" s="354" t="s">
        <v>172</v>
      </c>
      <c r="D269" s="476"/>
      <c r="E269" s="359" t="s">
        <v>173</v>
      </c>
      <c r="F269" s="421"/>
      <c r="G269" s="317">
        <v>2026</v>
      </c>
      <c r="H269" s="323" t="s">
        <v>1041</v>
      </c>
      <c r="I269" s="327" t="s">
        <v>249</v>
      </c>
      <c r="J269" s="331">
        <v>14</v>
      </c>
      <c r="K269" s="323" t="s">
        <v>993</v>
      </c>
      <c r="L269" s="323" t="s">
        <v>382</v>
      </c>
      <c r="M269" s="303" t="s">
        <v>672</v>
      </c>
      <c r="N269" s="303">
        <v>8.4</v>
      </c>
      <c r="O269" s="303">
        <v>8.4</v>
      </c>
      <c r="P269" s="303">
        <v>8.4</v>
      </c>
      <c r="Q269" s="303">
        <v>8.4</v>
      </c>
      <c r="R269" s="401">
        <v>8.8000000000000007</v>
      </c>
      <c r="S269" s="401">
        <v>8.8000000000000007</v>
      </c>
      <c r="T269" s="401">
        <v>8.8000000000000007</v>
      </c>
      <c r="U269" s="401">
        <v>8.8000000000000007</v>
      </c>
      <c r="V269" s="401">
        <v>8.8000000000000007</v>
      </c>
      <c r="W269" s="401">
        <v>8.8000000000000007</v>
      </c>
      <c r="X269" s="401">
        <v>8.8000000000000007</v>
      </c>
      <c r="Y269" s="401">
        <v>8.8000000000000007</v>
      </c>
      <c r="Z269" s="304">
        <v>1.2</v>
      </c>
      <c r="AA269" s="304">
        <v>1.2</v>
      </c>
      <c r="AB269" s="304">
        <v>1.2</v>
      </c>
      <c r="AC269" s="304">
        <v>0</v>
      </c>
      <c r="AD269" s="403">
        <v>1.1000000000000005</v>
      </c>
      <c r="AE269" s="403">
        <v>1.1000000000000005</v>
      </c>
      <c r="AF269" s="403">
        <v>1.1000000000000005</v>
      </c>
      <c r="AG269" s="403">
        <v>1.1000000000000005</v>
      </c>
      <c r="AH269" s="403">
        <v>1.1000000000000005</v>
      </c>
      <c r="AI269" s="403">
        <v>1.1000000000000005</v>
      </c>
      <c r="AJ269" s="403">
        <v>1.1000000000000005</v>
      </c>
      <c r="AK269" s="403">
        <v>1.1000000000000005</v>
      </c>
      <c r="AL269" s="265"/>
      <c r="AM269" s="254">
        <f t="shared" si="36"/>
        <v>0</v>
      </c>
      <c r="AN269" s="265"/>
      <c r="AO269" s="254">
        <f t="shared" si="37"/>
        <v>0</v>
      </c>
      <c r="AP269" s="265"/>
      <c r="AQ269" s="254">
        <f t="shared" si="38"/>
        <v>0</v>
      </c>
      <c r="AR269" s="265">
        <v>3080</v>
      </c>
      <c r="AS269" s="257">
        <f t="shared" si="39"/>
        <v>0</v>
      </c>
      <c r="AT269" s="385">
        <v>1120</v>
      </c>
      <c r="AU269" s="257">
        <f t="shared" si="40"/>
        <v>1232.0000000000007</v>
      </c>
      <c r="AV269" s="268"/>
      <c r="AW269" s="257">
        <f t="shared" si="41"/>
        <v>0</v>
      </c>
      <c r="AX269" s="270"/>
      <c r="AY269" s="257">
        <f t="shared" si="42"/>
        <v>0</v>
      </c>
      <c r="AZ269" s="268"/>
      <c r="BA269" s="257">
        <f t="shared" si="43"/>
        <v>0</v>
      </c>
      <c r="BB269" s="268"/>
      <c r="BC269" s="257">
        <f t="shared" si="44"/>
        <v>0</v>
      </c>
      <c r="BD269" s="268"/>
      <c r="BE269" s="257">
        <f t="shared" si="45"/>
        <v>0</v>
      </c>
      <c r="BF269" s="59"/>
      <c r="BG269" s="257">
        <f t="shared" si="46"/>
        <v>0</v>
      </c>
      <c r="BH269" s="59"/>
      <c r="BI269" s="257">
        <f t="shared" si="47"/>
        <v>0</v>
      </c>
      <c r="BJ269" s="1" t="s">
        <v>1044</v>
      </c>
      <c r="BL269" s="1" t="s">
        <v>457</v>
      </c>
      <c r="BM269" s="1" t="s">
        <v>1040</v>
      </c>
    </row>
    <row r="270" spans="1:65" ht="15" customHeight="1">
      <c r="A270" s="250" t="s">
        <v>951</v>
      </c>
      <c r="B270" s="59" t="s">
        <v>221</v>
      </c>
      <c r="C270" s="354" t="s">
        <v>172</v>
      </c>
      <c r="D270" s="476"/>
      <c r="E270" s="359" t="s">
        <v>173</v>
      </c>
      <c r="F270" s="421"/>
      <c r="G270" s="317">
        <v>2026</v>
      </c>
      <c r="H270" s="323" t="s">
        <v>1045</v>
      </c>
      <c r="I270" s="327" t="s">
        <v>249</v>
      </c>
      <c r="J270" s="331">
        <v>14</v>
      </c>
      <c r="K270" s="323" t="s">
        <v>989</v>
      </c>
      <c r="L270" s="323" t="s">
        <v>382</v>
      </c>
      <c r="M270" s="303" t="s">
        <v>672</v>
      </c>
      <c r="N270" s="303">
        <v>8.4</v>
      </c>
      <c r="O270" s="303">
        <v>8.4</v>
      </c>
      <c r="P270" s="303">
        <v>8.4</v>
      </c>
      <c r="Q270" s="303">
        <v>8.4</v>
      </c>
      <c r="R270" s="401">
        <v>8.8000000000000007</v>
      </c>
      <c r="S270" s="401">
        <v>8.8000000000000007</v>
      </c>
      <c r="T270" s="401">
        <v>8.8000000000000007</v>
      </c>
      <c r="U270" s="401">
        <v>8.8000000000000007</v>
      </c>
      <c r="V270" s="401">
        <v>8.8000000000000007</v>
      </c>
      <c r="W270" s="401">
        <v>8.8000000000000007</v>
      </c>
      <c r="X270" s="401">
        <v>8.8000000000000007</v>
      </c>
      <c r="Y270" s="401">
        <v>8.8000000000000007</v>
      </c>
      <c r="Z270" s="304">
        <v>1.2</v>
      </c>
      <c r="AA270" s="304">
        <v>1.2</v>
      </c>
      <c r="AB270" s="304">
        <v>1.2</v>
      </c>
      <c r="AC270" s="304">
        <v>0</v>
      </c>
      <c r="AD270" s="403">
        <v>1.1000000000000005</v>
      </c>
      <c r="AE270" s="403">
        <v>1.1000000000000005</v>
      </c>
      <c r="AF270" s="403">
        <v>1.1000000000000005</v>
      </c>
      <c r="AG270" s="403">
        <v>1.1000000000000005</v>
      </c>
      <c r="AH270" s="403">
        <v>1.1000000000000005</v>
      </c>
      <c r="AI270" s="403">
        <v>1.1000000000000005</v>
      </c>
      <c r="AJ270" s="403">
        <v>1.1000000000000005</v>
      </c>
      <c r="AK270" s="403">
        <v>1.1000000000000005</v>
      </c>
      <c r="AL270" s="265"/>
      <c r="AM270" s="254">
        <f t="shared" si="36"/>
        <v>0</v>
      </c>
      <c r="AN270" s="265"/>
      <c r="AO270" s="254">
        <f t="shared" si="37"/>
        <v>0</v>
      </c>
      <c r="AP270" s="265">
        <v>300</v>
      </c>
      <c r="AQ270" s="254">
        <f t="shared" si="38"/>
        <v>360</v>
      </c>
      <c r="AR270" s="265">
        <v>4120</v>
      </c>
      <c r="AS270" s="257">
        <f t="shared" si="39"/>
        <v>0</v>
      </c>
      <c r="AT270" s="385">
        <v>1760</v>
      </c>
      <c r="AU270" s="257">
        <f t="shared" si="40"/>
        <v>1936.0000000000009</v>
      </c>
      <c r="AV270" s="268"/>
      <c r="AW270" s="257">
        <f t="shared" si="41"/>
        <v>0</v>
      </c>
      <c r="AX270" s="270"/>
      <c r="AY270" s="257">
        <f t="shared" si="42"/>
        <v>0</v>
      </c>
      <c r="AZ270" s="268"/>
      <c r="BA270" s="257">
        <f t="shared" si="43"/>
        <v>0</v>
      </c>
      <c r="BB270" s="268"/>
      <c r="BC270" s="257">
        <f t="shared" si="44"/>
        <v>0</v>
      </c>
      <c r="BD270" s="268"/>
      <c r="BE270" s="257">
        <f t="shared" si="45"/>
        <v>0</v>
      </c>
      <c r="BF270" s="59"/>
      <c r="BG270" s="257">
        <f t="shared" si="46"/>
        <v>0</v>
      </c>
      <c r="BH270" s="59"/>
      <c r="BI270" s="257">
        <f t="shared" si="47"/>
        <v>0</v>
      </c>
      <c r="BJ270" s="1" t="s">
        <v>1046</v>
      </c>
      <c r="BL270" s="1" t="s">
        <v>457</v>
      </c>
      <c r="BM270" s="1" t="s">
        <v>1040</v>
      </c>
    </row>
    <row r="271" spans="1:65" ht="15" customHeight="1">
      <c r="A271" s="250" t="s">
        <v>951</v>
      </c>
      <c r="B271" s="59" t="s">
        <v>221</v>
      </c>
      <c r="C271" s="354" t="s">
        <v>172</v>
      </c>
      <c r="D271" s="476"/>
      <c r="E271" s="359" t="s">
        <v>173</v>
      </c>
      <c r="F271" s="421"/>
      <c r="G271" s="317">
        <v>2026</v>
      </c>
      <c r="H271" s="323" t="s">
        <v>1045</v>
      </c>
      <c r="I271" s="327" t="s">
        <v>249</v>
      </c>
      <c r="J271" s="331">
        <v>14</v>
      </c>
      <c r="K271" s="323" t="s">
        <v>993</v>
      </c>
      <c r="L271" s="323" t="s">
        <v>382</v>
      </c>
      <c r="M271" s="303" t="s">
        <v>672</v>
      </c>
      <c r="N271" s="303">
        <v>8.4</v>
      </c>
      <c r="O271" s="303">
        <v>8.4</v>
      </c>
      <c r="P271" s="303">
        <v>8.4</v>
      </c>
      <c r="Q271" s="303">
        <v>8.4</v>
      </c>
      <c r="R271" s="401">
        <v>8.8000000000000007</v>
      </c>
      <c r="S271" s="401">
        <v>8.8000000000000007</v>
      </c>
      <c r="T271" s="401">
        <v>8.8000000000000007</v>
      </c>
      <c r="U271" s="401">
        <v>8.8000000000000007</v>
      </c>
      <c r="V271" s="401">
        <v>8.8000000000000007</v>
      </c>
      <c r="W271" s="401">
        <v>8.8000000000000007</v>
      </c>
      <c r="X271" s="401">
        <v>8.8000000000000007</v>
      </c>
      <c r="Y271" s="401">
        <v>8.8000000000000007</v>
      </c>
      <c r="Z271" s="304">
        <v>1.2</v>
      </c>
      <c r="AA271" s="304">
        <v>1.2</v>
      </c>
      <c r="AB271" s="304">
        <v>1.2</v>
      </c>
      <c r="AC271" s="304">
        <v>0</v>
      </c>
      <c r="AD271" s="403">
        <v>1.1000000000000005</v>
      </c>
      <c r="AE271" s="403">
        <v>1.1000000000000005</v>
      </c>
      <c r="AF271" s="403">
        <v>1.1000000000000005</v>
      </c>
      <c r="AG271" s="403">
        <v>1.1000000000000005</v>
      </c>
      <c r="AH271" s="403">
        <v>1.1000000000000005</v>
      </c>
      <c r="AI271" s="403">
        <v>1.1000000000000005</v>
      </c>
      <c r="AJ271" s="403">
        <v>1.1000000000000005</v>
      </c>
      <c r="AK271" s="403">
        <v>1.1000000000000005</v>
      </c>
      <c r="AL271" s="265"/>
      <c r="AM271" s="254">
        <f t="shared" si="36"/>
        <v>0</v>
      </c>
      <c r="AN271" s="265"/>
      <c r="AO271" s="254">
        <f t="shared" si="37"/>
        <v>0</v>
      </c>
      <c r="AP271" s="265">
        <v>200</v>
      </c>
      <c r="AQ271" s="254">
        <f t="shared" si="38"/>
        <v>240</v>
      </c>
      <c r="AR271" s="265">
        <v>720</v>
      </c>
      <c r="AS271" s="257">
        <f t="shared" si="39"/>
        <v>0</v>
      </c>
      <c r="AT271" s="385">
        <v>1000</v>
      </c>
      <c r="AU271" s="257">
        <f t="shared" si="40"/>
        <v>1100.0000000000005</v>
      </c>
      <c r="AV271" s="268"/>
      <c r="AW271" s="257">
        <f t="shared" si="41"/>
        <v>0</v>
      </c>
      <c r="AX271" s="270"/>
      <c r="AY271" s="257">
        <f t="shared" si="42"/>
        <v>0</v>
      </c>
      <c r="AZ271" s="268"/>
      <c r="BA271" s="257">
        <f t="shared" si="43"/>
        <v>0</v>
      </c>
      <c r="BB271" s="268"/>
      <c r="BC271" s="257">
        <f t="shared" si="44"/>
        <v>0</v>
      </c>
      <c r="BD271" s="268"/>
      <c r="BE271" s="257">
        <f t="shared" si="45"/>
        <v>0</v>
      </c>
      <c r="BF271" s="59"/>
      <c r="BG271" s="257">
        <f t="shared" si="46"/>
        <v>0</v>
      </c>
      <c r="BH271" s="59"/>
      <c r="BI271" s="257">
        <f t="shared" si="47"/>
        <v>0</v>
      </c>
      <c r="BJ271" s="1" t="s">
        <v>1047</v>
      </c>
      <c r="BL271" s="1" t="s">
        <v>457</v>
      </c>
      <c r="BM271" s="1" t="s">
        <v>1040</v>
      </c>
    </row>
    <row r="272" spans="1:65" ht="15" customHeight="1">
      <c r="A272" s="250" t="s">
        <v>951</v>
      </c>
      <c r="B272" s="59" t="s">
        <v>221</v>
      </c>
      <c r="C272" s="354" t="s">
        <v>172</v>
      </c>
      <c r="D272" s="476"/>
      <c r="E272" s="359" t="s">
        <v>173</v>
      </c>
      <c r="F272" s="421"/>
      <c r="G272" s="317">
        <v>2026</v>
      </c>
      <c r="H272" s="323" t="s">
        <v>1045</v>
      </c>
      <c r="I272" s="327" t="s">
        <v>249</v>
      </c>
      <c r="J272" s="331">
        <v>14</v>
      </c>
      <c r="K272" s="323" t="s">
        <v>1048</v>
      </c>
      <c r="L272" s="323" t="s">
        <v>382</v>
      </c>
      <c r="M272" s="303" t="s">
        <v>672</v>
      </c>
      <c r="N272" s="303">
        <v>9.4</v>
      </c>
      <c r="O272" s="303">
        <v>9.4</v>
      </c>
      <c r="P272" s="303">
        <v>9.4</v>
      </c>
      <c r="Q272" s="303">
        <v>9.4</v>
      </c>
      <c r="R272" s="401">
        <v>9.6</v>
      </c>
      <c r="S272" s="401">
        <v>9.6</v>
      </c>
      <c r="T272" s="401">
        <v>9.6</v>
      </c>
      <c r="U272" s="401">
        <v>9.6</v>
      </c>
      <c r="V272" s="401">
        <v>9.6</v>
      </c>
      <c r="W272" s="401">
        <v>9.6</v>
      </c>
      <c r="X272" s="401">
        <v>9.6</v>
      </c>
      <c r="Y272" s="401">
        <v>9.6</v>
      </c>
      <c r="Z272" s="304">
        <v>1.65</v>
      </c>
      <c r="AA272" s="304">
        <v>1.65</v>
      </c>
      <c r="AB272" s="304">
        <v>1.65</v>
      </c>
      <c r="AC272" s="304">
        <v>0</v>
      </c>
      <c r="AD272" s="403">
        <v>1.3499999999999996</v>
      </c>
      <c r="AE272" s="403">
        <v>1.3499999999999996</v>
      </c>
      <c r="AF272" s="403">
        <v>1.3499999999999996</v>
      </c>
      <c r="AG272" s="403">
        <v>1.3499999999999996</v>
      </c>
      <c r="AH272" s="403">
        <v>1.3499999999999996</v>
      </c>
      <c r="AI272" s="403">
        <v>1.3499999999999996</v>
      </c>
      <c r="AJ272" s="403">
        <v>1.3499999999999996</v>
      </c>
      <c r="AK272" s="403">
        <v>1.3499999999999996</v>
      </c>
      <c r="AL272" s="265"/>
      <c r="AM272" s="254">
        <f t="shared" si="36"/>
        <v>0</v>
      </c>
      <c r="AN272" s="265"/>
      <c r="AO272" s="254">
        <f t="shared" si="37"/>
        <v>0</v>
      </c>
      <c r="AP272" s="265">
        <v>300</v>
      </c>
      <c r="AQ272" s="254">
        <f t="shared" si="38"/>
        <v>495</v>
      </c>
      <c r="AR272" s="265">
        <v>680</v>
      </c>
      <c r="AS272" s="257">
        <f t="shared" si="39"/>
        <v>0</v>
      </c>
      <c r="AT272" s="385">
        <v>160</v>
      </c>
      <c r="AU272" s="257">
        <f t="shared" si="40"/>
        <v>215.99999999999994</v>
      </c>
      <c r="AV272" s="268"/>
      <c r="AW272" s="257">
        <f t="shared" si="41"/>
        <v>0</v>
      </c>
      <c r="AX272" s="270"/>
      <c r="AY272" s="257">
        <f t="shared" si="42"/>
        <v>0</v>
      </c>
      <c r="AZ272" s="268"/>
      <c r="BA272" s="257">
        <f t="shared" si="43"/>
        <v>0</v>
      </c>
      <c r="BB272" s="268"/>
      <c r="BC272" s="257">
        <f t="shared" si="44"/>
        <v>0</v>
      </c>
      <c r="BD272" s="268"/>
      <c r="BE272" s="257">
        <f t="shared" si="45"/>
        <v>0</v>
      </c>
      <c r="BF272" s="59"/>
      <c r="BG272" s="257">
        <f t="shared" si="46"/>
        <v>0</v>
      </c>
      <c r="BH272" s="59"/>
      <c r="BI272" s="257">
        <f t="shared" si="47"/>
        <v>0</v>
      </c>
      <c r="BJ272" s="1" t="s">
        <v>1049</v>
      </c>
      <c r="BL272" s="1" t="s">
        <v>457</v>
      </c>
      <c r="BM272" s="1" t="s">
        <v>1040</v>
      </c>
    </row>
    <row r="273" spans="1:65" ht="15" customHeight="1">
      <c r="A273" s="250" t="s">
        <v>951</v>
      </c>
      <c r="B273" s="59" t="s">
        <v>221</v>
      </c>
      <c r="C273" s="354" t="s">
        <v>172</v>
      </c>
      <c r="D273" s="476"/>
      <c r="E273" s="359" t="s">
        <v>173</v>
      </c>
      <c r="F273" s="421"/>
      <c r="G273" s="317">
        <v>2026</v>
      </c>
      <c r="H273" s="323" t="s">
        <v>1045</v>
      </c>
      <c r="I273" s="327" t="s">
        <v>249</v>
      </c>
      <c r="J273" s="331">
        <v>14</v>
      </c>
      <c r="K273" s="323" t="s">
        <v>1050</v>
      </c>
      <c r="L273" s="323" t="s">
        <v>382</v>
      </c>
      <c r="M273" s="303" t="s">
        <v>672</v>
      </c>
      <c r="N273" s="303">
        <v>8.4</v>
      </c>
      <c r="O273" s="303">
        <v>8.4</v>
      </c>
      <c r="P273" s="303">
        <v>8.4</v>
      </c>
      <c r="Q273" s="303">
        <v>8.4</v>
      </c>
      <c r="R273" s="401">
        <v>8.8000000000000007</v>
      </c>
      <c r="S273" s="401">
        <v>8.8000000000000007</v>
      </c>
      <c r="T273" s="401">
        <v>8.8000000000000007</v>
      </c>
      <c r="U273" s="401">
        <v>8.8000000000000007</v>
      </c>
      <c r="V273" s="401">
        <v>8.8000000000000007</v>
      </c>
      <c r="W273" s="401">
        <v>8.8000000000000007</v>
      </c>
      <c r="X273" s="401">
        <v>8.8000000000000007</v>
      </c>
      <c r="Y273" s="401">
        <v>8.8000000000000007</v>
      </c>
      <c r="Z273" s="304">
        <v>1.2</v>
      </c>
      <c r="AA273" s="304">
        <v>1.2</v>
      </c>
      <c r="AB273" s="304">
        <v>1.2</v>
      </c>
      <c r="AC273" s="304">
        <v>0</v>
      </c>
      <c r="AD273" s="403">
        <v>1.1000000000000005</v>
      </c>
      <c r="AE273" s="403">
        <v>1.1000000000000005</v>
      </c>
      <c r="AF273" s="403">
        <v>1.1000000000000005</v>
      </c>
      <c r="AG273" s="403">
        <v>1.1000000000000005</v>
      </c>
      <c r="AH273" s="403">
        <v>1.1000000000000005</v>
      </c>
      <c r="AI273" s="403">
        <v>1.1000000000000005</v>
      </c>
      <c r="AJ273" s="403">
        <v>1.1000000000000005</v>
      </c>
      <c r="AK273" s="403">
        <v>1.1000000000000005</v>
      </c>
      <c r="AL273" s="265"/>
      <c r="AM273" s="254">
        <f t="shared" si="36"/>
        <v>0</v>
      </c>
      <c r="AN273" s="265"/>
      <c r="AO273" s="254">
        <f t="shared" si="37"/>
        <v>0</v>
      </c>
      <c r="AP273" s="265">
        <v>200</v>
      </c>
      <c r="AQ273" s="254">
        <f t="shared" si="38"/>
        <v>240</v>
      </c>
      <c r="AR273" s="265">
        <v>520</v>
      </c>
      <c r="AS273" s="257">
        <f t="shared" si="39"/>
        <v>0</v>
      </c>
      <c r="AT273" s="385">
        <v>120</v>
      </c>
      <c r="AU273" s="257">
        <f t="shared" si="40"/>
        <v>132.00000000000006</v>
      </c>
      <c r="AV273" s="268"/>
      <c r="AW273" s="257">
        <f t="shared" si="41"/>
        <v>0</v>
      </c>
      <c r="AX273" s="270"/>
      <c r="AY273" s="257">
        <f t="shared" si="42"/>
        <v>0</v>
      </c>
      <c r="AZ273" s="268"/>
      <c r="BA273" s="257">
        <f t="shared" si="43"/>
        <v>0</v>
      </c>
      <c r="BB273" s="268"/>
      <c r="BC273" s="257">
        <f t="shared" si="44"/>
        <v>0</v>
      </c>
      <c r="BD273" s="268"/>
      <c r="BE273" s="257">
        <f t="shared" si="45"/>
        <v>0</v>
      </c>
      <c r="BF273" s="59"/>
      <c r="BG273" s="257">
        <f t="shared" si="46"/>
        <v>0</v>
      </c>
      <c r="BH273" s="59"/>
      <c r="BI273" s="257">
        <f t="shared" si="47"/>
        <v>0</v>
      </c>
      <c r="BJ273" s="1" t="s">
        <v>1051</v>
      </c>
      <c r="BL273" s="1" t="s">
        <v>457</v>
      </c>
      <c r="BM273" s="1" t="s">
        <v>1040</v>
      </c>
    </row>
    <row r="274" spans="1:65" ht="15" customHeight="1">
      <c r="A274" s="250" t="s">
        <v>951</v>
      </c>
      <c r="B274" s="59" t="s">
        <v>221</v>
      </c>
      <c r="C274" s="354" t="s">
        <v>172</v>
      </c>
      <c r="D274" s="476"/>
      <c r="E274" s="359" t="s">
        <v>173</v>
      </c>
      <c r="F274" s="421"/>
      <c r="G274" s="317">
        <v>2026</v>
      </c>
      <c r="H274" s="323" t="s">
        <v>1052</v>
      </c>
      <c r="I274" s="327" t="s">
        <v>249</v>
      </c>
      <c r="J274" s="331">
        <v>16</v>
      </c>
      <c r="K274" s="323" t="s">
        <v>989</v>
      </c>
      <c r="L274" s="323" t="s">
        <v>382</v>
      </c>
      <c r="M274" s="303" t="s">
        <v>672</v>
      </c>
      <c r="N274" s="303">
        <v>8.0299999999999994</v>
      </c>
      <c r="O274" s="303">
        <v>8.0299999999999994</v>
      </c>
      <c r="P274" s="303">
        <v>8.0299999999999994</v>
      </c>
      <c r="Q274" s="303">
        <v>8.0299999999999994</v>
      </c>
      <c r="R274" s="401">
        <v>8.6</v>
      </c>
      <c r="S274" s="401">
        <v>8.6</v>
      </c>
      <c r="T274" s="401">
        <v>8.6</v>
      </c>
      <c r="U274" s="401">
        <v>8.6</v>
      </c>
      <c r="V274" s="401">
        <v>8.6</v>
      </c>
      <c r="W274" s="401">
        <v>8.6</v>
      </c>
      <c r="X274" s="401">
        <v>8.6</v>
      </c>
      <c r="Y274" s="401">
        <v>8.6</v>
      </c>
      <c r="Z274" s="304">
        <v>0.83</v>
      </c>
      <c r="AA274" s="304">
        <v>0.83</v>
      </c>
      <c r="AB274" s="304">
        <v>0.83</v>
      </c>
      <c r="AC274" s="304">
        <v>0</v>
      </c>
      <c r="AD274" s="403">
        <v>0.79999999999999982</v>
      </c>
      <c r="AE274" s="403">
        <v>0.79999999999999982</v>
      </c>
      <c r="AF274" s="403">
        <v>0.79999999999999982</v>
      </c>
      <c r="AG274" s="403">
        <v>0.79999999999999982</v>
      </c>
      <c r="AH274" s="403">
        <v>0.79999999999999982</v>
      </c>
      <c r="AI274" s="403">
        <v>0.79999999999999982</v>
      </c>
      <c r="AJ274" s="403">
        <v>0.79999999999999982</v>
      </c>
      <c r="AK274" s="403">
        <v>0.79999999999999982</v>
      </c>
      <c r="AL274" s="265"/>
      <c r="AM274" s="254">
        <f t="shared" si="36"/>
        <v>0</v>
      </c>
      <c r="AN274" s="265"/>
      <c r="AO274" s="254">
        <f t="shared" si="37"/>
        <v>0</v>
      </c>
      <c r="AP274" s="265"/>
      <c r="AQ274" s="254">
        <f t="shared" si="38"/>
        <v>0</v>
      </c>
      <c r="AR274" s="265">
        <v>880</v>
      </c>
      <c r="AS274" s="257">
        <f t="shared" si="39"/>
        <v>0</v>
      </c>
      <c r="AT274" s="385">
        <v>2520</v>
      </c>
      <c r="AU274" s="257">
        <f t="shared" si="40"/>
        <v>2015.9999999999995</v>
      </c>
      <c r="AV274" s="268"/>
      <c r="AW274" s="257">
        <f t="shared" si="41"/>
        <v>0</v>
      </c>
      <c r="AX274" s="270"/>
      <c r="AY274" s="257">
        <f t="shared" si="42"/>
        <v>0</v>
      </c>
      <c r="AZ274" s="268"/>
      <c r="BA274" s="257">
        <f t="shared" si="43"/>
        <v>0</v>
      </c>
      <c r="BB274" s="268"/>
      <c r="BC274" s="257">
        <f t="shared" si="44"/>
        <v>0</v>
      </c>
      <c r="BD274" s="268"/>
      <c r="BE274" s="257">
        <f t="shared" si="45"/>
        <v>0</v>
      </c>
      <c r="BF274" s="59"/>
      <c r="BG274" s="257">
        <f t="shared" si="46"/>
        <v>0</v>
      </c>
      <c r="BH274" s="59"/>
      <c r="BI274" s="257">
        <f t="shared" si="47"/>
        <v>0</v>
      </c>
      <c r="BJ274" s="1" t="s">
        <v>1053</v>
      </c>
      <c r="BL274" s="1" t="s">
        <v>457</v>
      </c>
      <c r="BM274" s="1" t="s">
        <v>1040</v>
      </c>
    </row>
    <row r="275" spans="1:65" ht="15" customHeight="1">
      <c r="A275" s="250" t="s">
        <v>951</v>
      </c>
      <c r="B275" s="59" t="s">
        <v>221</v>
      </c>
      <c r="C275" s="354" t="s">
        <v>172</v>
      </c>
      <c r="D275" s="476"/>
      <c r="E275" s="359" t="s">
        <v>173</v>
      </c>
      <c r="F275" s="421"/>
      <c r="G275" s="317">
        <v>2026</v>
      </c>
      <c r="H275" s="323" t="s">
        <v>1052</v>
      </c>
      <c r="I275" s="327" t="s">
        <v>249</v>
      </c>
      <c r="J275" s="331">
        <v>16</v>
      </c>
      <c r="K275" s="323" t="s">
        <v>993</v>
      </c>
      <c r="L275" s="323" t="s">
        <v>382</v>
      </c>
      <c r="M275" s="303" t="s">
        <v>672</v>
      </c>
      <c r="N275" s="303">
        <v>8.0299999999999994</v>
      </c>
      <c r="O275" s="303">
        <v>8.0299999999999994</v>
      </c>
      <c r="P275" s="303">
        <v>8.0299999999999994</v>
      </c>
      <c r="Q275" s="303">
        <v>8.0299999999999994</v>
      </c>
      <c r="R275" s="401">
        <v>8.6</v>
      </c>
      <c r="S275" s="401">
        <v>8.6</v>
      </c>
      <c r="T275" s="401">
        <v>8.6</v>
      </c>
      <c r="U275" s="401">
        <v>8.6</v>
      </c>
      <c r="V275" s="401">
        <v>8.6</v>
      </c>
      <c r="W275" s="401">
        <v>8.6</v>
      </c>
      <c r="X275" s="401">
        <v>8.6</v>
      </c>
      <c r="Y275" s="401">
        <v>8.6</v>
      </c>
      <c r="Z275" s="304">
        <v>0.83</v>
      </c>
      <c r="AA275" s="304">
        <v>0.83</v>
      </c>
      <c r="AB275" s="304">
        <v>0.83</v>
      </c>
      <c r="AC275" s="304">
        <v>0</v>
      </c>
      <c r="AD275" s="403">
        <v>0.79999999999999982</v>
      </c>
      <c r="AE275" s="403">
        <v>0.79999999999999982</v>
      </c>
      <c r="AF275" s="403">
        <v>0.79999999999999982</v>
      </c>
      <c r="AG275" s="403">
        <v>0.79999999999999982</v>
      </c>
      <c r="AH275" s="403">
        <v>0.79999999999999982</v>
      </c>
      <c r="AI275" s="403">
        <v>0.79999999999999982</v>
      </c>
      <c r="AJ275" s="403">
        <v>0.79999999999999982</v>
      </c>
      <c r="AK275" s="403">
        <v>0.79999999999999982</v>
      </c>
      <c r="AL275" s="265"/>
      <c r="AM275" s="254">
        <f t="shared" si="36"/>
        <v>0</v>
      </c>
      <c r="AN275" s="265"/>
      <c r="AO275" s="254">
        <f t="shared" si="37"/>
        <v>0</v>
      </c>
      <c r="AP275" s="265"/>
      <c r="AQ275" s="254">
        <f t="shared" si="38"/>
        <v>0</v>
      </c>
      <c r="AR275" s="265">
        <v>1640</v>
      </c>
      <c r="AS275" s="257">
        <f t="shared" si="39"/>
        <v>0</v>
      </c>
      <c r="AT275" s="385">
        <v>480</v>
      </c>
      <c r="AU275" s="257">
        <f t="shared" si="40"/>
        <v>383.99999999999989</v>
      </c>
      <c r="AV275" s="268"/>
      <c r="AW275" s="257">
        <f t="shared" si="41"/>
        <v>0</v>
      </c>
      <c r="AX275" s="270"/>
      <c r="AY275" s="257">
        <f t="shared" si="42"/>
        <v>0</v>
      </c>
      <c r="AZ275" s="268"/>
      <c r="BA275" s="257">
        <f t="shared" si="43"/>
        <v>0</v>
      </c>
      <c r="BB275" s="268"/>
      <c r="BC275" s="257">
        <f t="shared" si="44"/>
        <v>0</v>
      </c>
      <c r="BD275" s="268"/>
      <c r="BE275" s="257">
        <f t="shared" si="45"/>
        <v>0</v>
      </c>
      <c r="BF275" s="59"/>
      <c r="BG275" s="257">
        <f t="shared" si="46"/>
        <v>0</v>
      </c>
      <c r="BH275" s="59"/>
      <c r="BI275" s="257">
        <f t="shared" si="47"/>
        <v>0</v>
      </c>
      <c r="BJ275" s="1" t="s">
        <v>1054</v>
      </c>
      <c r="BL275" s="1" t="s">
        <v>457</v>
      </c>
      <c r="BM275" s="1" t="s">
        <v>1040</v>
      </c>
    </row>
    <row r="276" spans="1:65" ht="15" customHeight="1">
      <c r="A276" s="250" t="s">
        <v>951</v>
      </c>
      <c r="B276" s="59" t="s">
        <v>221</v>
      </c>
      <c r="C276" s="354" t="s">
        <v>172</v>
      </c>
      <c r="D276" s="476"/>
      <c r="E276" s="359" t="s">
        <v>173</v>
      </c>
      <c r="F276" s="421"/>
      <c r="G276" s="317">
        <v>2026</v>
      </c>
      <c r="H276" s="323" t="s">
        <v>1052</v>
      </c>
      <c r="I276" s="327" t="s">
        <v>249</v>
      </c>
      <c r="J276" s="331">
        <v>16</v>
      </c>
      <c r="K276" s="323" t="s">
        <v>1048</v>
      </c>
      <c r="L276" s="323" t="s">
        <v>382</v>
      </c>
      <c r="M276" s="303" t="s">
        <v>672</v>
      </c>
      <c r="N276" s="303">
        <v>9.0299999999999994</v>
      </c>
      <c r="O276" s="303">
        <v>9.0299999999999994</v>
      </c>
      <c r="P276" s="303">
        <v>9.0299999999999994</v>
      </c>
      <c r="Q276" s="303">
        <v>9.0299999999999994</v>
      </c>
      <c r="R276" s="401">
        <v>9.6</v>
      </c>
      <c r="S276" s="401">
        <v>9.6</v>
      </c>
      <c r="T276" s="401">
        <v>9.6</v>
      </c>
      <c r="U276" s="401">
        <v>9.6</v>
      </c>
      <c r="V276" s="401">
        <v>9.6</v>
      </c>
      <c r="W276" s="401">
        <v>9.6</v>
      </c>
      <c r="X276" s="401">
        <v>9.6</v>
      </c>
      <c r="Y276" s="401">
        <v>9.6</v>
      </c>
      <c r="Z276" s="304">
        <v>1.43</v>
      </c>
      <c r="AA276" s="304">
        <v>1.43</v>
      </c>
      <c r="AB276" s="304">
        <v>1.43</v>
      </c>
      <c r="AC276" s="304">
        <v>0</v>
      </c>
      <c r="AD276" s="403">
        <v>1.4000000000000004</v>
      </c>
      <c r="AE276" s="403">
        <v>1.4000000000000004</v>
      </c>
      <c r="AF276" s="403">
        <v>1.4000000000000004</v>
      </c>
      <c r="AG276" s="403">
        <v>1.4000000000000004</v>
      </c>
      <c r="AH276" s="403">
        <v>1.4000000000000004</v>
      </c>
      <c r="AI276" s="403">
        <v>1.4000000000000004</v>
      </c>
      <c r="AJ276" s="403">
        <v>1.4000000000000004</v>
      </c>
      <c r="AK276" s="403">
        <v>1.4000000000000004</v>
      </c>
      <c r="AL276" s="265"/>
      <c r="AM276" s="254">
        <f t="shared" si="36"/>
        <v>0</v>
      </c>
      <c r="AN276" s="265"/>
      <c r="AO276" s="254">
        <f t="shared" si="37"/>
        <v>0</v>
      </c>
      <c r="AP276" s="265"/>
      <c r="AQ276" s="254">
        <f t="shared" si="38"/>
        <v>0</v>
      </c>
      <c r="AR276" s="265">
        <v>160</v>
      </c>
      <c r="AS276" s="257">
        <f t="shared" si="39"/>
        <v>0</v>
      </c>
      <c r="AT276" s="385">
        <v>200</v>
      </c>
      <c r="AU276" s="257">
        <f t="shared" si="40"/>
        <v>280.00000000000006</v>
      </c>
      <c r="AV276" s="268"/>
      <c r="AW276" s="257">
        <f t="shared" si="41"/>
        <v>0</v>
      </c>
      <c r="AX276" s="270"/>
      <c r="AY276" s="257">
        <f t="shared" si="42"/>
        <v>0</v>
      </c>
      <c r="AZ276" s="268"/>
      <c r="BA276" s="257">
        <f t="shared" si="43"/>
        <v>0</v>
      </c>
      <c r="BB276" s="268"/>
      <c r="BC276" s="257">
        <f t="shared" si="44"/>
        <v>0</v>
      </c>
      <c r="BD276" s="268"/>
      <c r="BE276" s="257">
        <f t="shared" si="45"/>
        <v>0</v>
      </c>
      <c r="BF276" s="59"/>
      <c r="BG276" s="257">
        <f t="shared" si="46"/>
        <v>0</v>
      </c>
      <c r="BH276" s="59"/>
      <c r="BI276" s="257">
        <f t="shared" si="47"/>
        <v>0</v>
      </c>
      <c r="BJ276" s="1" t="s">
        <v>1055</v>
      </c>
      <c r="BL276" s="1" t="s">
        <v>457</v>
      </c>
      <c r="BM276" s="1" t="s">
        <v>1040</v>
      </c>
    </row>
    <row r="277" spans="1:65" ht="15" customHeight="1">
      <c r="A277" s="250" t="s">
        <v>951</v>
      </c>
      <c r="B277" s="59" t="s">
        <v>221</v>
      </c>
      <c r="C277" s="354" t="s">
        <v>172</v>
      </c>
      <c r="D277" s="476"/>
      <c r="E277" s="359" t="s">
        <v>173</v>
      </c>
      <c r="F277" s="421"/>
      <c r="G277" s="317">
        <v>2026</v>
      </c>
      <c r="H277" s="323" t="s">
        <v>1052</v>
      </c>
      <c r="I277" s="327" t="s">
        <v>249</v>
      </c>
      <c r="J277" s="331">
        <v>16</v>
      </c>
      <c r="K277" s="323" t="s">
        <v>1056</v>
      </c>
      <c r="L277" s="323" t="s">
        <v>382</v>
      </c>
      <c r="M277" s="303" t="s">
        <v>672</v>
      </c>
      <c r="N277" s="303">
        <v>8.0299999999999994</v>
      </c>
      <c r="O277" s="303">
        <v>8.0299999999999994</v>
      </c>
      <c r="P277" s="303">
        <v>8.0299999999999994</v>
      </c>
      <c r="Q277" s="303">
        <v>8.0299999999999994</v>
      </c>
      <c r="R277" s="401">
        <v>8.6</v>
      </c>
      <c r="S277" s="401">
        <v>8.6</v>
      </c>
      <c r="T277" s="401">
        <v>8.6</v>
      </c>
      <c r="U277" s="401">
        <v>8.6</v>
      </c>
      <c r="V277" s="401">
        <v>8.6</v>
      </c>
      <c r="W277" s="401">
        <v>8.6</v>
      </c>
      <c r="X277" s="401">
        <v>8.6</v>
      </c>
      <c r="Y277" s="401">
        <v>8.6</v>
      </c>
      <c r="Z277" s="304">
        <v>0.83</v>
      </c>
      <c r="AA277" s="304">
        <v>0.83</v>
      </c>
      <c r="AB277" s="304">
        <v>0.83</v>
      </c>
      <c r="AC277" s="304">
        <v>0</v>
      </c>
      <c r="AD277" s="403">
        <v>0.79999999999999982</v>
      </c>
      <c r="AE277" s="403">
        <v>0.79999999999999982</v>
      </c>
      <c r="AF277" s="403">
        <v>0.79999999999999982</v>
      </c>
      <c r="AG277" s="403">
        <v>0.79999999999999982</v>
      </c>
      <c r="AH277" s="403">
        <v>0.79999999999999982</v>
      </c>
      <c r="AI277" s="403">
        <v>0.79999999999999982</v>
      </c>
      <c r="AJ277" s="403">
        <v>0.79999999999999982</v>
      </c>
      <c r="AK277" s="403">
        <v>0.79999999999999982</v>
      </c>
      <c r="AL277" s="265"/>
      <c r="AM277" s="254">
        <f t="shared" si="36"/>
        <v>0</v>
      </c>
      <c r="AN277" s="265"/>
      <c r="AO277" s="254">
        <f t="shared" si="37"/>
        <v>0</v>
      </c>
      <c r="AP277" s="265"/>
      <c r="AQ277" s="254">
        <f t="shared" si="38"/>
        <v>0</v>
      </c>
      <c r="AR277" s="265">
        <v>80</v>
      </c>
      <c r="AS277" s="257">
        <f t="shared" si="39"/>
        <v>0</v>
      </c>
      <c r="AT277" s="385">
        <v>120</v>
      </c>
      <c r="AU277" s="257">
        <f t="shared" si="40"/>
        <v>95.999999999999972</v>
      </c>
      <c r="AV277" s="390"/>
      <c r="AW277" s="257">
        <f t="shared" si="41"/>
        <v>0</v>
      </c>
      <c r="AX277" s="265"/>
      <c r="AY277" s="257">
        <f t="shared" si="42"/>
        <v>0</v>
      </c>
      <c r="AZ277" s="265"/>
      <c r="BA277" s="257">
        <f t="shared" si="43"/>
        <v>0</v>
      </c>
      <c r="BB277" s="265"/>
      <c r="BC277" s="257">
        <f t="shared" si="44"/>
        <v>0</v>
      </c>
      <c r="BD277" s="265"/>
      <c r="BE277" s="257">
        <f t="shared" si="45"/>
        <v>0</v>
      </c>
      <c r="BF277" s="265"/>
      <c r="BG277" s="257">
        <f t="shared" si="46"/>
        <v>0</v>
      </c>
      <c r="BH277" s="265"/>
      <c r="BI277" s="257">
        <f t="shared" si="47"/>
        <v>0</v>
      </c>
      <c r="BJ277" s="1" t="s">
        <v>1057</v>
      </c>
      <c r="BL277" s="1" t="s">
        <v>457</v>
      </c>
      <c r="BM277" s="1" t="s">
        <v>1040</v>
      </c>
    </row>
    <row r="278" spans="1:65" ht="16.5" customHeight="1">
      <c r="A278" s="250" t="s">
        <v>951</v>
      </c>
      <c r="C278" s="354"/>
      <c r="D278" s="476"/>
      <c r="E278" s="359"/>
      <c r="F278" s="421"/>
      <c r="G278" s="317"/>
      <c r="H278" s="323"/>
      <c r="I278" s="332"/>
      <c r="J278" s="331"/>
      <c r="K278" s="323"/>
      <c r="L278" s="323"/>
      <c r="M278" s="303"/>
      <c r="N278" s="303"/>
      <c r="O278" s="303"/>
      <c r="P278" s="303"/>
      <c r="Q278" s="303"/>
      <c r="R278" s="303"/>
      <c r="S278" s="303"/>
      <c r="T278" s="303"/>
      <c r="U278" s="303"/>
      <c r="V278" s="303"/>
      <c r="W278" s="303"/>
      <c r="X278" s="303"/>
      <c r="Y278" s="303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265"/>
      <c r="AM278" s="254">
        <f t="shared" si="36"/>
        <v>0</v>
      </c>
      <c r="AN278" s="265"/>
      <c r="AO278" s="254">
        <f t="shared" si="37"/>
        <v>0</v>
      </c>
      <c r="AP278" s="265"/>
      <c r="AQ278" s="254">
        <f t="shared" si="38"/>
        <v>0</v>
      </c>
      <c r="AR278" s="265"/>
      <c r="AS278" s="257">
        <f t="shared" si="39"/>
        <v>0</v>
      </c>
      <c r="AT278" s="385"/>
      <c r="AU278" s="257">
        <f t="shared" si="40"/>
        <v>0</v>
      </c>
      <c r="AV278" s="390"/>
      <c r="AW278" s="257">
        <f t="shared" si="41"/>
        <v>0</v>
      </c>
      <c r="AX278" s="265"/>
      <c r="AY278" s="257">
        <f t="shared" si="42"/>
        <v>0</v>
      </c>
      <c r="AZ278" s="265"/>
      <c r="BA278" s="257">
        <f t="shared" si="43"/>
        <v>0</v>
      </c>
      <c r="BB278" s="265"/>
      <c r="BC278" s="257">
        <f t="shared" si="44"/>
        <v>0</v>
      </c>
      <c r="BD278" s="265"/>
      <c r="BE278" s="257">
        <f t="shared" si="45"/>
        <v>0</v>
      </c>
      <c r="BF278" s="265"/>
      <c r="BG278" s="257">
        <f t="shared" si="46"/>
        <v>0</v>
      </c>
      <c r="BH278" s="265"/>
      <c r="BI278" s="257">
        <f t="shared" si="47"/>
        <v>0</v>
      </c>
    </row>
    <row r="279" spans="1:65" ht="16.5" customHeight="1">
      <c r="A279" s="250" t="s">
        <v>951</v>
      </c>
      <c r="C279" s="354"/>
      <c r="D279" s="476"/>
      <c r="E279" s="359"/>
      <c r="F279" s="421"/>
      <c r="G279" s="59"/>
      <c r="H279" s="333"/>
      <c r="I279" s="333"/>
      <c r="J279" s="334"/>
      <c r="K279" s="333"/>
      <c r="L279" s="333"/>
      <c r="M279" s="303"/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  <c r="X279" s="303"/>
      <c r="Y279" s="303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255"/>
      <c r="AM279" s="254">
        <f t="shared" si="36"/>
        <v>0</v>
      </c>
      <c r="AN279" s="264"/>
      <c r="AO279" s="254">
        <f t="shared" si="37"/>
        <v>0</v>
      </c>
      <c r="AP279" s="274"/>
      <c r="AQ279" s="254">
        <f t="shared" si="38"/>
        <v>0</v>
      </c>
      <c r="AR279" s="256"/>
      <c r="AS279" s="257">
        <f t="shared" si="39"/>
        <v>0</v>
      </c>
      <c r="AT279" s="382"/>
      <c r="AU279" s="257">
        <f t="shared" si="40"/>
        <v>0</v>
      </c>
      <c r="AV279" s="268"/>
      <c r="AW279" s="257">
        <f t="shared" si="41"/>
        <v>0</v>
      </c>
      <c r="AX279" s="268"/>
      <c r="AY279" s="257">
        <f t="shared" si="42"/>
        <v>0</v>
      </c>
      <c r="AZ279" s="268"/>
      <c r="BA279" s="257">
        <f t="shared" si="43"/>
        <v>0</v>
      </c>
      <c r="BB279" s="268"/>
      <c r="BC279" s="257">
        <f t="shared" si="44"/>
        <v>0</v>
      </c>
      <c r="BD279" s="59"/>
      <c r="BE279" s="257">
        <f t="shared" si="45"/>
        <v>0</v>
      </c>
      <c r="BF279" s="59"/>
      <c r="BG279" s="257">
        <f t="shared" si="46"/>
        <v>0</v>
      </c>
      <c r="BH279" s="59"/>
      <c r="BI279" s="257">
        <f t="shared" si="47"/>
        <v>0</v>
      </c>
    </row>
    <row r="280" spans="1:65" ht="15" customHeight="1">
      <c r="A280" s="250" t="s">
        <v>951</v>
      </c>
      <c r="B280" s="59" t="s">
        <v>221</v>
      </c>
      <c r="C280" s="354" t="s">
        <v>172</v>
      </c>
      <c r="D280" s="476"/>
      <c r="E280" s="359" t="s">
        <v>173</v>
      </c>
      <c r="F280" s="421" t="s">
        <v>77</v>
      </c>
      <c r="G280" s="317">
        <v>2023</v>
      </c>
      <c r="H280" s="298" t="s">
        <v>385</v>
      </c>
      <c r="I280" s="330" t="s">
        <v>359</v>
      </c>
      <c r="J280" s="337">
        <v>14</v>
      </c>
      <c r="K280" s="59" t="s">
        <v>266</v>
      </c>
      <c r="L280" s="298" t="s">
        <v>336</v>
      </c>
      <c r="M280" s="303" t="s">
        <v>541</v>
      </c>
      <c r="N280" s="303">
        <v>13</v>
      </c>
      <c r="O280" s="303">
        <v>13</v>
      </c>
      <c r="P280" s="303">
        <v>13</v>
      </c>
      <c r="Q280" s="303">
        <v>13</v>
      </c>
      <c r="R280" s="303">
        <v>13</v>
      </c>
      <c r="S280" s="303">
        <v>13</v>
      </c>
      <c r="T280" s="303">
        <v>13</v>
      </c>
      <c r="U280" s="303">
        <v>13</v>
      </c>
      <c r="V280" s="303">
        <v>13</v>
      </c>
      <c r="W280" s="303">
        <v>13</v>
      </c>
      <c r="X280" s="303">
        <v>13</v>
      </c>
      <c r="Y280" s="303">
        <v>13</v>
      </c>
      <c r="Z280" s="59">
        <v>2.8</v>
      </c>
      <c r="AA280" s="59">
        <v>2.8</v>
      </c>
      <c r="AB280" s="59">
        <v>2.8</v>
      </c>
      <c r="AC280" s="59">
        <v>0</v>
      </c>
      <c r="AD280" s="59">
        <v>2.8</v>
      </c>
      <c r="AE280" s="59">
        <v>2.8</v>
      </c>
      <c r="AF280" s="59">
        <v>2.8</v>
      </c>
      <c r="AG280" s="59">
        <v>2.8</v>
      </c>
      <c r="AH280" s="59">
        <v>2.8</v>
      </c>
      <c r="AI280" s="59">
        <v>2.8</v>
      </c>
      <c r="AJ280" s="59">
        <v>2.8</v>
      </c>
      <c r="AK280" s="59">
        <v>2.8</v>
      </c>
      <c r="AL280" s="255"/>
      <c r="AM280" s="254">
        <f t="shared" si="36"/>
        <v>0</v>
      </c>
      <c r="AN280" s="255"/>
      <c r="AO280" s="254">
        <f t="shared" si="37"/>
        <v>0</v>
      </c>
      <c r="AP280" s="255"/>
      <c r="AQ280" s="254">
        <f t="shared" si="38"/>
        <v>0</v>
      </c>
      <c r="AR280" s="255"/>
      <c r="AS280" s="257">
        <f t="shared" si="39"/>
        <v>0</v>
      </c>
      <c r="AT280" s="381"/>
      <c r="AU280" s="257">
        <f t="shared" si="40"/>
        <v>0</v>
      </c>
      <c r="AV280" s="388"/>
      <c r="AW280" s="257">
        <f t="shared" si="41"/>
        <v>0</v>
      </c>
      <c r="AX280" s="255"/>
      <c r="AY280" s="257">
        <f t="shared" si="42"/>
        <v>0</v>
      </c>
      <c r="AZ280" s="255"/>
      <c r="BA280" s="257">
        <f t="shared" si="43"/>
        <v>0</v>
      </c>
      <c r="BB280" s="255"/>
      <c r="BC280" s="257">
        <f t="shared" si="44"/>
        <v>0</v>
      </c>
      <c r="BD280" s="255"/>
      <c r="BE280" s="257">
        <f t="shared" si="45"/>
        <v>0</v>
      </c>
      <c r="BF280" s="255"/>
      <c r="BG280" s="257">
        <f t="shared" si="46"/>
        <v>0</v>
      </c>
      <c r="BH280" s="255"/>
      <c r="BI280" s="257">
        <f t="shared" si="47"/>
        <v>0</v>
      </c>
      <c r="BJ280" s="1" t="s">
        <v>676</v>
      </c>
      <c r="BL280" s="1" t="s">
        <v>457</v>
      </c>
      <c r="BM280" s="1" t="s">
        <v>677</v>
      </c>
    </row>
    <row r="281" spans="1:65" ht="15.75" customHeight="1">
      <c r="A281" s="250" t="s">
        <v>951</v>
      </c>
      <c r="B281" s="59" t="s">
        <v>221</v>
      </c>
      <c r="C281" s="354" t="s">
        <v>172</v>
      </c>
      <c r="D281" s="476"/>
      <c r="E281" s="359" t="s">
        <v>173</v>
      </c>
      <c r="F281" s="421"/>
      <c r="G281" s="317">
        <v>2023</v>
      </c>
      <c r="H281" s="298" t="s">
        <v>385</v>
      </c>
      <c r="I281" s="330" t="s">
        <v>359</v>
      </c>
      <c r="J281" s="337">
        <v>14</v>
      </c>
      <c r="K281" s="59" t="s">
        <v>678</v>
      </c>
      <c r="L281" s="59" t="s">
        <v>336</v>
      </c>
      <c r="M281" s="303" t="s">
        <v>541</v>
      </c>
      <c r="N281" s="303">
        <v>12</v>
      </c>
      <c r="O281" s="303">
        <v>12</v>
      </c>
      <c r="P281" s="303">
        <v>12</v>
      </c>
      <c r="Q281" s="303">
        <v>12</v>
      </c>
      <c r="R281" s="303">
        <v>12</v>
      </c>
      <c r="S281" s="303">
        <v>12</v>
      </c>
      <c r="T281" s="303">
        <v>12</v>
      </c>
      <c r="U281" s="303">
        <v>12</v>
      </c>
      <c r="V281" s="303">
        <v>12</v>
      </c>
      <c r="W281" s="303">
        <v>12</v>
      </c>
      <c r="X281" s="303">
        <v>12</v>
      </c>
      <c r="Y281" s="303">
        <v>12</v>
      </c>
      <c r="Z281" s="59">
        <v>2.5</v>
      </c>
      <c r="AA281" s="59">
        <v>2.5</v>
      </c>
      <c r="AB281" s="59">
        <v>2.5</v>
      </c>
      <c r="AC281" s="59">
        <v>0</v>
      </c>
      <c r="AD281" s="59">
        <v>2.5</v>
      </c>
      <c r="AE281" s="59">
        <v>2.5</v>
      </c>
      <c r="AF281" s="59">
        <v>2.5</v>
      </c>
      <c r="AG281" s="59">
        <v>2.5</v>
      </c>
      <c r="AH281" s="59">
        <v>2.5</v>
      </c>
      <c r="AI281" s="59">
        <v>2.5</v>
      </c>
      <c r="AJ281" s="59">
        <v>2.5</v>
      </c>
      <c r="AK281" s="59">
        <v>2.5</v>
      </c>
      <c r="AL281" s="255"/>
      <c r="AM281" s="254">
        <f t="shared" si="36"/>
        <v>0</v>
      </c>
      <c r="AN281" s="255"/>
      <c r="AO281" s="254">
        <f t="shared" si="37"/>
        <v>0</v>
      </c>
      <c r="AP281" s="274"/>
      <c r="AQ281" s="254">
        <f t="shared" si="38"/>
        <v>0</v>
      </c>
      <c r="AR281" s="256"/>
      <c r="AS281" s="257">
        <f t="shared" si="39"/>
        <v>0</v>
      </c>
      <c r="AT281" s="382"/>
      <c r="AU281" s="257">
        <f t="shared" si="40"/>
        <v>0</v>
      </c>
      <c r="AV281" s="268"/>
      <c r="AW281" s="257">
        <f t="shared" si="41"/>
        <v>0</v>
      </c>
      <c r="AX281" s="268"/>
      <c r="AY281" s="257">
        <f t="shared" si="42"/>
        <v>0</v>
      </c>
      <c r="AZ281" s="268"/>
      <c r="BA281" s="257">
        <f t="shared" si="43"/>
        <v>0</v>
      </c>
      <c r="BB281" s="268"/>
      <c r="BC281" s="257">
        <f t="shared" si="44"/>
        <v>0</v>
      </c>
      <c r="BD281" s="268"/>
      <c r="BE281" s="257">
        <f t="shared" si="45"/>
        <v>0</v>
      </c>
      <c r="BF281" s="59"/>
      <c r="BG281" s="257">
        <f t="shared" si="46"/>
        <v>0</v>
      </c>
      <c r="BH281" s="59"/>
      <c r="BI281" s="257">
        <f t="shared" si="47"/>
        <v>0</v>
      </c>
      <c r="BJ281" s="1" t="s">
        <v>679</v>
      </c>
      <c r="BL281" s="1" t="s">
        <v>457</v>
      </c>
      <c r="BM281" s="1" t="s">
        <v>680</v>
      </c>
    </row>
    <row r="282" spans="1:65" ht="15.75" customHeight="1">
      <c r="A282" s="250" t="s">
        <v>951</v>
      </c>
      <c r="B282" s="59" t="s">
        <v>221</v>
      </c>
      <c r="C282" s="354" t="s">
        <v>172</v>
      </c>
      <c r="D282" s="476"/>
      <c r="E282" s="359"/>
      <c r="F282" s="421"/>
      <c r="G282" s="317">
        <v>2023</v>
      </c>
      <c r="H282" s="298" t="s">
        <v>385</v>
      </c>
      <c r="I282" s="330" t="s">
        <v>359</v>
      </c>
      <c r="J282" s="337">
        <v>14</v>
      </c>
      <c r="K282" s="59" t="s">
        <v>681</v>
      </c>
      <c r="L282" s="59" t="s">
        <v>336</v>
      </c>
      <c r="M282" s="303" t="s">
        <v>541</v>
      </c>
      <c r="N282" s="303">
        <v>12</v>
      </c>
      <c r="O282" s="303">
        <v>12</v>
      </c>
      <c r="P282" s="303">
        <v>12</v>
      </c>
      <c r="Q282" s="303">
        <v>12</v>
      </c>
      <c r="R282" s="303">
        <v>12</v>
      </c>
      <c r="S282" s="303">
        <v>12</v>
      </c>
      <c r="T282" s="303">
        <v>12</v>
      </c>
      <c r="U282" s="303">
        <v>12</v>
      </c>
      <c r="V282" s="303">
        <v>12</v>
      </c>
      <c r="W282" s="303">
        <v>12</v>
      </c>
      <c r="X282" s="303">
        <v>12</v>
      </c>
      <c r="Y282" s="303">
        <v>12</v>
      </c>
      <c r="Z282" s="59">
        <v>2.5</v>
      </c>
      <c r="AA282" s="59">
        <v>2.5</v>
      </c>
      <c r="AB282" s="59">
        <v>2.5</v>
      </c>
      <c r="AC282" s="59">
        <v>0</v>
      </c>
      <c r="AD282" s="59">
        <v>2.5</v>
      </c>
      <c r="AE282" s="59">
        <v>2.5</v>
      </c>
      <c r="AF282" s="59">
        <v>2.5</v>
      </c>
      <c r="AG282" s="59">
        <v>2.5</v>
      </c>
      <c r="AH282" s="59">
        <v>2.5</v>
      </c>
      <c r="AI282" s="59">
        <v>2.5</v>
      </c>
      <c r="AJ282" s="59">
        <v>2.5</v>
      </c>
      <c r="AK282" s="59">
        <v>2.5</v>
      </c>
      <c r="AL282" s="255"/>
      <c r="AM282" s="254">
        <f t="shared" si="36"/>
        <v>0</v>
      </c>
      <c r="AN282" s="255"/>
      <c r="AO282" s="254">
        <f t="shared" si="37"/>
        <v>0</v>
      </c>
      <c r="AP282" s="274"/>
      <c r="AQ282" s="254">
        <f t="shared" si="38"/>
        <v>0</v>
      </c>
      <c r="AR282" s="256"/>
      <c r="AS282" s="257">
        <f t="shared" si="39"/>
        <v>0</v>
      </c>
      <c r="AT282" s="382"/>
      <c r="AU282" s="257">
        <f t="shared" si="40"/>
        <v>0</v>
      </c>
      <c r="AV282" s="268"/>
      <c r="AW282" s="257">
        <f t="shared" si="41"/>
        <v>0</v>
      </c>
      <c r="AX282" s="268"/>
      <c r="AY282" s="257">
        <f t="shared" si="42"/>
        <v>0</v>
      </c>
      <c r="AZ282" s="268"/>
      <c r="BA282" s="257">
        <f t="shared" si="43"/>
        <v>0</v>
      </c>
      <c r="BB282" s="268"/>
      <c r="BC282" s="257">
        <f t="shared" si="44"/>
        <v>0</v>
      </c>
      <c r="BD282" s="268"/>
      <c r="BE282" s="257">
        <f t="shared" si="45"/>
        <v>0</v>
      </c>
      <c r="BF282" s="59"/>
      <c r="BG282" s="257">
        <f t="shared" si="46"/>
        <v>0</v>
      </c>
      <c r="BH282" s="59"/>
      <c r="BI282" s="257">
        <f t="shared" si="47"/>
        <v>0</v>
      </c>
      <c r="BJ282" s="1" t="s">
        <v>682</v>
      </c>
      <c r="BL282" s="1" t="s">
        <v>457</v>
      </c>
      <c r="BM282" s="1" t="s">
        <v>683</v>
      </c>
    </row>
    <row r="283" spans="1:65" ht="15.75" customHeight="1">
      <c r="A283" s="250" t="s">
        <v>951</v>
      </c>
      <c r="B283" s="59" t="s">
        <v>221</v>
      </c>
      <c r="C283" s="354" t="s">
        <v>172</v>
      </c>
      <c r="D283" s="476"/>
      <c r="E283" s="359"/>
      <c r="F283" s="421"/>
      <c r="G283" s="317">
        <v>2026</v>
      </c>
      <c r="H283" s="298" t="s">
        <v>1058</v>
      </c>
      <c r="I283" s="330" t="s">
        <v>359</v>
      </c>
      <c r="J283" s="337">
        <v>14</v>
      </c>
      <c r="K283" s="59" t="s">
        <v>1059</v>
      </c>
      <c r="L283" s="323" t="s">
        <v>382</v>
      </c>
      <c r="M283" s="303" t="s">
        <v>672</v>
      </c>
      <c r="N283" s="303">
        <v>8.0299999999999994</v>
      </c>
      <c r="O283" s="303">
        <v>8.0299999999999994</v>
      </c>
      <c r="P283" s="303">
        <v>8.0299999999999994</v>
      </c>
      <c r="Q283" s="303">
        <v>8.0299999999999994</v>
      </c>
      <c r="R283" s="401">
        <v>8.6</v>
      </c>
      <c r="S283" s="401">
        <v>8.6</v>
      </c>
      <c r="T283" s="401">
        <v>8.6</v>
      </c>
      <c r="U283" s="401">
        <v>8.6</v>
      </c>
      <c r="V283" s="401">
        <v>8.6</v>
      </c>
      <c r="W283" s="401">
        <v>8.6</v>
      </c>
      <c r="X283" s="401">
        <v>8.6</v>
      </c>
      <c r="Y283" s="401">
        <v>8.6</v>
      </c>
      <c r="Z283" s="59">
        <v>0.73</v>
      </c>
      <c r="AA283" s="59">
        <v>0.73</v>
      </c>
      <c r="AB283" s="59">
        <v>0.73</v>
      </c>
      <c r="AC283" s="59">
        <v>0</v>
      </c>
      <c r="AD283" s="402">
        <v>0.79999999999999982</v>
      </c>
      <c r="AE283" s="402">
        <v>0.79999999999999982</v>
      </c>
      <c r="AF283" s="402">
        <v>0.79999999999999982</v>
      </c>
      <c r="AG283" s="402">
        <v>0.79999999999999982</v>
      </c>
      <c r="AH283" s="402">
        <v>0.79999999999999982</v>
      </c>
      <c r="AI283" s="402">
        <v>0.79999999999999982</v>
      </c>
      <c r="AJ283" s="402">
        <v>0.79999999999999982</v>
      </c>
      <c r="AK283" s="402">
        <v>0.79999999999999982</v>
      </c>
      <c r="AL283" s="255"/>
      <c r="AM283" s="254">
        <f t="shared" si="36"/>
        <v>0</v>
      </c>
      <c r="AN283" s="255"/>
      <c r="AO283" s="254">
        <f t="shared" si="37"/>
        <v>0</v>
      </c>
      <c r="AP283" s="271">
        <v>496</v>
      </c>
      <c r="AQ283" s="254">
        <f t="shared" si="38"/>
        <v>362.08</v>
      </c>
      <c r="AR283" s="256">
        <v>3080</v>
      </c>
      <c r="AS283" s="257">
        <f t="shared" si="39"/>
        <v>0</v>
      </c>
      <c r="AT283" s="382">
        <v>3400</v>
      </c>
      <c r="AU283" s="257">
        <f t="shared" si="40"/>
        <v>2719.9999999999995</v>
      </c>
      <c r="AV283" s="268"/>
      <c r="AW283" s="257">
        <f t="shared" si="41"/>
        <v>0</v>
      </c>
      <c r="AX283" s="268"/>
      <c r="AY283" s="257">
        <f t="shared" si="42"/>
        <v>0</v>
      </c>
      <c r="AZ283" s="268"/>
      <c r="BA283" s="257">
        <f t="shared" si="43"/>
        <v>0</v>
      </c>
      <c r="BB283" s="268"/>
      <c r="BC283" s="257">
        <f t="shared" si="44"/>
        <v>0</v>
      </c>
      <c r="BD283" s="268"/>
      <c r="BE283" s="257">
        <f t="shared" si="45"/>
        <v>0</v>
      </c>
      <c r="BF283" s="59"/>
      <c r="BG283" s="257">
        <f t="shared" si="46"/>
        <v>0</v>
      </c>
      <c r="BH283" s="59"/>
      <c r="BI283" s="257">
        <f t="shared" si="47"/>
        <v>0</v>
      </c>
      <c r="BJ283" s="1" t="s">
        <v>1060</v>
      </c>
      <c r="BL283" s="1" t="s">
        <v>457</v>
      </c>
      <c r="BM283" s="1" t="s">
        <v>1040</v>
      </c>
    </row>
    <row r="284" spans="1:65" ht="15.75" customHeight="1">
      <c r="A284" s="250" t="s">
        <v>951</v>
      </c>
      <c r="B284" s="59" t="s">
        <v>221</v>
      </c>
      <c r="C284" s="354" t="s">
        <v>172</v>
      </c>
      <c r="D284" s="476"/>
      <c r="E284" s="359"/>
      <c r="F284" s="421"/>
      <c r="G284" s="317">
        <v>2026</v>
      </c>
      <c r="H284" s="298" t="s">
        <v>1061</v>
      </c>
      <c r="I284" s="330" t="s">
        <v>359</v>
      </c>
      <c r="J284" s="337">
        <v>14</v>
      </c>
      <c r="K284" s="59" t="s">
        <v>1062</v>
      </c>
      <c r="L284" s="323" t="s">
        <v>382</v>
      </c>
      <c r="M284" s="303" t="s">
        <v>672</v>
      </c>
      <c r="N284" s="303">
        <v>8.0299999999999994</v>
      </c>
      <c r="O284" s="303">
        <v>8.0299999999999994</v>
      </c>
      <c r="P284" s="303">
        <v>8.0299999999999994</v>
      </c>
      <c r="Q284" s="303">
        <v>8.0299999999999994</v>
      </c>
      <c r="R284" s="401">
        <v>8.6</v>
      </c>
      <c r="S284" s="401">
        <v>8.6</v>
      </c>
      <c r="T284" s="401">
        <v>8.6</v>
      </c>
      <c r="U284" s="401">
        <v>8.6</v>
      </c>
      <c r="V284" s="401">
        <v>8.6</v>
      </c>
      <c r="W284" s="401">
        <v>8.6</v>
      </c>
      <c r="X284" s="401">
        <v>8.6</v>
      </c>
      <c r="Y284" s="401">
        <v>8.6</v>
      </c>
      <c r="Z284" s="59">
        <v>0.73</v>
      </c>
      <c r="AA284" s="59">
        <v>0.73</v>
      </c>
      <c r="AB284" s="59">
        <v>0.73</v>
      </c>
      <c r="AC284" s="59">
        <v>0</v>
      </c>
      <c r="AD284" s="402">
        <v>0.79999999999999982</v>
      </c>
      <c r="AE284" s="402">
        <v>0.79999999999999982</v>
      </c>
      <c r="AF284" s="402">
        <v>0.79999999999999982</v>
      </c>
      <c r="AG284" s="402">
        <v>0.79999999999999982</v>
      </c>
      <c r="AH284" s="402">
        <v>0.79999999999999982</v>
      </c>
      <c r="AI284" s="402">
        <v>0.79999999999999982</v>
      </c>
      <c r="AJ284" s="402">
        <v>0.79999999999999982</v>
      </c>
      <c r="AK284" s="402">
        <v>0.79999999999999982</v>
      </c>
      <c r="AL284" s="255"/>
      <c r="AM284" s="254">
        <f t="shared" si="36"/>
        <v>0</v>
      </c>
      <c r="AN284" s="255"/>
      <c r="AO284" s="254">
        <f t="shared" si="37"/>
        <v>0</v>
      </c>
      <c r="AP284" s="271">
        <v>520</v>
      </c>
      <c r="AQ284" s="254">
        <f t="shared" si="38"/>
        <v>379.59999999999997</v>
      </c>
      <c r="AR284" s="256">
        <v>4600</v>
      </c>
      <c r="AS284" s="257">
        <f t="shared" si="39"/>
        <v>0</v>
      </c>
      <c r="AT284" s="382">
        <v>4680</v>
      </c>
      <c r="AU284" s="257">
        <f t="shared" si="40"/>
        <v>3743.9999999999991</v>
      </c>
      <c r="AV284" s="268"/>
      <c r="AW284" s="257">
        <f t="shared" si="41"/>
        <v>0</v>
      </c>
      <c r="AX284" s="268"/>
      <c r="AY284" s="257">
        <f t="shared" si="42"/>
        <v>0</v>
      </c>
      <c r="AZ284" s="268"/>
      <c r="BA284" s="257">
        <f t="shared" si="43"/>
        <v>0</v>
      </c>
      <c r="BB284" s="268"/>
      <c r="BC284" s="257">
        <f t="shared" si="44"/>
        <v>0</v>
      </c>
      <c r="BD284" s="268"/>
      <c r="BE284" s="257">
        <f t="shared" si="45"/>
        <v>0</v>
      </c>
      <c r="BF284" s="59"/>
      <c r="BG284" s="257">
        <f t="shared" si="46"/>
        <v>0</v>
      </c>
      <c r="BH284" s="59"/>
      <c r="BI284" s="257">
        <f t="shared" si="47"/>
        <v>0</v>
      </c>
      <c r="BJ284" s="1" t="s">
        <v>1063</v>
      </c>
      <c r="BL284" s="1" t="s">
        <v>457</v>
      </c>
      <c r="BM284" s="1" t="s">
        <v>1040</v>
      </c>
    </row>
    <row r="285" spans="1:65" ht="15.75" customHeight="1">
      <c r="A285" s="250" t="s">
        <v>951</v>
      </c>
      <c r="B285" s="59" t="s">
        <v>221</v>
      </c>
      <c r="C285" s="354" t="s">
        <v>172</v>
      </c>
      <c r="D285" s="476"/>
      <c r="E285" s="359"/>
      <c r="F285" s="421"/>
      <c r="G285" s="317">
        <v>2026</v>
      </c>
      <c r="H285" s="298" t="s">
        <v>1061</v>
      </c>
      <c r="I285" s="330" t="s">
        <v>359</v>
      </c>
      <c r="J285" s="337">
        <v>14</v>
      </c>
      <c r="K285" s="59" t="s">
        <v>1064</v>
      </c>
      <c r="L285" s="323" t="s">
        <v>382</v>
      </c>
      <c r="M285" s="303" t="s">
        <v>672</v>
      </c>
      <c r="N285" s="303">
        <v>9.0299999999999994</v>
      </c>
      <c r="O285" s="303">
        <v>9.0299999999999994</v>
      </c>
      <c r="P285" s="303">
        <v>9.0299999999999994</v>
      </c>
      <c r="Q285" s="303">
        <v>9.0299999999999994</v>
      </c>
      <c r="R285" s="401">
        <v>9.6</v>
      </c>
      <c r="S285" s="401">
        <v>9.6</v>
      </c>
      <c r="T285" s="401">
        <v>9.6</v>
      </c>
      <c r="U285" s="401">
        <v>9.6</v>
      </c>
      <c r="V285" s="401">
        <v>9.6</v>
      </c>
      <c r="W285" s="401">
        <v>9.6</v>
      </c>
      <c r="X285" s="401">
        <v>9.6</v>
      </c>
      <c r="Y285" s="401">
        <v>9.6</v>
      </c>
      <c r="Z285" s="59">
        <v>1.33</v>
      </c>
      <c r="AA285" s="59">
        <v>1.33</v>
      </c>
      <c r="AB285" s="59">
        <v>1.33</v>
      </c>
      <c r="AC285" s="59">
        <v>0</v>
      </c>
      <c r="AD285" s="402">
        <v>1.4000000000000004</v>
      </c>
      <c r="AE285" s="402">
        <v>1.4000000000000004</v>
      </c>
      <c r="AF285" s="402">
        <v>1.4000000000000004</v>
      </c>
      <c r="AG285" s="402">
        <v>1.4000000000000004</v>
      </c>
      <c r="AH285" s="402">
        <v>1.4000000000000004</v>
      </c>
      <c r="AI285" s="402">
        <v>1.4000000000000004</v>
      </c>
      <c r="AJ285" s="402">
        <v>1.4000000000000004</v>
      </c>
      <c r="AK285" s="402">
        <v>1.4000000000000004</v>
      </c>
      <c r="AL285" s="255"/>
      <c r="AM285" s="254">
        <f t="shared" si="36"/>
        <v>0</v>
      </c>
      <c r="AN285" s="255"/>
      <c r="AO285" s="254">
        <f t="shared" si="37"/>
        <v>0</v>
      </c>
      <c r="AP285" s="271">
        <v>520</v>
      </c>
      <c r="AQ285" s="254">
        <f t="shared" si="38"/>
        <v>691.6</v>
      </c>
      <c r="AR285" s="256">
        <v>1160</v>
      </c>
      <c r="AS285" s="257">
        <f t="shared" si="39"/>
        <v>0</v>
      </c>
      <c r="AT285" s="382">
        <v>2880</v>
      </c>
      <c r="AU285" s="257">
        <f t="shared" si="40"/>
        <v>4032.0000000000009</v>
      </c>
      <c r="AV285" s="268"/>
      <c r="AW285" s="257">
        <f t="shared" si="41"/>
        <v>0</v>
      </c>
      <c r="AX285" s="268"/>
      <c r="AY285" s="257">
        <f t="shared" si="42"/>
        <v>0</v>
      </c>
      <c r="AZ285" s="268"/>
      <c r="BA285" s="257">
        <f t="shared" si="43"/>
        <v>0</v>
      </c>
      <c r="BB285" s="268"/>
      <c r="BC285" s="257">
        <f t="shared" si="44"/>
        <v>0</v>
      </c>
      <c r="BD285" s="268"/>
      <c r="BE285" s="257">
        <f t="shared" si="45"/>
        <v>0</v>
      </c>
      <c r="BF285" s="59"/>
      <c r="BG285" s="257">
        <f t="shared" si="46"/>
        <v>0</v>
      </c>
      <c r="BH285" s="59"/>
      <c r="BI285" s="257">
        <f t="shared" si="47"/>
        <v>0</v>
      </c>
      <c r="BJ285" s="1" t="s">
        <v>1065</v>
      </c>
      <c r="BL285" s="1" t="s">
        <v>457</v>
      </c>
      <c r="BM285" s="1" t="s">
        <v>1040</v>
      </c>
    </row>
    <row r="286" spans="1:65" ht="15.75" customHeight="1">
      <c r="A286" s="250" t="s">
        <v>951</v>
      </c>
      <c r="B286" s="59" t="s">
        <v>221</v>
      </c>
      <c r="C286" s="354" t="s">
        <v>172</v>
      </c>
      <c r="D286" s="476"/>
      <c r="E286" s="359"/>
      <c r="F286" s="421"/>
      <c r="G286" s="317">
        <v>2026</v>
      </c>
      <c r="H286" s="298" t="s">
        <v>1066</v>
      </c>
      <c r="I286" s="330" t="s">
        <v>359</v>
      </c>
      <c r="J286" s="337">
        <v>14</v>
      </c>
      <c r="K286" s="59" t="s">
        <v>989</v>
      </c>
      <c r="L286" s="323" t="s">
        <v>344</v>
      </c>
      <c r="M286" s="303" t="s">
        <v>558</v>
      </c>
      <c r="N286" s="303">
        <v>8.0299999999999994</v>
      </c>
      <c r="O286" s="303">
        <v>8.0299999999999994</v>
      </c>
      <c r="P286" s="303">
        <v>8.0299999999999994</v>
      </c>
      <c r="Q286" s="303">
        <v>8.0299999999999994</v>
      </c>
      <c r="R286" s="401">
        <v>8.6</v>
      </c>
      <c r="S286" s="401">
        <v>8.6</v>
      </c>
      <c r="T286" s="401">
        <v>8.6</v>
      </c>
      <c r="U286" s="401">
        <v>8.6</v>
      </c>
      <c r="V286" s="401">
        <v>8.6</v>
      </c>
      <c r="W286" s="401">
        <v>8.6</v>
      </c>
      <c r="X286" s="401">
        <v>8.6</v>
      </c>
      <c r="Y286" s="401">
        <v>8.6</v>
      </c>
      <c r="Z286" s="59">
        <v>0.73</v>
      </c>
      <c r="AA286" s="59">
        <v>0.73</v>
      </c>
      <c r="AB286" s="59">
        <v>0.73</v>
      </c>
      <c r="AC286" s="59">
        <v>0</v>
      </c>
      <c r="AD286" s="402">
        <v>0.79999999999999982</v>
      </c>
      <c r="AE286" s="402">
        <v>0.79999999999999982</v>
      </c>
      <c r="AF286" s="402">
        <v>0.79999999999999982</v>
      </c>
      <c r="AG286" s="402">
        <v>0.79999999999999982</v>
      </c>
      <c r="AH286" s="402">
        <v>0.79999999999999982</v>
      </c>
      <c r="AI286" s="402">
        <v>0.79999999999999982</v>
      </c>
      <c r="AJ286" s="402">
        <v>0.79999999999999982</v>
      </c>
      <c r="AK286" s="402">
        <v>0.79999999999999982</v>
      </c>
      <c r="AL286" s="255"/>
      <c r="AM286" s="254">
        <f t="shared" si="36"/>
        <v>0</v>
      </c>
      <c r="AN286" s="255"/>
      <c r="AO286" s="254">
        <f t="shared" si="37"/>
        <v>0</v>
      </c>
      <c r="AP286" s="271"/>
      <c r="AQ286" s="254">
        <f t="shared" si="38"/>
        <v>0</v>
      </c>
      <c r="AR286" s="256">
        <v>1480</v>
      </c>
      <c r="AS286" s="257">
        <f t="shared" si="39"/>
        <v>0</v>
      </c>
      <c r="AT286" s="382">
        <v>1880</v>
      </c>
      <c r="AU286" s="257">
        <f t="shared" si="40"/>
        <v>1503.9999999999998</v>
      </c>
      <c r="AV286" s="268"/>
      <c r="AW286" s="257">
        <f t="shared" si="41"/>
        <v>0</v>
      </c>
      <c r="AX286" s="268"/>
      <c r="AY286" s="257">
        <f t="shared" si="42"/>
        <v>0</v>
      </c>
      <c r="AZ286" s="268"/>
      <c r="BA286" s="257">
        <f t="shared" si="43"/>
        <v>0</v>
      </c>
      <c r="BB286" s="268"/>
      <c r="BC286" s="257">
        <f t="shared" si="44"/>
        <v>0</v>
      </c>
      <c r="BD286" s="268"/>
      <c r="BE286" s="257">
        <f t="shared" si="45"/>
        <v>0</v>
      </c>
      <c r="BF286" s="59"/>
      <c r="BG286" s="257">
        <f t="shared" si="46"/>
        <v>0</v>
      </c>
      <c r="BH286" s="59"/>
      <c r="BI286" s="257">
        <f t="shared" si="47"/>
        <v>0</v>
      </c>
      <c r="BJ286" s="1" t="s">
        <v>1067</v>
      </c>
      <c r="BL286" s="1" t="s">
        <v>457</v>
      </c>
      <c r="BM286" s="1" t="s">
        <v>1068</v>
      </c>
    </row>
    <row r="287" spans="1:65" ht="15.75" customHeight="1">
      <c r="A287" s="250" t="s">
        <v>951</v>
      </c>
      <c r="B287" s="59" t="s">
        <v>221</v>
      </c>
      <c r="C287" s="354" t="s">
        <v>172</v>
      </c>
      <c r="D287" s="476"/>
      <c r="E287" s="359"/>
      <c r="F287" s="421"/>
      <c r="G287" s="317">
        <v>2026</v>
      </c>
      <c r="H287" s="298" t="s">
        <v>1066</v>
      </c>
      <c r="I287" s="330" t="s">
        <v>359</v>
      </c>
      <c r="J287" s="337">
        <v>14</v>
      </c>
      <c r="K287" s="59" t="s">
        <v>1069</v>
      </c>
      <c r="L287" s="323" t="s">
        <v>344</v>
      </c>
      <c r="M287" s="303" t="s">
        <v>558</v>
      </c>
      <c r="N287" s="303">
        <v>8.0299999999999994</v>
      </c>
      <c r="O287" s="303">
        <v>8.0299999999999994</v>
      </c>
      <c r="P287" s="303">
        <v>8.0299999999999994</v>
      </c>
      <c r="Q287" s="303">
        <v>8.0299999999999994</v>
      </c>
      <c r="R287" s="401">
        <v>8.6</v>
      </c>
      <c r="S287" s="401">
        <v>8.6</v>
      </c>
      <c r="T287" s="401">
        <v>8.6</v>
      </c>
      <c r="U287" s="401">
        <v>8.6</v>
      </c>
      <c r="V287" s="401">
        <v>8.6</v>
      </c>
      <c r="W287" s="401">
        <v>8.6</v>
      </c>
      <c r="X287" s="401">
        <v>8.6</v>
      </c>
      <c r="Y287" s="401">
        <v>8.6</v>
      </c>
      <c r="Z287" s="59">
        <v>0.73</v>
      </c>
      <c r="AA287" s="59">
        <v>0.73</v>
      </c>
      <c r="AB287" s="59">
        <v>0.73</v>
      </c>
      <c r="AC287" s="59">
        <v>0</v>
      </c>
      <c r="AD287" s="402">
        <v>0.79999999999999982</v>
      </c>
      <c r="AE287" s="402">
        <v>0.79999999999999982</v>
      </c>
      <c r="AF287" s="402">
        <v>0.79999999999999982</v>
      </c>
      <c r="AG287" s="402">
        <v>0.79999999999999982</v>
      </c>
      <c r="AH287" s="402">
        <v>0.79999999999999982</v>
      </c>
      <c r="AI287" s="402">
        <v>0.79999999999999982</v>
      </c>
      <c r="AJ287" s="402">
        <v>0.79999999999999982</v>
      </c>
      <c r="AK287" s="402">
        <v>0.79999999999999982</v>
      </c>
      <c r="AL287" s="255"/>
      <c r="AM287" s="254">
        <f t="shared" si="36"/>
        <v>0</v>
      </c>
      <c r="AN287" s="255"/>
      <c r="AO287" s="254">
        <f t="shared" si="37"/>
        <v>0</v>
      </c>
      <c r="AP287" s="271">
        <v>1640</v>
      </c>
      <c r="AQ287" s="254">
        <f t="shared" si="38"/>
        <v>1197.2</v>
      </c>
      <c r="AR287" s="256">
        <v>5559</v>
      </c>
      <c r="AS287" s="257">
        <f t="shared" si="39"/>
        <v>0</v>
      </c>
      <c r="AT287" s="382">
        <v>5720</v>
      </c>
      <c r="AU287" s="257">
        <f t="shared" si="40"/>
        <v>4575.9999999999991</v>
      </c>
      <c r="AV287" s="268"/>
      <c r="AW287" s="257">
        <f t="shared" si="41"/>
        <v>0</v>
      </c>
      <c r="AX287" s="268"/>
      <c r="AY287" s="257">
        <f t="shared" si="42"/>
        <v>0</v>
      </c>
      <c r="AZ287" s="268"/>
      <c r="BA287" s="257">
        <f t="shared" si="43"/>
        <v>0</v>
      </c>
      <c r="BB287" s="268"/>
      <c r="BC287" s="257">
        <f t="shared" si="44"/>
        <v>0</v>
      </c>
      <c r="BD287" s="268"/>
      <c r="BE287" s="257">
        <f t="shared" si="45"/>
        <v>0</v>
      </c>
      <c r="BF287" s="59"/>
      <c r="BG287" s="257">
        <f t="shared" si="46"/>
        <v>0</v>
      </c>
      <c r="BH287" s="59"/>
      <c r="BI287" s="257">
        <f t="shared" si="47"/>
        <v>0</v>
      </c>
      <c r="BJ287" s="1" t="s">
        <v>1070</v>
      </c>
      <c r="BL287" s="1" t="s">
        <v>457</v>
      </c>
      <c r="BM287" s="1" t="s">
        <v>1071</v>
      </c>
    </row>
    <row r="288" spans="1:65" ht="15.75" customHeight="1">
      <c r="A288" s="250" t="s">
        <v>951</v>
      </c>
      <c r="B288" s="59" t="s">
        <v>221</v>
      </c>
      <c r="C288" s="354" t="s">
        <v>172</v>
      </c>
      <c r="D288" s="476"/>
      <c r="E288" s="359"/>
      <c r="F288" s="421"/>
      <c r="G288" s="317">
        <v>2026</v>
      </c>
      <c r="H288" s="298" t="s">
        <v>1066</v>
      </c>
      <c r="I288" s="330" t="s">
        <v>359</v>
      </c>
      <c r="J288" s="337">
        <v>14</v>
      </c>
      <c r="K288" s="59" t="s">
        <v>698</v>
      </c>
      <c r="L288" s="323" t="s">
        <v>344</v>
      </c>
      <c r="M288" s="303" t="s">
        <v>558</v>
      </c>
      <c r="N288" s="303">
        <v>8.0299999999999994</v>
      </c>
      <c r="O288" s="303">
        <v>8.0299999999999994</v>
      </c>
      <c r="P288" s="303">
        <v>8.0299999999999994</v>
      </c>
      <c r="Q288" s="303">
        <v>8.0299999999999994</v>
      </c>
      <c r="R288" s="401">
        <v>8.6</v>
      </c>
      <c r="S288" s="401">
        <v>8.6</v>
      </c>
      <c r="T288" s="401">
        <v>8.6</v>
      </c>
      <c r="U288" s="401">
        <v>8.6</v>
      </c>
      <c r="V288" s="401">
        <v>8.6</v>
      </c>
      <c r="W288" s="401">
        <v>8.6</v>
      </c>
      <c r="X288" s="401">
        <v>8.6</v>
      </c>
      <c r="Y288" s="401">
        <v>8.6</v>
      </c>
      <c r="Z288" s="59">
        <v>0.73</v>
      </c>
      <c r="AA288" s="59">
        <v>0.73</v>
      </c>
      <c r="AB288" s="59">
        <v>0.73</v>
      </c>
      <c r="AC288" s="59">
        <v>0</v>
      </c>
      <c r="AD288" s="402">
        <v>0.79999999999999982</v>
      </c>
      <c r="AE288" s="402">
        <v>0.79999999999999982</v>
      </c>
      <c r="AF288" s="402">
        <v>0.79999999999999982</v>
      </c>
      <c r="AG288" s="402">
        <v>0.79999999999999982</v>
      </c>
      <c r="AH288" s="402">
        <v>0.79999999999999982</v>
      </c>
      <c r="AI288" s="402">
        <v>0.79999999999999982</v>
      </c>
      <c r="AJ288" s="402">
        <v>0.79999999999999982</v>
      </c>
      <c r="AK288" s="402">
        <v>0.79999999999999982</v>
      </c>
      <c r="AL288" s="255"/>
      <c r="AM288" s="254">
        <f t="shared" si="36"/>
        <v>0</v>
      </c>
      <c r="AN288" s="255"/>
      <c r="AO288" s="254">
        <f t="shared" si="37"/>
        <v>0</v>
      </c>
      <c r="AP288" s="271">
        <v>240</v>
      </c>
      <c r="AQ288" s="254">
        <f t="shared" si="38"/>
        <v>175.2</v>
      </c>
      <c r="AR288" s="256">
        <v>5720</v>
      </c>
      <c r="AS288" s="257">
        <f t="shared" si="39"/>
        <v>0</v>
      </c>
      <c r="AT288" s="382">
        <v>2520</v>
      </c>
      <c r="AU288" s="257">
        <f t="shared" si="40"/>
        <v>2015.9999999999995</v>
      </c>
      <c r="AV288" s="268"/>
      <c r="AW288" s="257">
        <f t="shared" si="41"/>
        <v>0</v>
      </c>
      <c r="AX288" s="268"/>
      <c r="AY288" s="257">
        <f t="shared" si="42"/>
        <v>0</v>
      </c>
      <c r="AZ288" s="268"/>
      <c r="BA288" s="257">
        <f t="shared" si="43"/>
        <v>0</v>
      </c>
      <c r="BB288" s="268"/>
      <c r="BC288" s="257">
        <f t="shared" si="44"/>
        <v>0</v>
      </c>
      <c r="BD288" s="268"/>
      <c r="BE288" s="257">
        <f t="shared" si="45"/>
        <v>0</v>
      </c>
      <c r="BF288" s="59"/>
      <c r="BG288" s="257">
        <f t="shared" si="46"/>
        <v>0</v>
      </c>
      <c r="BH288" s="59"/>
      <c r="BI288" s="257">
        <f t="shared" si="47"/>
        <v>0</v>
      </c>
      <c r="BJ288" s="1" t="s">
        <v>1072</v>
      </c>
      <c r="BL288" s="1" t="s">
        <v>457</v>
      </c>
      <c r="BM288" s="1" t="s">
        <v>1073</v>
      </c>
    </row>
    <row r="289" spans="1:65" ht="15.75" customHeight="1">
      <c r="A289" s="250" t="s">
        <v>951</v>
      </c>
      <c r="B289" s="59" t="s">
        <v>221</v>
      </c>
      <c r="C289" s="354" t="s">
        <v>172</v>
      </c>
      <c r="D289" s="476"/>
      <c r="E289" s="359"/>
      <c r="F289" s="421"/>
      <c r="G289" s="317">
        <v>2026</v>
      </c>
      <c r="H289" s="298" t="s">
        <v>1066</v>
      </c>
      <c r="I289" s="330" t="s">
        <v>359</v>
      </c>
      <c r="J289" s="337">
        <v>14</v>
      </c>
      <c r="K289" s="59" t="s">
        <v>1074</v>
      </c>
      <c r="L289" s="323" t="s">
        <v>344</v>
      </c>
      <c r="M289" s="303" t="s">
        <v>558</v>
      </c>
      <c r="N289" s="303">
        <v>7.43</v>
      </c>
      <c r="O289" s="303">
        <v>7.43</v>
      </c>
      <c r="P289" s="303">
        <v>7.43</v>
      </c>
      <c r="Q289" s="303">
        <v>7.43</v>
      </c>
      <c r="R289" s="401">
        <v>8</v>
      </c>
      <c r="S289" s="401">
        <v>8</v>
      </c>
      <c r="T289" s="401">
        <v>8</v>
      </c>
      <c r="U289" s="401">
        <v>8</v>
      </c>
      <c r="V289" s="401">
        <v>8</v>
      </c>
      <c r="W289" s="401">
        <v>8</v>
      </c>
      <c r="X289" s="401">
        <v>8</v>
      </c>
      <c r="Y289" s="401">
        <v>8</v>
      </c>
      <c r="Z289" s="59">
        <v>0.48</v>
      </c>
      <c r="AA289" s="59">
        <v>0.48</v>
      </c>
      <c r="AB289" s="59">
        <v>0.48</v>
      </c>
      <c r="AC289" s="59">
        <v>0</v>
      </c>
      <c r="AD289" s="402">
        <v>0.54999999999999982</v>
      </c>
      <c r="AE289" s="402">
        <v>0.54999999999999982</v>
      </c>
      <c r="AF289" s="402">
        <v>0.54999999999999982</v>
      </c>
      <c r="AG289" s="402">
        <v>0.54999999999999982</v>
      </c>
      <c r="AH289" s="402">
        <v>0.54999999999999982</v>
      </c>
      <c r="AI289" s="402">
        <v>0.54999999999999982</v>
      </c>
      <c r="AJ289" s="402">
        <v>0.54999999999999982</v>
      </c>
      <c r="AK289" s="402">
        <v>0.54999999999999982</v>
      </c>
      <c r="AL289" s="255"/>
      <c r="AM289" s="254">
        <f t="shared" si="36"/>
        <v>0</v>
      </c>
      <c r="AN289" s="255"/>
      <c r="AO289" s="254">
        <f t="shared" si="37"/>
        <v>0</v>
      </c>
      <c r="AP289" s="271">
        <v>280</v>
      </c>
      <c r="AQ289" s="254">
        <f t="shared" si="38"/>
        <v>134.4</v>
      </c>
      <c r="AR289" s="256">
        <v>160</v>
      </c>
      <c r="AS289" s="257">
        <f t="shared" si="39"/>
        <v>0</v>
      </c>
      <c r="AT289" s="382">
        <v>880</v>
      </c>
      <c r="AU289" s="257">
        <f t="shared" si="40"/>
        <v>483.99999999999983</v>
      </c>
      <c r="AV289" s="268"/>
      <c r="AW289" s="257">
        <f t="shared" si="41"/>
        <v>0</v>
      </c>
      <c r="AX289" s="268"/>
      <c r="AY289" s="257">
        <f t="shared" si="42"/>
        <v>0</v>
      </c>
      <c r="AZ289" s="268"/>
      <c r="BA289" s="257">
        <f t="shared" si="43"/>
        <v>0</v>
      </c>
      <c r="BB289" s="268"/>
      <c r="BC289" s="257">
        <f t="shared" si="44"/>
        <v>0</v>
      </c>
      <c r="BD289" s="268"/>
      <c r="BE289" s="257">
        <f t="shared" si="45"/>
        <v>0</v>
      </c>
      <c r="BF289" s="59"/>
      <c r="BG289" s="257">
        <f t="shared" si="46"/>
        <v>0</v>
      </c>
      <c r="BH289" s="59"/>
      <c r="BI289" s="257">
        <f t="shared" si="47"/>
        <v>0</v>
      </c>
      <c r="BJ289" s="1" t="s">
        <v>1075</v>
      </c>
      <c r="BL289" s="1" t="s">
        <v>457</v>
      </c>
      <c r="BM289" s="1" t="s">
        <v>1076</v>
      </c>
    </row>
    <row r="290" spans="1:65" ht="15.75" customHeight="1">
      <c r="A290" s="250" t="s">
        <v>951</v>
      </c>
      <c r="B290" s="59" t="s">
        <v>221</v>
      </c>
      <c r="C290" s="354" t="s">
        <v>172</v>
      </c>
      <c r="D290" s="476"/>
      <c r="E290" s="359"/>
      <c r="F290" s="421"/>
      <c r="G290" s="317">
        <v>2026</v>
      </c>
      <c r="H290" s="298" t="s">
        <v>1066</v>
      </c>
      <c r="I290" s="330" t="s">
        <v>359</v>
      </c>
      <c r="J290" s="337">
        <v>14</v>
      </c>
      <c r="K290" s="59" t="s">
        <v>1042</v>
      </c>
      <c r="L290" s="323" t="s">
        <v>344</v>
      </c>
      <c r="M290" s="303" t="s">
        <v>558</v>
      </c>
      <c r="N290" s="303">
        <v>8.0299999999999994</v>
      </c>
      <c r="O290" s="303">
        <v>8.0299999999999994</v>
      </c>
      <c r="P290" s="303">
        <v>8.0299999999999994</v>
      </c>
      <c r="Q290" s="303">
        <v>8.0299999999999994</v>
      </c>
      <c r="R290" s="401">
        <v>8.6</v>
      </c>
      <c r="S290" s="401">
        <v>8.6</v>
      </c>
      <c r="T290" s="401">
        <v>8.6</v>
      </c>
      <c r="U290" s="401">
        <v>8.6</v>
      </c>
      <c r="V290" s="401">
        <v>8.6</v>
      </c>
      <c r="W290" s="401">
        <v>8.6</v>
      </c>
      <c r="X290" s="401">
        <v>8.6</v>
      </c>
      <c r="Y290" s="401">
        <v>8.6</v>
      </c>
      <c r="Z290" s="59">
        <v>0.73</v>
      </c>
      <c r="AA290" s="59">
        <v>0.73</v>
      </c>
      <c r="AB290" s="59">
        <v>0.73</v>
      </c>
      <c r="AC290" s="59">
        <v>0</v>
      </c>
      <c r="AD290" s="402">
        <v>0.79999999999999982</v>
      </c>
      <c r="AE290" s="402">
        <v>0.79999999999999982</v>
      </c>
      <c r="AF290" s="402">
        <v>0.79999999999999982</v>
      </c>
      <c r="AG290" s="402">
        <v>0.79999999999999982</v>
      </c>
      <c r="AH290" s="402">
        <v>0.79999999999999982</v>
      </c>
      <c r="AI290" s="402">
        <v>0.79999999999999982</v>
      </c>
      <c r="AJ290" s="402">
        <v>0.79999999999999982</v>
      </c>
      <c r="AK290" s="402">
        <v>0.79999999999999982</v>
      </c>
      <c r="AL290" s="255"/>
      <c r="AM290" s="254">
        <f t="shared" si="36"/>
        <v>0</v>
      </c>
      <c r="AN290" s="255"/>
      <c r="AO290" s="254">
        <f t="shared" si="37"/>
        <v>0</v>
      </c>
      <c r="AP290" s="271">
        <v>2640</v>
      </c>
      <c r="AQ290" s="254">
        <f t="shared" si="38"/>
        <v>1927.2</v>
      </c>
      <c r="AR290" s="256">
        <v>5400</v>
      </c>
      <c r="AS290" s="257">
        <f t="shared" si="39"/>
        <v>0</v>
      </c>
      <c r="AT290" s="382">
        <v>8040</v>
      </c>
      <c r="AU290" s="257">
        <f t="shared" si="40"/>
        <v>6431.9999999999982</v>
      </c>
      <c r="AV290" s="268"/>
      <c r="AW290" s="257">
        <f t="shared" si="41"/>
        <v>0</v>
      </c>
      <c r="AX290" s="268"/>
      <c r="AY290" s="257">
        <f t="shared" si="42"/>
        <v>0</v>
      </c>
      <c r="AZ290" s="268"/>
      <c r="BA290" s="257">
        <f t="shared" si="43"/>
        <v>0</v>
      </c>
      <c r="BB290" s="268"/>
      <c r="BC290" s="257">
        <f t="shared" si="44"/>
        <v>0</v>
      </c>
      <c r="BD290" s="268"/>
      <c r="BE290" s="257">
        <f t="shared" si="45"/>
        <v>0</v>
      </c>
      <c r="BF290" s="59"/>
      <c r="BG290" s="257">
        <f t="shared" si="46"/>
        <v>0</v>
      </c>
      <c r="BH290" s="59"/>
      <c r="BI290" s="257">
        <f t="shared" si="47"/>
        <v>0</v>
      </c>
      <c r="BJ290" s="1" t="s">
        <v>1077</v>
      </c>
      <c r="BL290" s="1" t="s">
        <v>457</v>
      </c>
      <c r="BM290" s="1" t="s">
        <v>1078</v>
      </c>
    </row>
    <row r="291" spans="1:65" ht="15.75" customHeight="1">
      <c r="A291" s="250"/>
      <c r="C291" s="354"/>
      <c r="D291" s="476"/>
      <c r="E291" s="359" t="s">
        <v>173</v>
      </c>
      <c r="F291" s="421"/>
      <c r="G291" s="317"/>
      <c r="H291" s="298"/>
      <c r="I291" s="330"/>
      <c r="J291" s="337"/>
      <c r="K291" s="59"/>
      <c r="L291" s="59"/>
      <c r="M291" s="303"/>
      <c r="N291" s="303"/>
      <c r="O291" s="303"/>
      <c r="P291" s="303"/>
      <c r="Q291" s="303"/>
      <c r="R291" s="303"/>
      <c r="S291" s="303"/>
      <c r="T291" s="303"/>
      <c r="U291" s="303"/>
      <c r="V291" s="303"/>
      <c r="W291" s="303"/>
      <c r="X291" s="303"/>
      <c r="Y291" s="303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255"/>
      <c r="AM291" s="254">
        <f t="shared" si="36"/>
        <v>0</v>
      </c>
      <c r="AN291" s="255"/>
      <c r="AO291" s="254">
        <f t="shared" si="37"/>
        <v>0</v>
      </c>
      <c r="AP291" s="274"/>
      <c r="AQ291" s="254">
        <f t="shared" si="38"/>
        <v>0</v>
      </c>
      <c r="AR291" s="256"/>
      <c r="AS291" s="257">
        <f t="shared" si="39"/>
        <v>0</v>
      </c>
      <c r="AT291" s="382"/>
      <c r="AU291" s="257">
        <f t="shared" si="40"/>
        <v>0</v>
      </c>
      <c r="AV291" s="268"/>
      <c r="AW291" s="257">
        <f t="shared" si="41"/>
        <v>0</v>
      </c>
      <c r="AX291" s="268"/>
      <c r="AY291" s="257">
        <f t="shared" si="42"/>
        <v>0</v>
      </c>
      <c r="AZ291" s="268"/>
      <c r="BA291" s="257">
        <f t="shared" si="43"/>
        <v>0</v>
      </c>
      <c r="BB291" s="268"/>
      <c r="BC291" s="257">
        <f t="shared" si="44"/>
        <v>0</v>
      </c>
      <c r="BD291" s="268"/>
      <c r="BE291" s="257">
        <f t="shared" si="45"/>
        <v>0</v>
      </c>
      <c r="BF291" s="59"/>
      <c r="BG291" s="257">
        <f t="shared" si="46"/>
        <v>0</v>
      </c>
      <c r="BH291" s="59"/>
      <c r="BI291" s="257">
        <f t="shared" si="47"/>
        <v>0</v>
      </c>
    </row>
    <row r="292" spans="1:65" ht="21" customHeight="1">
      <c r="A292" s="250" t="s">
        <v>951</v>
      </c>
      <c r="B292" s="59" t="s">
        <v>221</v>
      </c>
      <c r="C292" s="354" t="s">
        <v>172</v>
      </c>
      <c r="D292" s="476"/>
      <c r="E292" s="359" t="s">
        <v>173</v>
      </c>
      <c r="F292" s="417" t="s">
        <v>267</v>
      </c>
      <c r="G292" s="317">
        <v>2023</v>
      </c>
      <c r="H292" s="335" t="s">
        <v>391</v>
      </c>
      <c r="I292" s="332" t="s">
        <v>249</v>
      </c>
      <c r="J292" s="337">
        <v>15</v>
      </c>
      <c r="K292" s="335" t="s">
        <v>378</v>
      </c>
      <c r="L292" s="323" t="s">
        <v>389</v>
      </c>
      <c r="M292" s="303" t="s">
        <v>654</v>
      </c>
      <c r="N292" s="303">
        <v>12.4</v>
      </c>
      <c r="O292" s="303">
        <v>12.4</v>
      </c>
      <c r="P292" s="303">
        <v>12.4</v>
      </c>
      <c r="Q292" s="303">
        <v>12.4</v>
      </c>
      <c r="R292" s="303">
        <v>12.4</v>
      </c>
      <c r="S292" s="303">
        <v>12.4</v>
      </c>
      <c r="T292" s="303">
        <v>12.4</v>
      </c>
      <c r="U292" s="303">
        <v>12.4</v>
      </c>
      <c r="V292" s="303">
        <v>12.4</v>
      </c>
      <c r="W292" s="303">
        <v>12.4</v>
      </c>
      <c r="X292" s="303">
        <v>12.4</v>
      </c>
      <c r="Y292" s="303">
        <v>12.4</v>
      </c>
      <c r="Z292" s="304">
        <v>1.2</v>
      </c>
      <c r="AA292" s="304">
        <v>1.2</v>
      </c>
      <c r="AB292" s="304">
        <v>1.2</v>
      </c>
      <c r="AC292" s="304">
        <v>0</v>
      </c>
      <c r="AD292" s="304">
        <v>1.2</v>
      </c>
      <c r="AE292" s="304">
        <v>1.2</v>
      </c>
      <c r="AF292" s="304">
        <v>1.2</v>
      </c>
      <c r="AG292" s="304">
        <v>1.2</v>
      </c>
      <c r="AH292" s="304">
        <v>1.2</v>
      </c>
      <c r="AI292" s="304">
        <v>1.2</v>
      </c>
      <c r="AJ292" s="304">
        <v>1.2</v>
      </c>
      <c r="AK292" s="304">
        <v>1.2</v>
      </c>
      <c r="AL292" s="263"/>
      <c r="AM292" s="254">
        <f t="shared" si="36"/>
        <v>0</v>
      </c>
      <c r="AN292" s="263"/>
      <c r="AO292" s="254">
        <f t="shared" si="37"/>
        <v>0</v>
      </c>
      <c r="AP292" s="263"/>
      <c r="AQ292" s="254">
        <f t="shared" si="38"/>
        <v>0</v>
      </c>
      <c r="AR292" s="263"/>
      <c r="AS292" s="257">
        <f t="shared" si="39"/>
        <v>0</v>
      </c>
      <c r="AT292" s="384"/>
      <c r="AU292" s="257">
        <f t="shared" si="40"/>
        <v>0</v>
      </c>
      <c r="AV292" s="391"/>
      <c r="AW292" s="257">
        <f t="shared" si="41"/>
        <v>0</v>
      </c>
      <c r="AX292" s="263"/>
      <c r="AY292" s="257">
        <f t="shared" si="42"/>
        <v>0</v>
      </c>
      <c r="AZ292" s="263"/>
      <c r="BA292" s="257">
        <f t="shared" si="43"/>
        <v>0</v>
      </c>
      <c r="BB292" s="263"/>
      <c r="BC292" s="257">
        <f t="shared" si="44"/>
        <v>0</v>
      </c>
      <c r="BD292" s="263"/>
      <c r="BE292" s="257">
        <f t="shared" si="45"/>
        <v>0</v>
      </c>
      <c r="BF292" s="263"/>
      <c r="BG292" s="257">
        <f t="shared" si="46"/>
        <v>0</v>
      </c>
      <c r="BH292" s="263"/>
      <c r="BI292" s="257">
        <f t="shared" si="47"/>
        <v>0</v>
      </c>
      <c r="BJ292" s="1" t="s">
        <v>684</v>
      </c>
      <c r="BL292" s="1" t="s">
        <v>457</v>
      </c>
      <c r="BM292" s="1" t="s">
        <v>685</v>
      </c>
    </row>
    <row r="293" spans="1:65" ht="15.75" customHeight="1">
      <c r="A293" s="250" t="s">
        <v>951</v>
      </c>
      <c r="B293" s="59" t="s">
        <v>221</v>
      </c>
      <c r="C293" s="354" t="s">
        <v>172</v>
      </c>
      <c r="D293" s="476"/>
      <c r="E293" s="359" t="s">
        <v>173</v>
      </c>
      <c r="F293" s="417"/>
      <c r="G293" s="317">
        <v>2023</v>
      </c>
      <c r="H293" s="335" t="s">
        <v>391</v>
      </c>
      <c r="I293" s="332" t="s">
        <v>249</v>
      </c>
      <c r="J293" s="337">
        <v>15</v>
      </c>
      <c r="K293" s="335" t="s">
        <v>678</v>
      </c>
      <c r="L293" s="323" t="s">
        <v>389</v>
      </c>
      <c r="M293" s="303" t="s">
        <v>654</v>
      </c>
      <c r="N293" s="303">
        <v>12.4</v>
      </c>
      <c r="O293" s="303">
        <v>12.4</v>
      </c>
      <c r="P293" s="303">
        <v>12.4</v>
      </c>
      <c r="Q293" s="303">
        <v>12.4</v>
      </c>
      <c r="R293" s="303">
        <v>12.4</v>
      </c>
      <c r="S293" s="303">
        <v>12.4</v>
      </c>
      <c r="T293" s="303">
        <v>12.4</v>
      </c>
      <c r="U293" s="303">
        <v>12.4</v>
      </c>
      <c r="V293" s="303">
        <v>12.4</v>
      </c>
      <c r="W293" s="303">
        <v>12.4</v>
      </c>
      <c r="X293" s="303">
        <v>12.4</v>
      </c>
      <c r="Y293" s="303">
        <v>12.4</v>
      </c>
      <c r="Z293" s="304">
        <v>1.2</v>
      </c>
      <c r="AA293" s="304">
        <v>1.2</v>
      </c>
      <c r="AB293" s="304">
        <v>1.2</v>
      </c>
      <c r="AC293" s="304">
        <v>0</v>
      </c>
      <c r="AD293" s="304">
        <v>1.2</v>
      </c>
      <c r="AE293" s="304">
        <v>1.2</v>
      </c>
      <c r="AF293" s="304">
        <v>1.2</v>
      </c>
      <c r="AG293" s="304">
        <v>1.2</v>
      </c>
      <c r="AH293" s="304">
        <v>1.2</v>
      </c>
      <c r="AI293" s="304">
        <v>1.2</v>
      </c>
      <c r="AJ293" s="304">
        <v>1.2</v>
      </c>
      <c r="AK293" s="304">
        <v>1.2</v>
      </c>
      <c r="AL293" s="263"/>
      <c r="AM293" s="254">
        <f t="shared" si="36"/>
        <v>0</v>
      </c>
      <c r="AN293" s="263"/>
      <c r="AO293" s="254">
        <f t="shared" si="37"/>
        <v>0</v>
      </c>
      <c r="AP293" s="265"/>
      <c r="AQ293" s="254">
        <f t="shared" si="38"/>
        <v>0</v>
      </c>
      <c r="AR293" s="256"/>
      <c r="AS293" s="257">
        <f t="shared" si="39"/>
        <v>0</v>
      </c>
      <c r="AT293" s="384"/>
      <c r="AU293" s="257">
        <f t="shared" si="40"/>
        <v>0</v>
      </c>
      <c r="AV293" s="390"/>
      <c r="AW293" s="257">
        <f t="shared" si="41"/>
        <v>0</v>
      </c>
      <c r="AX293" s="263"/>
      <c r="AY293" s="257">
        <f t="shared" si="42"/>
        <v>0</v>
      </c>
      <c r="AZ293" s="263"/>
      <c r="BA293" s="257">
        <f t="shared" si="43"/>
        <v>0</v>
      </c>
      <c r="BB293" s="265"/>
      <c r="BC293" s="257">
        <f t="shared" si="44"/>
        <v>0</v>
      </c>
      <c r="BD293" s="268"/>
      <c r="BE293" s="257">
        <f t="shared" si="45"/>
        <v>0</v>
      </c>
      <c r="BF293" s="59"/>
      <c r="BG293" s="257">
        <f t="shared" si="46"/>
        <v>0</v>
      </c>
      <c r="BH293" s="59"/>
      <c r="BI293" s="257">
        <f t="shared" si="47"/>
        <v>0</v>
      </c>
      <c r="BJ293" s="1" t="s">
        <v>686</v>
      </c>
      <c r="BL293" s="1" t="s">
        <v>457</v>
      </c>
      <c r="BM293" s="1" t="s">
        <v>687</v>
      </c>
    </row>
    <row r="294" spans="1:65" ht="15.75" customHeight="1">
      <c r="A294" s="250" t="s">
        <v>951</v>
      </c>
      <c r="B294" s="59" t="s">
        <v>221</v>
      </c>
      <c r="C294" s="354" t="s">
        <v>172</v>
      </c>
      <c r="D294" s="476"/>
      <c r="E294" s="359" t="s">
        <v>173</v>
      </c>
      <c r="F294" s="417"/>
      <c r="G294" s="317">
        <v>2023</v>
      </c>
      <c r="H294" s="335" t="s">
        <v>391</v>
      </c>
      <c r="I294" s="332" t="s">
        <v>249</v>
      </c>
      <c r="J294" s="337">
        <v>15</v>
      </c>
      <c r="K294" s="335" t="s">
        <v>688</v>
      </c>
      <c r="L294" s="323" t="s">
        <v>389</v>
      </c>
      <c r="M294" s="303" t="s">
        <v>654</v>
      </c>
      <c r="N294" s="303">
        <v>12.4</v>
      </c>
      <c r="O294" s="303">
        <v>12.4</v>
      </c>
      <c r="P294" s="303">
        <v>12.4</v>
      </c>
      <c r="Q294" s="303">
        <v>12.4</v>
      </c>
      <c r="R294" s="303">
        <v>12.4</v>
      </c>
      <c r="S294" s="303">
        <v>12.4</v>
      </c>
      <c r="T294" s="303">
        <v>12.4</v>
      </c>
      <c r="U294" s="303">
        <v>12.4</v>
      </c>
      <c r="V294" s="303">
        <v>12.4</v>
      </c>
      <c r="W294" s="303">
        <v>12.4</v>
      </c>
      <c r="X294" s="303">
        <v>12.4</v>
      </c>
      <c r="Y294" s="303">
        <v>12.4</v>
      </c>
      <c r="Z294" s="304">
        <v>1.2</v>
      </c>
      <c r="AA294" s="304">
        <v>1.2</v>
      </c>
      <c r="AB294" s="304">
        <v>1.2</v>
      </c>
      <c r="AC294" s="304">
        <v>0</v>
      </c>
      <c r="AD294" s="304">
        <v>1.2</v>
      </c>
      <c r="AE294" s="304">
        <v>1.2</v>
      </c>
      <c r="AF294" s="304">
        <v>1.2</v>
      </c>
      <c r="AG294" s="304">
        <v>1.2</v>
      </c>
      <c r="AH294" s="304">
        <v>1.2</v>
      </c>
      <c r="AI294" s="304">
        <v>1.2</v>
      </c>
      <c r="AJ294" s="304">
        <v>1.2</v>
      </c>
      <c r="AK294" s="304">
        <v>1.2</v>
      </c>
      <c r="AL294" s="263"/>
      <c r="AM294" s="254">
        <f t="shared" si="36"/>
        <v>0</v>
      </c>
      <c r="AN294" s="263"/>
      <c r="AO294" s="254">
        <f t="shared" si="37"/>
        <v>0</v>
      </c>
      <c r="AP294" s="265"/>
      <c r="AQ294" s="254">
        <f t="shared" si="38"/>
        <v>0</v>
      </c>
      <c r="AR294" s="256"/>
      <c r="AS294" s="257">
        <f t="shared" si="39"/>
        <v>0</v>
      </c>
      <c r="AT294" s="384"/>
      <c r="AU294" s="257">
        <f t="shared" si="40"/>
        <v>0</v>
      </c>
      <c r="AV294" s="390"/>
      <c r="AW294" s="257">
        <f t="shared" si="41"/>
        <v>0</v>
      </c>
      <c r="AX294" s="263"/>
      <c r="AY294" s="257">
        <f t="shared" si="42"/>
        <v>0</v>
      </c>
      <c r="AZ294" s="263"/>
      <c r="BA294" s="257">
        <f t="shared" si="43"/>
        <v>0</v>
      </c>
      <c r="BB294" s="265"/>
      <c r="BC294" s="257">
        <f t="shared" si="44"/>
        <v>0</v>
      </c>
      <c r="BD294" s="268"/>
      <c r="BE294" s="257">
        <f t="shared" si="45"/>
        <v>0</v>
      </c>
      <c r="BF294" s="59"/>
      <c r="BG294" s="257">
        <f t="shared" si="46"/>
        <v>0</v>
      </c>
      <c r="BH294" s="59"/>
      <c r="BI294" s="257">
        <f t="shared" si="47"/>
        <v>0</v>
      </c>
      <c r="BJ294" s="1" t="s">
        <v>689</v>
      </c>
      <c r="BL294" s="1" t="s">
        <v>457</v>
      </c>
      <c r="BM294" s="1" t="s">
        <v>690</v>
      </c>
    </row>
    <row r="295" spans="1:65" ht="15.75" customHeight="1">
      <c r="A295" s="250" t="s">
        <v>951</v>
      </c>
      <c r="B295" s="59" t="s">
        <v>221</v>
      </c>
      <c r="C295" s="354" t="s">
        <v>172</v>
      </c>
      <c r="D295" s="476"/>
      <c r="E295" s="359" t="s">
        <v>173</v>
      </c>
      <c r="F295" s="417"/>
      <c r="G295" s="317">
        <v>2023</v>
      </c>
      <c r="H295" s="335" t="s">
        <v>393</v>
      </c>
      <c r="I295" s="332" t="s">
        <v>249</v>
      </c>
      <c r="J295" s="337">
        <v>14</v>
      </c>
      <c r="K295" s="335" t="s">
        <v>378</v>
      </c>
      <c r="L295" s="323" t="s">
        <v>344</v>
      </c>
      <c r="M295" s="303" t="s">
        <v>558</v>
      </c>
      <c r="N295" s="303">
        <v>11.8</v>
      </c>
      <c r="O295" s="303">
        <v>11.8</v>
      </c>
      <c r="P295" s="303">
        <v>11.8</v>
      </c>
      <c r="Q295" s="303">
        <v>11.8</v>
      </c>
      <c r="R295" s="303">
        <v>11.8</v>
      </c>
      <c r="S295" s="303">
        <v>11.8</v>
      </c>
      <c r="T295" s="303">
        <v>11.8</v>
      </c>
      <c r="U295" s="303">
        <v>11.8</v>
      </c>
      <c r="V295" s="303">
        <v>11.8</v>
      </c>
      <c r="W295" s="303">
        <v>11.8</v>
      </c>
      <c r="X295" s="303">
        <v>11.8</v>
      </c>
      <c r="Y295" s="303">
        <v>11.8</v>
      </c>
      <c r="Z295" s="304">
        <v>0.9</v>
      </c>
      <c r="AA295" s="304">
        <v>0.9</v>
      </c>
      <c r="AB295" s="304">
        <v>0.9</v>
      </c>
      <c r="AC295" s="304">
        <v>0</v>
      </c>
      <c r="AD295" s="304">
        <v>0.9</v>
      </c>
      <c r="AE295" s="304">
        <v>0.9</v>
      </c>
      <c r="AF295" s="304">
        <v>0.9</v>
      </c>
      <c r="AG295" s="304">
        <v>0.9</v>
      </c>
      <c r="AH295" s="304">
        <v>0.9</v>
      </c>
      <c r="AI295" s="304">
        <v>0.9</v>
      </c>
      <c r="AJ295" s="304">
        <v>0.9</v>
      </c>
      <c r="AK295" s="304">
        <v>0.9</v>
      </c>
      <c r="AL295" s="263"/>
      <c r="AM295" s="254">
        <f t="shared" si="36"/>
        <v>0</v>
      </c>
      <c r="AN295" s="263"/>
      <c r="AO295" s="254">
        <f t="shared" si="37"/>
        <v>0</v>
      </c>
      <c r="AP295" s="265"/>
      <c r="AQ295" s="254">
        <f t="shared" si="38"/>
        <v>0</v>
      </c>
      <c r="AR295" s="256"/>
      <c r="AS295" s="257">
        <f t="shared" si="39"/>
        <v>0</v>
      </c>
      <c r="AT295" s="384"/>
      <c r="AU295" s="257">
        <f t="shared" si="40"/>
        <v>0</v>
      </c>
      <c r="AV295" s="390"/>
      <c r="AW295" s="257">
        <f t="shared" si="41"/>
        <v>0</v>
      </c>
      <c r="AX295" s="265"/>
      <c r="AY295" s="257">
        <f t="shared" si="42"/>
        <v>0</v>
      </c>
      <c r="AZ295" s="263"/>
      <c r="BA295" s="257">
        <f t="shared" si="43"/>
        <v>0</v>
      </c>
      <c r="BB295" s="265"/>
      <c r="BC295" s="257">
        <f t="shared" si="44"/>
        <v>0</v>
      </c>
      <c r="BD295" s="265"/>
      <c r="BE295" s="257">
        <f t="shared" si="45"/>
        <v>0</v>
      </c>
      <c r="BF295" s="59"/>
      <c r="BG295" s="257">
        <f t="shared" si="46"/>
        <v>0</v>
      </c>
      <c r="BH295" s="59"/>
      <c r="BI295" s="257">
        <f t="shared" si="47"/>
        <v>0</v>
      </c>
      <c r="BJ295" s="1" t="s">
        <v>691</v>
      </c>
      <c r="BL295" s="1" t="s">
        <v>457</v>
      </c>
      <c r="BM295" s="1" t="s">
        <v>692</v>
      </c>
    </row>
    <row r="296" spans="1:65" ht="15.75" customHeight="1">
      <c r="A296" s="250" t="s">
        <v>951</v>
      </c>
      <c r="B296" s="59" t="s">
        <v>221</v>
      </c>
      <c r="C296" s="354" t="s">
        <v>172</v>
      </c>
      <c r="D296" s="476"/>
      <c r="E296" s="359" t="s">
        <v>173</v>
      </c>
      <c r="F296" s="417"/>
      <c r="G296" s="317">
        <v>2023</v>
      </c>
      <c r="H296" s="335" t="s">
        <v>393</v>
      </c>
      <c r="I296" s="332" t="s">
        <v>249</v>
      </c>
      <c r="J296" s="337">
        <v>14</v>
      </c>
      <c r="K296" s="335" t="s">
        <v>378</v>
      </c>
      <c r="L296" s="323" t="s">
        <v>344</v>
      </c>
      <c r="M296" s="303" t="s">
        <v>558</v>
      </c>
      <c r="N296" s="303">
        <v>11.8</v>
      </c>
      <c r="O296" s="303">
        <v>11.8</v>
      </c>
      <c r="P296" s="303">
        <v>11.8</v>
      </c>
      <c r="Q296" s="303">
        <v>11.8</v>
      </c>
      <c r="R296" s="303">
        <v>11.8</v>
      </c>
      <c r="S296" s="303">
        <v>11.8</v>
      </c>
      <c r="T296" s="303">
        <v>11.8</v>
      </c>
      <c r="U296" s="303">
        <v>11.8</v>
      </c>
      <c r="V296" s="303">
        <v>11.8</v>
      </c>
      <c r="W296" s="303">
        <v>11.8</v>
      </c>
      <c r="X296" s="303">
        <v>11.8</v>
      </c>
      <c r="Y296" s="303">
        <v>11.8</v>
      </c>
      <c r="Z296" s="304">
        <v>0.9</v>
      </c>
      <c r="AA296" s="304">
        <v>0.9</v>
      </c>
      <c r="AB296" s="304">
        <v>0.9</v>
      </c>
      <c r="AC296" s="304">
        <v>0</v>
      </c>
      <c r="AD296" s="304">
        <v>0.9</v>
      </c>
      <c r="AE296" s="304">
        <v>0.9</v>
      </c>
      <c r="AF296" s="304">
        <v>0.9</v>
      </c>
      <c r="AG296" s="304">
        <v>0.9</v>
      </c>
      <c r="AH296" s="304">
        <v>0.9</v>
      </c>
      <c r="AI296" s="304">
        <v>0.9</v>
      </c>
      <c r="AJ296" s="304">
        <v>0.9</v>
      </c>
      <c r="AK296" s="304">
        <v>0.9</v>
      </c>
      <c r="AL296" s="263"/>
      <c r="AM296" s="254">
        <f t="shared" si="36"/>
        <v>0</v>
      </c>
      <c r="AN296" s="263"/>
      <c r="AO296" s="254">
        <f t="shared" si="37"/>
        <v>0</v>
      </c>
      <c r="AP296" s="265"/>
      <c r="AQ296" s="254">
        <f t="shared" si="38"/>
        <v>0</v>
      </c>
      <c r="AR296" s="256"/>
      <c r="AS296" s="257">
        <f t="shared" si="39"/>
        <v>0</v>
      </c>
      <c r="AT296" s="384"/>
      <c r="AU296" s="257">
        <f t="shared" si="40"/>
        <v>0</v>
      </c>
      <c r="AV296" s="390"/>
      <c r="AW296" s="257">
        <f t="shared" si="41"/>
        <v>0</v>
      </c>
      <c r="AX296" s="265"/>
      <c r="AY296" s="257">
        <f t="shared" si="42"/>
        <v>0</v>
      </c>
      <c r="AZ296" s="263"/>
      <c r="BA296" s="257">
        <f t="shared" si="43"/>
        <v>0</v>
      </c>
      <c r="BB296" s="265"/>
      <c r="BC296" s="257">
        <f t="shared" si="44"/>
        <v>0</v>
      </c>
      <c r="BD296" s="265"/>
      <c r="BE296" s="257">
        <f t="shared" si="45"/>
        <v>0</v>
      </c>
      <c r="BF296" s="59"/>
      <c r="BG296" s="257">
        <f t="shared" si="46"/>
        <v>0</v>
      </c>
      <c r="BH296" s="59"/>
      <c r="BI296" s="257">
        <f t="shared" si="47"/>
        <v>0</v>
      </c>
      <c r="BJ296" s="1" t="s">
        <v>693</v>
      </c>
      <c r="BK296" s="1" t="s">
        <v>532</v>
      </c>
      <c r="BL296" s="1" t="s">
        <v>457</v>
      </c>
      <c r="BM296" s="1" t="s">
        <v>694</v>
      </c>
    </row>
    <row r="297" spans="1:65" ht="15.75" customHeight="1">
      <c r="A297" s="250" t="s">
        <v>951</v>
      </c>
      <c r="B297" s="59" t="s">
        <v>221</v>
      </c>
      <c r="C297" s="354" t="s">
        <v>172</v>
      </c>
      <c r="D297" s="476"/>
      <c r="E297" s="359" t="s">
        <v>173</v>
      </c>
      <c r="F297" s="417"/>
      <c r="G297" s="317">
        <v>2025</v>
      </c>
      <c r="H297" s="323" t="s">
        <v>695</v>
      </c>
      <c r="I297" s="332" t="s">
        <v>249</v>
      </c>
      <c r="J297" s="337">
        <v>14</v>
      </c>
      <c r="K297" s="335" t="s">
        <v>378</v>
      </c>
      <c r="L297" s="323" t="s">
        <v>344</v>
      </c>
      <c r="M297" s="303" t="s">
        <v>558</v>
      </c>
      <c r="N297" s="303">
        <v>9.0500000000000007</v>
      </c>
      <c r="O297" s="303">
        <v>9.0500000000000007</v>
      </c>
      <c r="P297" s="303">
        <v>7.9</v>
      </c>
      <c r="Q297" s="303">
        <v>7.9</v>
      </c>
      <c r="R297" s="401">
        <v>8.3000000000000007</v>
      </c>
      <c r="S297" s="401">
        <v>8.3000000000000007</v>
      </c>
      <c r="T297" s="401">
        <v>8.3000000000000007</v>
      </c>
      <c r="U297" s="401">
        <v>8.3000000000000007</v>
      </c>
      <c r="V297" s="401">
        <v>8.3000000000000007</v>
      </c>
      <c r="W297" s="401">
        <v>8.3000000000000007</v>
      </c>
      <c r="X297" s="401">
        <v>8.3000000000000007</v>
      </c>
      <c r="Y297" s="401">
        <v>8.3000000000000007</v>
      </c>
      <c r="Z297" s="59">
        <v>1.75</v>
      </c>
      <c r="AA297" s="59">
        <v>1.75</v>
      </c>
      <c r="AB297" s="59">
        <v>0.8</v>
      </c>
      <c r="AC297" s="304">
        <v>0</v>
      </c>
      <c r="AD297" s="402">
        <v>0.70000000000000107</v>
      </c>
      <c r="AE297" s="402">
        <v>0.70000000000000107</v>
      </c>
      <c r="AF297" s="402">
        <v>0.70000000000000107</v>
      </c>
      <c r="AG297" s="402">
        <v>0.70000000000000107</v>
      </c>
      <c r="AH297" s="402">
        <v>0.70000000000000107</v>
      </c>
      <c r="AI297" s="402">
        <v>0.70000000000000107</v>
      </c>
      <c r="AJ297" s="402">
        <v>0.70000000000000107</v>
      </c>
      <c r="AK297" s="402">
        <v>0.70000000000000107</v>
      </c>
      <c r="AL297" s="263">
        <v>7480</v>
      </c>
      <c r="AM297" s="254">
        <f t="shared" si="36"/>
        <v>13090</v>
      </c>
      <c r="AN297" s="263">
        <v>10160</v>
      </c>
      <c r="AO297" s="254">
        <f t="shared" si="37"/>
        <v>17780</v>
      </c>
      <c r="AP297" s="263">
        <v>3720</v>
      </c>
      <c r="AQ297" s="254">
        <f t="shared" si="38"/>
        <v>2976</v>
      </c>
      <c r="AR297" s="263">
        <v>5720</v>
      </c>
      <c r="AS297" s="257">
        <f t="shared" si="39"/>
        <v>0</v>
      </c>
      <c r="AT297" s="384">
        <v>8799</v>
      </c>
      <c r="AU297" s="257">
        <f t="shared" si="40"/>
        <v>6159.3000000000093</v>
      </c>
      <c r="AV297" s="268">
        <v>5000</v>
      </c>
      <c r="AW297" s="257">
        <f t="shared" si="41"/>
        <v>3500.0000000000055</v>
      </c>
      <c r="AX297" s="268">
        <v>5000</v>
      </c>
      <c r="AY297" s="257">
        <f t="shared" si="42"/>
        <v>3500.0000000000055</v>
      </c>
      <c r="AZ297" s="270">
        <v>11000</v>
      </c>
      <c r="BA297" s="257">
        <f t="shared" si="43"/>
        <v>7700.0000000000118</v>
      </c>
      <c r="BB297" s="270">
        <v>5000</v>
      </c>
      <c r="BC297" s="257">
        <f t="shared" si="44"/>
        <v>3500.0000000000055</v>
      </c>
      <c r="BD297" s="270">
        <v>5000</v>
      </c>
      <c r="BE297" s="257">
        <f t="shared" si="45"/>
        <v>3500.0000000000055</v>
      </c>
      <c r="BF297" s="270">
        <v>12000</v>
      </c>
      <c r="BG297" s="257">
        <f t="shared" si="46"/>
        <v>8400.0000000000127</v>
      </c>
      <c r="BH297" s="270">
        <v>5000</v>
      </c>
      <c r="BI297" s="257">
        <f t="shared" si="47"/>
        <v>3500.0000000000055</v>
      </c>
      <c r="BJ297" s="1" t="s">
        <v>696</v>
      </c>
      <c r="BL297" s="1" t="s">
        <v>457</v>
      </c>
      <c r="BM297" s="1" t="s">
        <v>697</v>
      </c>
    </row>
    <row r="298" spans="1:65" ht="15.75" customHeight="1">
      <c r="A298" s="250" t="s">
        <v>951</v>
      </c>
      <c r="B298" s="59" t="s">
        <v>221</v>
      </c>
      <c r="C298" s="354" t="s">
        <v>172</v>
      </c>
      <c r="D298" s="476"/>
      <c r="E298" s="359" t="s">
        <v>173</v>
      </c>
      <c r="F298" s="417"/>
      <c r="G298" s="317">
        <v>2025</v>
      </c>
      <c r="H298" s="323" t="s">
        <v>695</v>
      </c>
      <c r="I298" s="332" t="s">
        <v>249</v>
      </c>
      <c r="J298" s="337">
        <v>14</v>
      </c>
      <c r="K298" s="335" t="s">
        <v>698</v>
      </c>
      <c r="L298" s="323" t="s">
        <v>344</v>
      </c>
      <c r="M298" s="303" t="s">
        <v>558</v>
      </c>
      <c r="N298" s="303">
        <v>9.75</v>
      </c>
      <c r="O298" s="303">
        <v>9.75</v>
      </c>
      <c r="P298" s="303">
        <v>8.5</v>
      </c>
      <c r="Q298" s="303">
        <v>8.5</v>
      </c>
      <c r="R298" s="401">
        <v>8.9</v>
      </c>
      <c r="S298" s="401">
        <v>8.9</v>
      </c>
      <c r="T298" s="401">
        <v>8.9</v>
      </c>
      <c r="U298" s="401">
        <v>8.9</v>
      </c>
      <c r="V298" s="401">
        <v>8.9</v>
      </c>
      <c r="W298" s="401">
        <v>8.9</v>
      </c>
      <c r="X298" s="401">
        <v>8.9</v>
      </c>
      <c r="Y298" s="401">
        <v>8.9</v>
      </c>
      <c r="Z298" s="59">
        <v>2.25</v>
      </c>
      <c r="AA298" s="59">
        <v>2.25</v>
      </c>
      <c r="AB298" s="59">
        <v>1.1000000000000001</v>
      </c>
      <c r="AC298" s="304">
        <v>0</v>
      </c>
      <c r="AD298" s="402">
        <v>1</v>
      </c>
      <c r="AE298" s="402">
        <v>1</v>
      </c>
      <c r="AF298" s="402">
        <v>1</v>
      </c>
      <c r="AG298" s="402">
        <v>1</v>
      </c>
      <c r="AH298" s="402">
        <v>1</v>
      </c>
      <c r="AI298" s="402">
        <v>1</v>
      </c>
      <c r="AJ298" s="402">
        <v>1</v>
      </c>
      <c r="AK298" s="402">
        <v>1</v>
      </c>
      <c r="AL298" s="263">
        <v>2480</v>
      </c>
      <c r="AM298" s="254">
        <f t="shared" si="36"/>
        <v>5580</v>
      </c>
      <c r="AN298" s="263">
        <v>2800</v>
      </c>
      <c r="AO298" s="254">
        <f t="shared" si="37"/>
        <v>6300</v>
      </c>
      <c r="AP298" s="263">
        <v>2560</v>
      </c>
      <c r="AQ298" s="254">
        <f t="shared" si="38"/>
        <v>2816</v>
      </c>
      <c r="AR298" s="263">
        <v>8080</v>
      </c>
      <c r="AS298" s="257">
        <f t="shared" si="39"/>
        <v>0</v>
      </c>
      <c r="AT298" s="263">
        <v>9240</v>
      </c>
      <c r="AU298" s="257">
        <f t="shared" si="40"/>
        <v>9240</v>
      </c>
      <c r="AV298" s="263">
        <v>2000</v>
      </c>
      <c r="AW298" s="257">
        <f t="shared" si="41"/>
        <v>2000</v>
      </c>
      <c r="AX298" s="263">
        <v>2000</v>
      </c>
      <c r="AY298" s="257">
        <f t="shared" si="42"/>
        <v>2000</v>
      </c>
      <c r="AZ298" s="263">
        <v>2000</v>
      </c>
      <c r="BA298" s="257">
        <f t="shared" si="43"/>
        <v>2000</v>
      </c>
      <c r="BB298" s="263">
        <v>2000</v>
      </c>
      <c r="BC298" s="257">
        <f t="shared" si="44"/>
        <v>2000</v>
      </c>
      <c r="BD298" s="263">
        <v>2000</v>
      </c>
      <c r="BE298" s="257">
        <f t="shared" si="45"/>
        <v>2000</v>
      </c>
      <c r="BF298" s="263">
        <v>2000</v>
      </c>
      <c r="BG298" s="257">
        <f t="shared" si="46"/>
        <v>2000</v>
      </c>
      <c r="BH298" s="263">
        <v>2000</v>
      </c>
      <c r="BI298" s="257">
        <f t="shared" si="47"/>
        <v>2000</v>
      </c>
      <c r="BJ298" s="1" t="s">
        <v>699</v>
      </c>
      <c r="BL298" s="1" t="s">
        <v>457</v>
      </c>
      <c r="BM298" s="1" t="s">
        <v>700</v>
      </c>
    </row>
    <row r="299" spans="1:65" ht="15.75" customHeight="1">
      <c r="A299" s="250" t="s">
        <v>951</v>
      </c>
      <c r="B299" s="59" t="s">
        <v>221</v>
      </c>
      <c r="C299" s="354" t="s">
        <v>172</v>
      </c>
      <c r="D299" s="476"/>
      <c r="E299" s="359" t="s">
        <v>173</v>
      </c>
      <c r="F299" s="417"/>
      <c r="G299" s="317">
        <v>2025</v>
      </c>
      <c r="H299" s="323" t="s">
        <v>695</v>
      </c>
      <c r="I299" s="332" t="s">
        <v>249</v>
      </c>
      <c r="J299" s="337">
        <v>14</v>
      </c>
      <c r="K299" s="335" t="s">
        <v>701</v>
      </c>
      <c r="L299" s="323" t="s">
        <v>344</v>
      </c>
      <c r="M299" s="303" t="s">
        <v>558</v>
      </c>
      <c r="N299" s="303">
        <v>9.75</v>
      </c>
      <c r="O299" s="303">
        <v>9.75</v>
      </c>
      <c r="P299" s="303">
        <v>8.5</v>
      </c>
      <c r="Q299" s="303">
        <v>8.5</v>
      </c>
      <c r="R299" s="401">
        <v>8.9</v>
      </c>
      <c r="S299" s="401">
        <v>8.9</v>
      </c>
      <c r="T299" s="401">
        <v>8.9</v>
      </c>
      <c r="U299" s="401">
        <v>8.9</v>
      </c>
      <c r="V299" s="401">
        <v>8.9</v>
      </c>
      <c r="W299" s="401">
        <v>8.9</v>
      </c>
      <c r="X299" s="401">
        <v>8.9</v>
      </c>
      <c r="Y299" s="401">
        <v>8.9</v>
      </c>
      <c r="Z299" s="59">
        <v>2.25</v>
      </c>
      <c r="AA299" s="59">
        <v>2.25</v>
      </c>
      <c r="AB299" s="59">
        <v>1.1000000000000001</v>
      </c>
      <c r="AC299" s="304">
        <v>0</v>
      </c>
      <c r="AD299" s="402">
        <v>1</v>
      </c>
      <c r="AE299" s="402">
        <v>1</v>
      </c>
      <c r="AF299" s="402">
        <v>1</v>
      </c>
      <c r="AG299" s="402">
        <v>1</v>
      </c>
      <c r="AH299" s="402">
        <v>1</v>
      </c>
      <c r="AI299" s="402">
        <v>1</v>
      </c>
      <c r="AJ299" s="402">
        <v>1</v>
      </c>
      <c r="AK299" s="402">
        <v>1</v>
      </c>
      <c r="AL299" s="263">
        <v>2200</v>
      </c>
      <c r="AM299" s="254">
        <f t="shared" si="36"/>
        <v>4950</v>
      </c>
      <c r="AN299" s="263">
        <v>680</v>
      </c>
      <c r="AO299" s="254">
        <f t="shared" si="37"/>
        <v>1530</v>
      </c>
      <c r="AP299" s="263">
        <v>1120</v>
      </c>
      <c r="AQ299" s="254">
        <f t="shared" si="38"/>
        <v>1232</v>
      </c>
      <c r="AR299" s="263">
        <v>5680</v>
      </c>
      <c r="AS299" s="257">
        <f t="shared" si="39"/>
        <v>0</v>
      </c>
      <c r="AT299" s="263">
        <v>12000</v>
      </c>
      <c r="AU299" s="257">
        <f t="shared" si="40"/>
        <v>12000</v>
      </c>
      <c r="AV299" s="263">
        <v>3000</v>
      </c>
      <c r="AW299" s="257">
        <f t="shared" si="41"/>
        <v>3000</v>
      </c>
      <c r="AX299" s="263">
        <v>3000</v>
      </c>
      <c r="AY299" s="257">
        <f t="shared" si="42"/>
        <v>3000</v>
      </c>
      <c r="AZ299" s="263">
        <v>3000</v>
      </c>
      <c r="BA299" s="257">
        <f t="shared" si="43"/>
        <v>3000</v>
      </c>
      <c r="BB299" s="263">
        <v>3000</v>
      </c>
      <c r="BC299" s="257">
        <f t="shared" si="44"/>
        <v>3000</v>
      </c>
      <c r="BD299" s="263">
        <v>3000</v>
      </c>
      <c r="BE299" s="257">
        <f t="shared" si="45"/>
        <v>3000</v>
      </c>
      <c r="BF299" s="263">
        <v>3000</v>
      </c>
      <c r="BG299" s="257">
        <f t="shared" si="46"/>
        <v>3000</v>
      </c>
      <c r="BH299" s="263">
        <v>3000</v>
      </c>
      <c r="BI299" s="257">
        <f t="shared" si="47"/>
        <v>3000</v>
      </c>
      <c r="BJ299" s="1" t="s">
        <v>702</v>
      </c>
      <c r="BL299" s="1" t="s">
        <v>457</v>
      </c>
      <c r="BM299" s="1" t="s">
        <v>703</v>
      </c>
    </row>
    <row r="300" spans="1:65" ht="15.75" customHeight="1">
      <c r="A300" s="250" t="s">
        <v>951</v>
      </c>
      <c r="B300" s="59" t="s">
        <v>221</v>
      </c>
      <c r="C300" s="354" t="s">
        <v>172</v>
      </c>
      <c r="D300" s="476"/>
      <c r="E300" s="359" t="s">
        <v>173</v>
      </c>
      <c r="F300" s="417"/>
      <c r="G300" s="317">
        <v>2025</v>
      </c>
      <c r="H300" s="323" t="s">
        <v>704</v>
      </c>
      <c r="I300" s="332" t="s">
        <v>249</v>
      </c>
      <c r="J300" s="337">
        <v>17</v>
      </c>
      <c r="K300" s="335" t="s">
        <v>378</v>
      </c>
      <c r="L300" s="323" t="s">
        <v>344</v>
      </c>
      <c r="M300" s="303" t="s">
        <v>558</v>
      </c>
      <c r="N300" s="303">
        <v>8.5500000000000007</v>
      </c>
      <c r="O300" s="303">
        <v>8.5500000000000007</v>
      </c>
      <c r="P300" s="303">
        <v>8.4</v>
      </c>
      <c r="Q300" s="303">
        <v>8.4</v>
      </c>
      <c r="R300" s="401">
        <v>9</v>
      </c>
      <c r="S300" s="401">
        <v>9</v>
      </c>
      <c r="T300" s="401">
        <v>9</v>
      </c>
      <c r="U300" s="401">
        <v>9</v>
      </c>
      <c r="V300" s="401">
        <v>9</v>
      </c>
      <c r="W300" s="401">
        <v>9</v>
      </c>
      <c r="X300" s="401">
        <v>9</v>
      </c>
      <c r="Y300" s="401">
        <v>9</v>
      </c>
      <c r="Z300" s="59">
        <v>0.95</v>
      </c>
      <c r="AA300" s="59">
        <v>0.95</v>
      </c>
      <c r="AB300" s="59">
        <v>0.9</v>
      </c>
      <c r="AC300" s="304">
        <v>0</v>
      </c>
      <c r="AD300" s="402">
        <v>0.9</v>
      </c>
      <c r="AE300" s="402">
        <v>0.9</v>
      </c>
      <c r="AF300" s="402">
        <v>0.9</v>
      </c>
      <c r="AG300" s="402">
        <v>0.9</v>
      </c>
      <c r="AH300" s="402">
        <v>0.9</v>
      </c>
      <c r="AI300" s="402">
        <v>0.9</v>
      </c>
      <c r="AJ300" s="402">
        <v>0.9</v>
      </c>
      <c r="AK300" s="402">
        <v>0.9</v>
      </c>
      <c r="AL300" s="263"/>
      <c r="AM300" s="254">
        <f t="shared" si="36"/>
        <v>0</v>
      </c>
      <c r="AN300" s="263">
        <v>160</v>
      </c>
      <c r="AO300" s="254">
        <f t="shared" si="37"/>
        <v>152</v>
      </c>
      <c r="AP300" s="263">
        <v>40</v>
      </c>
      <c r="AQ300" s="254">
        <f t="shared" si="38"/>
        <v>36</v>
      </c>
      <c r="AR300" s="263">
        <v>5280</v>
      </c>
      <c r="AS300" s="257">
        <f t="shared" si="39"/>
        <v>0</v>
      </c>
      <c r="AT300" s="263">
        <v>3120</v>
      </c>
      <c r="AU300" s="257">
        <f t="shared" si="40"/>
        <v>2808</v>
      </c>
      <c r="AV300" s="263">
        <v>2000</v>
      </c>
      <c r="AW300" s="257">
        <f t="shared" si="41"/>
        <v>1800</v>
      </c>
      <c r="AX300" s="263">
        <v>2000</v>
      </c>
      <c r="AY300" s="257">
        <f t="shared" si="42"/>
        <v>1800</v>
      </c>
      <c r="AZ300" s="263">
        <v>2000</v>
      </c>
      <c r="BA300" s="257">
        <f t="shared" si="43"/>
        <v>1800</v>
      </c>
      <c r="BB300" s="263">
        <v>2000</v>
      </c>
      <c r="BC300" s="257">
        <f t="shared" si="44"/>
        <v>1800</v>
      </c>
      <c r="BD300" s="263">
        <v>2000</v>
      </c>
      <c r="BE300" s="257">
        <f t="shared" si="45"/>
        <v>1800</v>
      </c>
      <c r="BF300" s="263">
        <v>2000</v>
      </c>
      <c r="BG300" s="257">
        <f t="shared" si="46"/>
        <v>1800</v>
      </c>
      <c r="BH300" s="263">
        <v>2000</v>
      </c>
      <c r="BI300" s="257">
        <f t="shared" si="47"/>
        <v>1800</v>
      </c>
      <c r="BJ300" s="1" t="s">
        <v>705</v>
      </c>
      <c r="BL300" s="1" t="s">
        <v>457</v>
      </c>
      <c r="BM300" s="1" t="s">
        <v>706</v>
      </c>
    </row>
    <row r="301" spans="1:65" ht="15.75" customHeight="1">
      <c r="A301" s="250" t="s">
        <v>951</v>
      </c>
      <c r="B301" s="59" t="s">
        <v>221</v>
      </c>
      <c r="C301" s="354" t="s">
        <v>172</v>
      </c>
      <c r="D301" s="476"/>
      <c r="E301" s="359" t="s">
        <v>173</v>
      </c>
      <c r="F301" s="417"/>
      <c r="G301" s="317">
        <v>2025</v>
      </c>
      <c r="H301" s="323" t="s">
        <v>707</v>
      </c>
      <c r="I301" s="332" t="s">
        <v>249</v>
      </c>
      <c r="J301" s="337">
        <v>17</v>
      </c>
      <c r="K301" s="335" t="s">
        <v>378</v>
      </c>
      <c r="L301" s="323" t="s">
        <v>344</v>
      </c>
      <c r="M301" s="303" t="s">
        <v>558</v>
      </c>
      <c r="N301" s="303">
        <v>8.5500000000000007</v>
      </c>
      <c r="O301" s="303">
        <v>8.5500000000000007</v>
      </c>
      <c r="P301" s="303">
        <v>8.4</v>
      </c>
      <c r="Q301" s="303">
        <v>8.4</v>
      </c>
      <c r="R301" s="401">
        <v>9</v>
      </c>
      <c r="S301" s="401">
        <v>9</v>
      </c>
      <c r="T301" s="401">
        <v>9</v>
      </c>
      <c r="U301" s="401">
        <v>9</v>
      </c>
      <c r="V301" s="401">
        <v>9</v>
      </c>
      <c r="W301" s="401">
        <v>9</v>
      </c>
      <c r="X301" s="401">
        <v>9</v>
      </c>
      <c r="Y301" s="401">
        <v>9</v>
      </c>
      <c r="Z301" s="59">
        <v>0.95</v>
      </c>
      <c r="AA301" s="59">
        <v>0.95</v>
      </c>
      <c r="AB301" s="59">
        <v>0.9</v>
      </c>
      <c r="AC301" s="304">
        <v>0</v>
      </c>
      <c r="AD301" s="402">
        <v>0.9</v>
      </c>
      <c r="AE301" s="402">
        <v>0.9</v>
      </c>
      <c r="AF301" s="402">
        <v>0.9</v>
      </c>
      <c r="AG301" s="402">
        <v>0.9</v>
      </c>
      <c r="AH301" s="402">
        <v>0.9</v>
      </c>
      <c r="AI301" s="402">
        <v>0.9</v>
      </c>
      <c r="AJ301" s="402">
        <v>0.9</v>
      </c>
      <c r="AK301" s="402">
        <v>0.9</v>
      </c>
      <c r="AL301" s="263">
        <v>5840</v>
      </c>
      <c r="AM301" s="254">
        <f t="shared" si="36"/>
        <v>5548</v>
      </c>
      <c r="AN301" s="263">
        <v>3719</v>
      </c>
      <c r="AO301" s="254">
        <f t="shared" si="37"/>
        <v>3533.0499999999997</v>
      </c>
      <c r="AP301" s="263">
        <v>920</v>
      </c>
      <c r="AQ301" s="254">
        <f t="shared" si="38"/>
        <v>828</v>
      </c>
      <c r="AR301" s="263">
        <v>2480</v>
      </c>
      <c r="AS301" s="257">
        <f t="shared" si="39"/>
        <v>0</v>
      </c>
      <c r="AT301" s="263">
        <v>4640</v>
      </c>
      <c r="AU301" s="257">
        <f t="shared" si="40"/>
        <v>4176</v>
      </c>
      <c r="AV301" s="263">
        <v>2000</v>
      </c>
      <c r="AW301" s="257">
        <f t="shared" si="41"/>
        <v>1800</v>
      </c>
      <c r="AX301" s="263">
        <v>2000</v>
      </c>
      <c r="AY301" s="257">
        <f t="shared" si="42"/>
        <v>1800</v>
      </c>
      <c r="AZ301" s="263">
        <v>2000</v>
      </c>
      <c r="BA301" s="257">
        <f t="shared" si="43"/>
        <v>1800</v>
      </c>
      <c r="BB301" s="263">
        <v>2000</v>
      </c>
      <c r="BC301" s="257">
        <f t="shared" si="44"/>
        <v>1800</v>
      </c>
      <c r="BD301" s="263">
        <v>2000</v>
      </c>
      <c r="BE301" s="257">
        <f t="shared" si="45"/>
        <v>1800</v>
      </c>
      <c r="BF301" s="263">
        <v>2000</v>
      </c>
      <c r="BG301" s="257">
        <f t="shared" si="46"/>
        <v>1800</v>
      </c>
      <c r="BH301" s="263">
        <v>2000</v>
      </c>
      <c r="BI301" s="257">
        <f t="shared" si="47"/>
        <v>1800</v>
      </c>
      <c r="BJ301" s="1" t="s">
        <v>708</v>
      </c>
      <c r="BL301" s="1" t="s">
        <v>457</v>
      </c>
      <c r="BM301" s="1" t="s">
        <v>709</v>
      </c>
    </row>
    <row r="302" spans="1:65" ht="15.75" customHeight="1">
      <c r="A302" s="250" t="s">
        <v>951</v>
      </c>
      <c r="B302" s="59" t="s">
        <v>221</v>
      </c>
      <c r="C302" s="354" t="s">
        <v>172</v>
      </c>
      <c r="D302" s="476"/>
      <c r="E302" s="359" t="s">
        <v>173</v>
      </c>
      <c r="F302" s="417"/>
      <c r="G302" s="317">
        <v>2026</v>
      </c>
      <c r="H302" s="323" t="s">
        <v>1079</v>
      </c>
      <c r="I302" s="332" t="s">
        <v>249</v>
      </c>
      <c r="J302" s="337">
        <v>17</v>
      </c>
      <c r="K302" s="335" t="s">
        <v>378</v>
      </c>
      <c r="L302" s="323" t="s">
        <v>344</v>
      </c>
      <c r="M302" s="303" t="s">
        <v>558</v>
      </c>
      <c r="N302" s="303">
        <v>8.5500000000000007</v>
      </c>
      <c r="O302" s="303">
        <v>8.5500000000000007</v>
      </c>
      <c r="P302" s="303">
        <v>8.4</v>
      </c>
      <c r="Q302" s="303">
        <v>8.4</v>
      </c>
      <c r="R302" s="401">
        <v>9</v>
      </c>
      <c r="S302" s="401">
        <v>9</v>
      </c>
      <c r="T302" s="401">
        <v>9</v>
      </c>
      <c r="U302" s="401">
        <v>9</v>
      </c>
      <c r="V302" s="401">
        <v>9</v>
      </c>
      <c r="W302" s="401">
        <v>9</v>
      </c>
      <c r="X302" s="401">
        <v>9</v>
      </c>
      <c r="Y302" s="401">
        <v>9</v>
      </c>
      <c r="Z302" s="59">
        <v>0.95</v>
      </c>
      <c r="AA302" s="59">
        <v>0.95</v>
      </c>
      <c r="AB302" s="59">
        <v>0.9</v>
      </c>
      <c r="AC302" s="304">
        <v>0</v>
      </c>
      <c r="AD302" s="402">
        <v>0.9</v>
      </c>
      <c r="AE302" s="402">
        <v>0.9</v>
      </c>
      <c r="AF302" s="402">
        <v>0.9</v>
      </c>
      <c r="AG302" s="402">
        <v>0.9</v>
      </c>
      <c r="AH302" s="402">
        <v>0.9</v>
      </c>
      <c r="AI302" s="402">
        <v>0.9</v>
      </c>
      <c r="AJ302" s="402">
        <v>0.9</v>
      </c>
      <c r="AK302" s="402">
        <v>0.9</v>
      </c>
      <c r="AL302" s="263"/>
      <c r="AM302" s="254">
        <f t="shared" si="36"/>
        <v>0</v>
      </c>
      <c r="AN302" s="263"/>
      <c r="AO302" s="254">
        <f t="shared" si="37"/>
        <v>0</v>
      </c>
      <c r="AP302" s="263"/>
      <c r="AQ302" s="254">
        <f t="shared" si="38"/>
        <v>0</v>
      </c>
      <c r="AR302" s="263">
        <v>200</v>
      </c>
      <c r="AS302" s="257">
        <f t="shared" si="39"/>
        <v>0</v>
      </c>
      <c r="AT302" s="263"/>
      <c r="AU302" s="257">
        <f t="shared" si="40"/>
        <v>0</v>
      </c>
      <c r="AV302" s="263"/>
      <c r="AW302" s="257">
        <f t="shared" si="41"/>
        <v>0</v>
      </c>
      <c r="AX302" s="263"/>
      <c r="AY302" s="257">
        <f t="shared" si="42"/>
        <v>0</v>
      </c>
      <c r="AZ302" s="263"/>
      <c r="BA302" s="257">
        <f t="shared" si="43"/>
        <v>0</v>
      </c>
      <c r="BB302" s="263"/>
      <c r="BC302" s="257">
        <f t="shared" si="44"/>
        <v>0</v>
      </c>
      <c r="BD302" s="263"/>
      <c r="BE302" s="257">
        <f t="shared" si="45"/>
        <v>0</v>
      </c>
      <c r="BF302" s="263"/>
      <c r="BG302" s="257">
        <f t="shared" si="46"/>
        <v>0</v>
      </c>
      <c r="BH302" s="263"/>
      <c r="BI302" s="257">
        <f t="shared" si="47"/>
        <v>0</v>
      </c>
      <c r="BJ302" s="1" t="s">
        <v>1080</v>
      </c>
      <c r="BL302" s="1" t="s">
        <v>457</v>
      </c>
      <c r="BM302" s="1" t="s">
        <v>1081</v>
      </c>
    </row>
    <row r="303" spans="1:65" ht="15.75" customHeight="1">
      <c r="A303" s="250" t="s">
        <v>951</v>
      </c>
      <c r="B303" s="59" t="s">
        <v>221</v>
      </c>
      <c r="C303" s="354" t="s">
        <v>172</v>
      </c>
      <c r="D303" s="476"/>
      <c r="E303" s="359" t="s">
        <v>173</v>
      </c>
      <c r="F303" s="417"/>
      <c r="G303" s="317">
        <v>2025</v>
      </c>
      <c r="H303" s="323" t="s">
        <v>710</v>
      </c>
      <c r="I303" s="332" t="s">
        <v>249</v>
      </c>
      <c r="J303" s="337">
        <v>17</v>
      </c>
      <c r="K303" s="335" t="s">
        <v>378</v>
      </c>
      <c r="L303" s="323" t="s">
        <v>344</v>
      </c>
      <c r="M303" s="303" t="s">
        <v>624</v>
      </c>
      <c r="N303" s="303">
        <v>8.5500000000000007</v>
      </c>
      <c r="O303" s="303">
        <v>8.5500000000000007</v>
      </c>
      <c r="P303" s="303">
        <v>8.4</v>
      </c>
      <c r="Q303" s="303">
        <v>8.4</v>
      </c>
      <c r="R303" s="401">
        <v>9</v>
      </c>
      <c r="S303" s="401">
        <v>9</v>
      </c>
      <c r="T303" s="401">
        <v>9</v>
      </c>
      <c r="U303" s="401">
        <v>9</v>
      </c>
      <c r="V303" s="401">
        <v>9</v>
      </c>
      <c r="W303" s="401">
        <v>9</v>
      </c>
      <c r="X303" s="401">
        <v>9</v>
      </c>
      <c r="Y303" s="401">
        <v>9</v>
      </c>
      <c r="Z303" s="59">
        <v>0.95</v>
      </c>
      <c r="AA303" s="59">
        <v>0.95</v>
      </c>
      <c r="AB303" s="59">
        <v>0.9</v>
      </c>
      <c r="AC303" s="304">
        <v>0</v>
      </c>
      <c r="AD303" s="402">
        <v>0.9</v>
      </c>
      <c r="AE303" s="402">
        <v>0.9</v>
      </c>
      <c r="AF303" s="402">
        <v>0.9</v>
      </c>
      <c r="AG303" s="402">
        <v>0.9</v>
      </c>
      <c r="AH303" s="402">
        <v>0.9</v>
      </c>
      <c r="AI303" s="402">
        <v>0.9</v>
      </c>
      <c r="AJ303" s="402">
        <v>0.9</v>
      </c>
      <c r="AK303" s="402">
        <v>0.9</v>
      </c>
      <c r="AL303" s="263"/>
      <c r="AM303" s="254">
        <f t="shared" si="36"/>
        <v>0</v>
      </c>
      <c r="AN303" s="263"/>
      <c r="AO303" s="254">
        <f t="shared" si="37"/>
        <v>0</v>
      </c>
      <c r="AP303" s="263"/>
      <c r="AQ303" s="254">
        <f t="shared" si="38"/>
        <v>0</v>
      </c>
      <c r="AR303" s="263"/>
      <c r="AS303" s="257">
        <f t="shared" si="39"/>
        <v>0</v>
      </c>
      <c r="AT303" s="263"/>
      <c r="AU303" s="257">
        <f t="shared" si="40"/>
        <v>0</v>
      </c>
      <c r="AV303" s="263">
        <v>500</v>
      </c>
      <c r="AW303" s="257">
        <f t="shared" si="41"/>
        <v>450</v>
      </c>
      <c r="AX303" s="263">
        <v>500</v>
      </c>
      <c r="AY303" s="257">
        <f t="shared" si="42"/>
        <v>450</v>
      </c>
      <c r="AZ303" s="263">
        <v>500</v>
      </c>
      <c r="BA303" s="257">
        <f t="shared" si="43"/>
        <v>450</v>
      </c>
      <c r="BB303" s="263">
        <v>500</v>
      </c>
      <c r="BC303" s="257">
        <f t="shared" si="44"/>
        <v>450</v>
      </c>
      <c r="BD303" s="263">
        <v>500</v>
      </c>
      <c r="BE303" s="257">
        <f t="shared" si="45"/>
        <v>450</v>
      </c>
      <c r="BF303" s="263">
        <v>500</v>
      </c>
      <c r="BG303" s="257">
        <f t="shared" si="46"/>
        <v>450</v>
      </c>
      <c r="BH303" s="263">
        <v>500</v>
      </c>
      <c r="BI303" s="257">
        <f t="shared" si="47"/>
        <v>450</v>
      </c>
      <c r="BJ303" s="1" t="s">
        <v>711</v>
      </c>
      <c r="BL303" s="1" t="s">
        <v>457</v>
      </c>
      <c r="BM303" s="1" t="s">
        <v>712</v>
      </c>
    </row>
    <row r="304" spans="1:65" ht="15.75" customHeight="1">
      <c r="A304" s="250" t="s">
        <v>951</v>
      </c>
      <c r="B304" s="59" t="s">
        <v>221</v>
      </c>
      <c r="C304" s="354" t="s">
        <v>172</v>
      </c>
      <c r="D304" s="476"/>
      <c r="E304" s="359"/>
      <c r="F304" s="417"/>
      <c r="G304" s="317">
        <v>2026</v>
      </c>
      <c r="H304" s="323" t="s">
        <v>710</v>
      </c>
      <c r="I304" s="332" t="s">
        <v>249</v>
      </c>
      <c r="J304" s="337">
        <v>17</v>
      </c>
      <c r="K304" s="335" t="s">
        <v>1069</v>
      </c>
      <c r="L304" s="323" t="s">
        <v>344</v>
      </c>
      <c r="M304" s="303" t="s">
        <v>624</v>
      </c>
      <c r="N304" s="303">
        <v>9.1</v>
      </c>
      <c r="O304" s="303">
        <v>9.1</v>
      </c>
      <c r="P304" s="303">
        <v>9.1</v>
      </c>
      <c r="Q304" s="303">
        <v>9.1</v>
      </c>
      <c r="R304" s="401">
        <v>9.6999999999999993</v>
      </c>
      <c r="S304" s="401">
        <v>9.6999999999999993</v>
      </c>
      <c r="T304" s="401">
        <v>9.6999999999999993</v>
      </c>
      <c r="U304" s="401">
        <v>9.6999999999999993</v>
      </c>
      <c r="V304" s="401">
        <v>9.6999999999999993</v>
      </c>
      <c r="W304" s="401">
        <v>9.6999999999999993</v>
      </c>
      <c r="X304" s="401">
        <v>9.6999999999999993</v>
      </c>
      <c r="Y304" s="401">
        <v>9.6999999999999993</v>
      </c>
      <c r="Z304" s="59">
        <v>1.3</v>
      </c>
      <c r="AA304" s="59">
        <v>1.3</v>
      </c>
      <c r="AB304" s="59">
        <v>1.3</v>
      </c>
      <c r="AC304" s="304">
        <v>0</v>
      </c>
      <c r="AD304" s="402">
        <v>1.3</v>
      </c>
      <c r="AE304" s="402">
        <v>1.3</v>
      </c>
      <c r="AF304" s="402">
        <v>1.3</v>
      </c>
      <c r="AG304" s="402">
        <v>1.3</v>
      </c>
      <c r="AH304" s="402">
        <v>1.3</v>
      </c>
      <c r="AI304" s="402">
        <v>1.3</v>
      </c>
      <c r="AJ304" s="402">
        <v>1.3</v>
      </c>
      <c r="AK304" s="402">
        <v>1.3</v>
      </c>
      <c r="AL304" s="263"/>
      <c r="AM304" s="254">
        <f t="shared" si="36"/>
        <v>0</v>
      </c>
      <c r="AN304" s="263"/>
      <c r="AO304" s="254">
        <f t="shared" si="37"/>
        <v>0</v>
      </c>
      <c r="AP304" s="263"/>
      <c r="AQ304" s="254">
        <f t="shared" si="38"/>
        <v>0</v>
      </c>
      <c r="AR304" s="263"/>
      <c r="AS304" s="257">
        <f t="shared" si="39"/>
        <v>0</v>
      </c>
      <c r="AT304" s="263"/>
      <c r="AU304" s="257">
        <f t="shared" si="40"/>
        <v>0</v>
      </c>
      <c r="AV304" s="263"/>
      <c r="AW304" s="257">
        <f t="shared" si="41"/>
        <v>0</v>
      </c>
      <c r="AX304" s="263"/>
      <c r="AY304" s="257">
        <f t="shared" si="42"/>
        <v>0</v>
      </c>
      <c r="AZ304" s="263"/>
      <c r="BA304" s="257">
        <f t="shared" si="43"/>
        <v>0</v>
      </c>
      <c r="BB304" s="263"/>
      <c r="BC304" s="257">
        <f t="shared" si="44"/>
        <v>0</v>
      </c>
      <c r="BD304" s="263"/>
      <c r="BE304" s="257">
        <f t="shared" si="45"/>
        <v>0</v>
      </c>
      <c r="BF304" s="263"/>
      <c r="BG304" s="257">
        <f t="shared" si="46"/>
        <v>0</v>
      </c>
      <c r="BH304" s="263"/>
      <c r="BI304" s="257">
        <f t="shared" si="47"/>
        <v>0</v>
      </c>
      <c r="BJ304" s="1" t="s">
        <v>1082</v>
      </c>
      <c r="BL304" s="1" t="s">
        <v>457</v>
      </c>
      <c r="BM304" s="1" t="s">
        <v>1083</v>
      </c>
    </row>
    <row r="305" spans="1:65" ht="15.75" customHeight="1">
      <c r="A305" s="250" t="s">
        <v>951</v>
      </c>
      <c r="B305" s="59" t="s">
        <v>221</v>
      </c>
      <c r="C305" s="354" t="s">
        <v>172</v>
      </c>
      <c r="D305" s="476"/>
      <c r="E305" s="359" t="s">
        <v>173</v>
      </c>
      <c r="F305" s="417"/>
      <c r="G305" s="317">
        <v>2025</v>
      </c>
      <c r="H305" s="323" t="s">
        <v>713</v>
      </c>
      <c r="I305" s="332" t="s">
        <v>249</v>
      </c>
      <c r="J305" s="337">
        <v>17</v>
      </c>
      <c r="K305" s="335" t="s">
        <v>378</v>
      </c>
      <c r="L305" s="323" t="s">
        <v>344</v>
      </c>
      <c r="M305" s="303" t="s">
        <v>624</v>
      </c>
      <c r="N305" s="303">
        <v>8.5500000000000007</v>
      </c>
      <c r="O305" s="303">
        <v>8.5500000000000007</v>
      </c>
      <c r="P305" s="303">
        <v>8.4</v>
      </c>
      <c r="Q305" s="303">
        <v>8.4</v>
      </c>
      <c r="R305" s="401">
        <v>9</v>
      </c>
      <c r="S305" s="401">
        <v>9</v>
      </c>
      <c r="T305" s="401">
        <v>9</v>
      </c>
      <c r="U305" s="401">
        <v>9</v>
      </c>
      <c r="V305" s="401">
        <v>9</v>
      </c>
      <c r="W305" s="401">
        <v>9</v>
      </c>
      <c r="X305" s="401">
        <v>9</v>
      </c>
      <c r="Y305" s="401">
        <v>9</v>
      </c>
      <c r="Z305" s="59">
        <v>0.95</v>
      </c>
      <c r="AA305" s="59">
        <v>0.95</v>
      </c>
      <c r="AB305" s="59">
        <v>0.9</v>
      </c>
      <c r="AC305" s="304">
        <v>0</v>
      </c>
      <c r="AD305" s="402">
        <v>0.9</v>
      </c>
      <c r="AE305" s="402">
        <v>0.9</v>
      </c>
      <c r="AF305" s="402">
        <v>0.9</v>
      </c>
      <c r="AG305" s="402">
        <v>0.9</v>
      </c>
      <c r="AH305" s="402">
        <v>0.9</v>
      </c>
      <c r="AI305" s="402">
        <v>0.9</v>
      </c>
      <c r="AJ305" s="402">
        <v>0.9</v>
      </c>
      <c r="AK305" s="402">
        <v>0.9</v>
      </c>
      <c r="AL305" s="263">
        <v>6080</v>
      </c>
      <c r="AM305" s="254">
        <f t="shared" si="36"/>
        <v>5776</v>
      </c>
      <c r="AN305" s="263">
        <v>8200</v>
      </c>
      <c r="AO305" s="254">
        <f t="shared" si="37"/>
        <v>7790</v>
      </c>
      <c r="AP305" s="263">
        <v>1399</v>
      </c>
      <c r="AQ305" s="254">
        <f t="shared" si="38"/>
        <v>1259.1000000000001</v>
      </c>
      <c r="AR305" s="263">
        <v>1880</v>
      </c>
      <c r="AS305" s="257">
        <f t="shared" si="39"/>
        <v>0</v>
      </c>
      <c r="AT305" s="384">
        <v>3679</v>
      </c>
      <c r="AU305" s="257">
        <f t="shared" si="40"/>
        <v>3311.1</v>
      </c>
      <c r="AV305" s="268">
        <v>2000</v>
      </c>
      <c r="AW305" s="257">
        <f t="shared" si="41"/>
        <v>1800</v>
      </c>
      <c r="AX305" s="268">
        <v>2000</v>
      </c>
      <c r="AY305" s="257">
        <f t="shared" si="42"/>
        <v>1800</v>
      </c>
      <c r="AZ305" s="268">
        <v>2000</v>
      </c>
      <c r="BA305" s="257">
        <f t="shared" si="43"/>
        <v>1800</v>
      </c>
      <c r="BB305" s="268">
        <v>2000</v>
      </c>
      <c r="BC305" s="257">
        <f t="shared" si="44"/>
        <v>1800</v>
      </c>
      <c r="BD305" s="268">
        <v>2000</v>
      </c>
      <c r="BE305" s="257">
        <f t="shared" si="45"/>
        <v>1800</v>
      </c>
      <c r="BF305" s="270">
        <v>3000</v>
      </c>
      <c r="BG305" s="257">
        <f t="shared" si="46"/>
        <v>2700</v>
      </c>
      <c r="BH305" s="270">
        <v>2000</v>
      </c>
      <c r="BI305" s="257">
        <f t="shared" si="47"/>
        <v>1800</v>
      </c>
      <c r="BJ305" s="1" t="s">
        <v>714</v>
      </c>
      <c r="BL305" s="1" t="s">
        <v>457</v>
      </c>
      <c r="BM305" s="1" t="s">
        <v>715</v>
      </c>
    </row>
    <row r="306" spans="1:65" ht="15.75" customHeight="1">
      <c r="A306" s="250" t="s">
        <v>951</v>
      </c>
      <c r="B306" s="59" t="s">
        <v>221</v>
      </c>
      <c r="C306" s="354" t="s">
        <v>172</v>
      </c>
      <c r="D306" s="476"/>
      <c r="E306" s="359" t="s">
        <v>173</v>
      </c>
      <c r="F306" s="417"/>
      <c r="G306" s="317">
        <v>2025</v>
      </c>
      <c r="H306" s="323" t="s">
        <v>710</v>
      </c>
      <c r="I306" s="332" t="s">
        <v>249</v>
      </c>
      <c r="J306" s="337">
        <v>17</v>
      </c>
      <c r="K306" s="335" t="s">
        <v>378</v>
      </c>
      <c r="L306" s="323" t="s">
        <v>344</v>
      </c>
      <c r="M306" s="303" t="s">
        <v>933</v>
      </c>
      <c r="N306" s="303">
        <v>8.5500000000000007</v>
      </c>
      <c r="O306" s="303">
        <v>8.5500000000000007</v>
      </c>
      <c r="P306" s="303">
        <v>8.4</v>
      </c>
      <c r="Q306" s="303">
        <v>8.4</v>
      </c>
      <c r="R306" s="401">
        <v>9</v>
      </c>
      <c r="S306" s="401">
        <v>9</v>
      </c>
      <c r="T306" s="401">
        <v>9</v>
      </c>
      <c r="U306" s="401">
        <v>9</v>
      </c>
      <c r="V306" s="401">
        <v>9</v>
      </c>
      <c r="W306" s="401">
        <v>9</v>
      </c>
      <c r="X306" s="401">
        <v>9</v>
      </c>
      <c r="Y306" s="401">
        <v>9</v>
      </c>
      <c r="Z306" s="59">
        <v>0.95</v>
      </c>
      <c r="AA306" s="59">
        <v>0.95</v>
      </c>
      <c r="AB306" s="59">
        <v>0.9</v>
      </c>
      <c r="AC306" s="304">
        <v>0</v>
      </c>
      <c r="AD306" s="402">
        <v>0.9</v>
      </c>
      <c r="AE306" s="402">
        <v>0.9</v>
      </c>
      <c r="AF306" s="402">
        <v>0.9</v>
      </c>
      <c r="AG306" s="402">
        <v>0.9</v>
      </c>
      <c r="AH306" s="402">
        <v>0.9</v>
      </c>
      <c r="AI306" s="402">
        <v>0.9</v>
      </c>
      <c r="AJ306" s="402">
        <v>0.9</v>
      </c>
      <c r="AK306" s="402">
        <v>0.9</v>
      </c>
      <c r="AL306" s="263"/>
      <c r="AM306" s="254">
        <f t="shared" si="36"/>
        <v>0</v>
      </c>
      <c r="AN306" s="263"/>
      <c r="AO306" s="254">
        <f t="shared" si="37"/>
        <v>0</v>
      </c>
      <c r="AP306" s="263">
        <v>40</v>
      </c>
      <c r="AQ306" s="254">
        <f t="shared" si="38"/>
        <v>36</v>
      </c>
      <c r="AR306" s="263"/>
      <c r="AS306" s="257">
        <f t="shared" si="39"/>
        <v>0</v>
      </c>
      <c r="AT306" s="384"/>
      <c r="AU306" s="257">
        <f t="shared" si="40"/>
        <v>0</v>
      </c>
      <c r="AV306" s="268"/>
      <c r="AW306" s="257">
        <f t="shared" si="41"/>
        <v>0</v>
      </c>
      <c r="AX306" s="270"/>
      <c r="AY306" s="257">
        <f t="shared" si="42"/>
        <v>0</v>
      </c>
      <c r="AZ306" s="270"/>
      <c r="BA306" s="257">
        <f t="shared" si="43"/>
        <v>0</v>
      </c>
      <c r="BB306" s="270"/>
      <c r="BC306" s="257">
        <f t="shared" si="44"/>
        <v>0</v>
      </c>
      <c r="BD306" s="270"/>
      <c r="BE306" s="257">
        <f t="shared" si="45"/>
        <v>0</v>
      </c>
      <c r="BF306" s="270"/>
      <c r="BG306" s="257">
        <f t="shared" si="46"/>
        <v>0</v>
      </c>
      <c r="BH306" s="270"/>
      <c r="BI306" s="257">
        <f t="shared" si="47"/>
        <v>0</v>
      </c>
      <c r="BJ306" s="1" t="s">
        <v>711</v>
      </c>
      <c r="BL306" s="1" t="s">
        <v>457</v>
      </c>
      <c r="BM306" s="1" t="s">
        <v>712</v>
      </c>
    </row>
    <row r="307" spans="1:65" ht="15.75" customHeight="1">
      <c r="A307" s="250" t="s">
        <v>951</v>
      </c>
      <c r="B307" s="59" t="s">
        <v>221</v>
      </c>
      <c r="C307" s="354" t="s">
        <v>172</v>
      </c>
      <c r="D307" s="476"/>
      <c r="E307" s="359"/>
      <c r="F307" s="417"/>
      <c r="G307" s="317">
        <v>2026</v>
      </c>
      <c r="H307" s="323" t="s">
        <v>710</v>
      </c>
      <c r="I307" s="332" t="s">
        <v>249</v>
      </c>
      <c r="J307" s="337">
        <v>17</v>
      </c>
      <c r="K307" s="335" t="s">
        <v>1069</v>
      </c>
      <c r="L307" s="323" t="s">
        <v>344</v>
      </c>
      <c r="M307" s="303" t="s">
        <v>933</v>
      </c>
      <c r="N307" s="303">
        <v>9.1</v>
      </c>
      <c r="O307" s="303">
        <v>9.1</v>
      </c>
      <c r="P307" s="303">
        <v>9.1</v>
      </c>
      <c r="Q307" s="303">
        <v>9.1</v>
      </c>
      <c r="R307" s="401">
        <v>9.6999999999999993</v>
      </c>
      <c r="S307" s="401">
        <v>9.6999999999999993</v>
      </c>
      <c r="T307" s="401">
        <v>9.6999999999999993</v>
      </c>
      <c r="U307" s="401">
        <v>9.6999999999999993</v>
      </c>
      <c r="V307" s="401">
        <v>9.6999999999999993</v>
      </c>
      <c r="W307" s="401">
        <v>9.6999999999999993</v>
      </c>
      <c r="X307" s="401">
        <v>9.6999999999999993</v>
      </c>
      <c r="Y307" s="401">
        <v>9.6999999999999993</v>
      </c>
      <c r="Z307" s="59">
        <v>1.3</v>
      </c>
      <c r="AA307" s="59">
        <v>1.3</v>
      </c>
      <c r="AB307" s="59">
        <v>1.3</v>
      </c>
      <c r="AC307" s="304">
        <v>0</v>
      </c>
      <c r="AD307" s="402">
        <v>1.3</v>
      </c>
      <c r="AE307" s="402">
        <v>1.3</v>
      </c>
      <c r="AF307" s="402">
        <v>1.3</v>
      </c>
      <c r="AG307" s="402">
        <v>1.3</v>
      </c>
      <c r="AH307" s="402">
        <v>1.3</v>
      </c>
      <c r="AI307" s="402">
        <v>1.3</v>
      </c>
      <c r="AJ307" s="402">
        <v>1.3</v>
      </c>
      <c r="AK307" s="402">
        <v>1.3</v>
      </c>
      <c r="AL307" s="263"/>
      <c r="AM307" s="254">
        <f t="shared" si="36"/>
        <v>0</v>
      </c>
      <c r="AN307" s="263"/>
      <c r="AO307" s="254">
        <f t="shared" si="37"/>
        <v>0</v>
      </c>
      <c r="AP307" s="263"/>
      <c r="AQ307" s="254">
        <f t="shared" si="38"/>
        <v>0</v>
      </c>
      <c r="AR307" s="263">
        <v>120</v>
      </c>
      <c r="AS307" s="257">
        <f t="shared" si="39"/>
        <v>0</v>
      </c>
      <c r="AT307" s="384">
        <v>40</v>
      </c>
      <c r="AU307" s="257">
        <f t="shared" si="40"/>
        <v>52</v>
      </c>
      <c r="AV307" s="268"/>
      <c r="AW307" s="257">
        <f t="shared" si="41"/>
        <v>0</v>
      </c>
      <c r="AX307" s="270"/>
      <c r="AY307" s="257">
        <f t="shared" si="42"/>
        <v>0</v>
      </c>
      <c r="AZ307" s="270"/>
      <c r="BA307" s="257">
        <f t="shared" si="43"/>
        <v>0</v>
      </c>
      <c r="BB307" s="270"/>
      <c r="BC307" s="257">
        <f t="shared" si="44"/>
        <v>0</v>
      </c>
      <c r="BD307" s="270"/>
      <c r="BE307" s="257">
        <f t="shared" si="45"/>
        <v>0</v>
      </c>
      <c r="BF307" s="270"/>
      <c r="BG307" s="257">
        <f t="shared" si="46"/>
        <v>0</v>
      </c>
      <c r="BH307" s="270"/>
      <c r="BI307" s="257">
        <f t="shared" si="47"/>
        <v>0</v>
      </c>
      <c r="BJ307" s="1" t="s">
        <v>1082</v>
      </c>
      <c r="BL307" s="1" t="s">
        <v>457</v>
      </c>
      <c r="BM307" s="1" t="s">
        <v>1083</v>
      </c>
    </row>
    <row r="308" spans="1:65" ht="15.75" customHeight="1">
      <c r="A308" s="250" t="s">
        <v>951</v>
      </c>
      <c r="B308" s="59" t="s">
        <v>221</v>
      </c>
      <c r="C308" s="354" t="s">
        <v>172</v>
      </c>
      <c r="D308" s="476"/>
      <c r="E308" s="359" t="s">
        <v>173</v>
      </c>
      <c r="F308" s="417"/>
      <c r="G308" s="317">
        <v>2025</v>
      </c>
      <c r="H308" s="323" t="s">
        <v>713</v>
      </c>
      <c r="I308" s="332" t="s">
        <v>249</v>
      </c>
      <c r="J308" s="337">
        <v>17</v>
      </c>
      <c r="K308" s="335" t="s">
        <v>378</v>
      </c>
      <c r="L308" s="323" t="s">
        <v>344</v>
      </c>
      <c r="M308" s="303" t="s">
        <v>933</v>
      </c>
      <c r="N308" s="303">
        <v>8.5500000000000007</v>
      </c>
      <c r="O308" s="303">
        <v>8.5500000000000007</v>
      </c>
      <c r="P308" s="303">
        <v>8.4</v>
      </c>
      <c r="Q308" s="303">
        <v>8.4</v>
      </c>
      <c r="R308" s="401">
        <v>9</v>
      </c>
      <c r="S308" s="401">
        <v>9</v>
      </c>
      <c r="T308" s="401">
        <v>9</v>
      </c>
      <c r="U308" s="401">
        <v>9</v>
      </c>
      <c r="V308" s="401">
        <v>9</v>
      </c>
      <c r="W308" s="401">
        <v>9</v>
      </c>
      <c r="X308" s="401">
        <v>9</v>
      </c>
      <c r="Y308" s="401">
        <v>9</v>
      </c>
      <c r="Z308" s="59">
        <v>0.95</v>
      </c>
      <c r="AA308" s="59">
        <v>0.95</v>
      </c>
      <c r="AB308" s="59">
        <v>0.9</v>
      </c>
      <c r="AC308" s="304">
        <v>0</v>
      </c>
      <c r="AD308" s="402">
        <v>0.9</v>
      </c>
      <c r="AE308" s="402">
        <v>0.9</v>
      </c>
      <c r="AF308" s="402">
        <v>0.9</v>
      </c>
      <c r="AG308" s="402">
        <v>0.9</v>
      </c>
      <c r="AH308" s="402">
        <v>0.9</v>
      </c>
      <c r="AI308" s="402">
        <v>0.9</v>
      </c>
      <c r="AJ308" s="402">
        <v>0.9</v>
      </c>
      <c r="AK308" s="402">
        <v>0.9</v>
      </c>
      <c r="AL308" s="263"/>
      <c r="AM308" s="254">
        <f t="shared" si="36"/>
        <v>0</v>
      </c>
      <c r="AN308" s="263"/>
      <c r="AO308" s="254">
        <f t="shared" si="37"/>
        <v>0</v>
      </c>
      <c r="AP308" s="265">
        <v>920</v>
      </c>
      <c r="AQ308" s="254">
        <f t="shared" si="38"/>
        <v>828</v>
      </c>
      <c r="AR308" s="256">
        <v>400</v>
      </c>
      <c r="AS308" s="257">
        <f t="shared" si="39"/>
        <v>0</v>
      </c>
      <c r="AT308" s="382">
        <v>40</v>
      </c>
      <c r="AU308" s="257">
        <f t="shared" si="40"/>
        <v>36</v>
      </c>
      <c r="AV308" s="268"/>
      <c r="AW308" s="257">
        <f t="shared" si="41"/>
        <v>0</v>
      </c>
      <c r="AX308" s="268"/>
      <c r="AY308" s="257">
        <f t="shared" si="42"/>
        <v>0</v>
      </c>
      <c r="AZ308" s="268"/>
      <c r="BA308" s="257">
        <f t="shared" si="43"/>
        <v>0</v>
      </c>
      <c r="BB308" s="268"/>
      <c r="BC308" s="257">
        <f t="shared" si="44"/>
        <v>0</v>
      </c>
      <c r="BD308" s="59"/>
      <c r="BE308" s="257">
        <f t="shared" si="45"/>
        <v>0</v>
      </c>
      <c r="BF308" s="59"/>
      <c r="BG308" s="257">
        <f t="shared" si="46"/>
        <v>0</v>
      </c>
      <c r="BH308" s="59"/>
      <c r="BI308" s="257">
        <f t="shared" si="47"/>
        <v>0</v>
      </c>
      <c r="BJ308" s="1" t="s">
        <v>714</v>
      </c>
      <c r="BL308" s="1" t="s">
        <v>457</v>
      </c>
      <c r="BM308" s="1" t="s">
        <v>715</v>
      </c>
    </row>
    <row r="309" spans="1:65" ht="19.5" customHeight="1">
      <c r="A309" s="250" t="s">
        <v>951</v>
      </c>
      <c r="C309" s="354"/>
      <c r="D309" s="476"/>
      <c r="E309" s="359"/>
      <c r="F309" s="417"/>
      <c r="G309" s="59"/>
      <c r="H309" s="339"/>
      <c r="I309" s="339"/>
      <c r="J309" s="340"/>
      <c r="K309" s="339"/>
      <c r="L309" s="339"/>
      <c r="M309" s="303"/>
      <c r="N309" s="303"/>
      <c r="O309" s="303"/>
      <c r="P309" s="303"/>
      <c r="Q309" s="303"/>
      <c r="R309" s="303"/>
      <c r="S309" s="303"/>
      <c r="T309" s="303"/>
      <c r="U309" s="303"/>
      <c r="V309" s="303"/>
      <c r="W309" s="303"/>
      <c r="X309" s="303"/>
      <c r="Y309" s="303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263"/>
      <c r="AM309" s="254">
        <f t="shared" si="36"/>
        <v>0</v>
      </c>
      <c r="AN309" s="263"/>
      <c r="AO309" s="254">
        <f t="shared" si="37"/>
        <v>0</v>
      </c>
      <c r="AP309" s="265"/>
      <c r="AQ309" s="254">
        <f t="shared" si="38"/>
        <v>0</v>
      </c>
      <c r="AR309" s="256"/>
      <c r="AS309" s="257">
        <f t="shared" si="39"/>
        <v>0</v>
      </c>
      <c r="AT309" s="382"/>
      <c r="AU309" s="257">
        <f t="shared" si="40"/>
        <v>0</v>
      </c>
      <c r="AV309" s="268"/>
      <c r="AW309" s="257">
        <f t="shared" si="41"/>
        <v>0</v>
      </c>
      <c r="AX309" s="268"/>
      <c r="AY309" s="257">
        <f t="shared" si="42"/>
        <v>0</v>
      </c>
      <c r="AZ309" s="268"/>
      <c r="BA309" s="257">
        <f t="shared" si="43"/>
        <v>0</v>
      </c>
      <c r="BB309" s="268"/>
      <c r="BC309" s="257">
        <f t="shared" si="44"/>
        <v>0</v>
      </c>
      <c r="BD309" s="59"/>
      <c r="BE309" s="257">
        <f t="shared" si="45"/>
        <v>0</v>
      </c>
      <c r="BF309" s="59"/>
      <c r="BG309" s="257">
        <f t="shared" si="46"/>
        <v>0</v>
      </c>
      <c r="BH309" s="59"/>
      <c r="BI309" s="257">
        <f t="shared" si="47"/>
        <v>0</v>
      </c>
    </row>
    <row r="310" spans="1:65" ht="17.25" customHeight="1">
      <c r="A310" s="250" t="s">
        <v>951</v>
      </c>
      <c r="C310" s="354"/>
      <c r="D310" s="476"/>
      <c r="E310" s="359"/>
      <c r="F310" s="421" t="s">
        <v>79</v>
      </c>
      <c r="G310" s="317"/>
      <c r="H310" s="59"/>
      <c r="I310" s="315"/>
      <c r="J310" s="317"/>
      <c r="K310" s="59"/>
      <c r="L310" s="298"/>
      <c r="M310" s="303"/>
      <c r="N310" s="303"/>
      <c r="O310" s="303"/>
      <c r="P310" s="303"/>
      <c r="Q310" s="303"/>
      <c r="R310" s="303"/>
      <c r="S310" s="303"/>
      <c r="T310" s="303"/>
      <c r="U310" s="303"/>
      <c r="V310" s="303"/>
      <c r="W310" s="303"/>
      <c r="X310" s="303"/>
      <c r="Y310" s="303"/>
      <c r="Z310" s="304"/>
      <c r="AA310" s="304"/>
      <c r="AB310" s="304"/>
      <c r="AC310" s="304"/>
      <c r="AD310" s="304"/>
      <c r="AE310" s="304"/>
      <c r="AF310" s="304"/>
      <c r="AG310" s="304"/>
      <c r="AH310" s="304"/>
      <c r="AI310" s="304"/>
      <c r="AJ310" s="304"/>
      <c r="AK310" s="304"/>
      <c r="AL310" s="255"/>
      <c r="AM310" s="254">
        <f t="shared" si="36"/>
        <v>0</v>
      </c>
      <c r="AN310" s="255"/>
      <c r="AO310" s="254">
        <f t="shared" si="37"/>
        <v>0</v>
      </c>
      <c r="AP310" s="255"/>
      <c r="AQ310" s="254">
        <f t="shared" si="38"/>
        <v>0</v>
      </c>
      <c r="AR310" s="255"/>
      <c r="AS310" s="257">
        <f t="shared" si="39"/>
        <v>0</v>
      </c>
      <c r="AT310" s="381"/>
      <c r="AU310" s="257">
        <f t="shared" si="40"/>
        <v>0</v>
      </c>
      <c r="AV310" s="388"/>
      <c r="AW310" s="257">
        <f t="shared" si="41"/>
        <v>0</v>
      </c>
      <c r="AX310" s="255"/>
      <c r="AY310" s="257">
        <f t="shared" si="42"/>
        <v>0</v>
      </c>
      <c r="AZ310" s="255"/>
      <c r="BA310" s="257">
        <f t="shared" si="43"/>
        <v>0</v>
      </c>
      <c r="BB310" s="255"/>
      <c r="BC310" s="257">
        <f t="shared" si="44"/>
        <v>0</v>
      </c>
      <c r="BD310" s="255"/>
      <c r="BE310" s="257">
        <f t="shared" si="45"/>
        <v>0</v>
      </c>
      <c r="BF310" s="255"/>
      <c r="BG310" s="257">
        <f t="shared" si="46"/>
        <v>0</v>
      </c>
      <c r="BH310" s="255"/>
      <c r="BI310" s="257">
        <f t="shared" si="47"/>
        <v>0</v>
      </c>
    </row>
    <row r="311" spans="1:65" ht="14.85" customHeight="1">
      <c r="A311" s="250" t="s">
        <v>951</v>
      </c>
      <c r="C311" s="354"/>
      <c r="D311" s="476"/>
      <c r="E311" s="359"/>
      <c r="F311" s="421"/>
      <c r="G311" s="59"/>
      <c r="H311" s="59"/>
      <c r="I311" s="59"/>
      <c r="J311" s="302"/>
      <c r="K311" s="59"/>
      <c r="L311" s="59"/>
      <c r="M311" s="303"/>
      <c r="N311" s="303"/>
      <c r="O311" s="303"/>
      <c r="P311" s="303"/>
      <c r="Q311" s="303"/>
      <c r="R311" s="303"/>
      <c r="S311" s="303"/>
      <c r="T311" s="303"/>
      <c r="U311" s="303"/>
      <c r="V311" s="303"/>
      <c r="W311" s="303"/>
      <c r="X311" s="303"/>
      <c r="Y311" s="303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255"/>
      <c r="AM311" s="254">
        <f t="shared" si="36"/>
        <v>0</v>
      </c>
      <c r="AN311" s="255"/>
      <c r="AO311" s="254">
        <f t="shared" si="37"/>
        <v>0</v>
      </c>
      <c r="AP311" s="255"/>
      <c r="AQ311" s="254">
        <f t="shared" si="38"/>
        <v>0</v>
      </c>
      <c r="AR311" s="256"/>
      <c r="AS311" s="257">
        <f t="shared" si="39"/>
        <v>0</v>
      </c>
      <c r="AT311" s="382"/>
      <c r="AU311" s="257">
        <f t="shared" si="40"/>
        <v>0</v>
      </c>
      <c r="AV311" s="268"/>
      <c r="AW311" s="257">
        <f t="shared" si="41"/>
        <v>0</v>
      </c>
      <c r="AX311" s="268"/>
      <c r="AY311" s="257">
        <f t="shared" si="42"/>
        <v>0</v>
      </c>
      <c r="AZ311" s="268"/>
      <c r="BA311" s="257">
        <f t="shared" si="43"/>
        <v>0</v>
      </c>
      <c r="BB311" s="268"/>
      <c r="BC311" s="257">
        <f t="shared" si="44"/>
        <v>0</v>
      </c>
      <c r="BD311" s="59"/>
      <c r="BE311" s="257">
        <f t="shared" si="45"/>
        <v>0</v>
      </c>
      <c r="BF311" s="59"/>
      <c r="BG311" s="257">
        <f t="shared" si="46"/>
        <v>0</v>
      </c>
      <c r="BH311" s="59"/>
      <c r="BI311" s="257">
        <f t="shared" si="47"/>
        <v>0</v>
      </c>
    </row>
    <row r="312" spans="1:65" ht="15" customHeight="1">
      <c r="A312" s="250" t="s">
        <v>951</v>
      </c>
      <c r="B312" s="59" t="s">
        <v>221</v>
      </c>
      <c r="C312" s="354" t="s">
        <v>172</v>
      </c>
      <c r="D312" s="476"/>
      <c r="E312" s="359" t="s">
        <v>332</v>
      </c>
      <c r="F312" s="421" t="s">
        <v>276</v>
      </c>
      <c r="G312" s="317">
        <v>2023</v>
      </c>
      <c r="H312" s="336" t="s">
        <v>716</v>
      </c>
      <c r="I312" s="332" t="s">
        <v>249</v>
      </c>
      <c r="J312" s="337">
        <v>16</v>
      </c>
      <c r="K312" s="336" t="s">
        <v>717</v>
      </c>
      <c r="L312" s="298" t="s">
        <v>389</v>
      </c>
      <c r="M312" s="303" t="s">
        <v>654</v>
      </c>
      <c r="N312" s="303">
        <v>12</v>
      </c>
      <c r="O312" s="303">
        <v>12</v>
      </c>
      <c r="P312" s="303">
        <v>12</v>
      </c>
      <c r="Q312" s="303">
        <v>12</v>
      </c>
      <c r="R312" s="303">
        <v>12</v>
      </c>
      <c r="S312" s="303">
        <v>12</v>
      </c>
      <c r="T312" s="303">
        <v>12</v>
      </c>
      <c r="U312" s="303">
        <v>12</v>
      </c>
      <c r="V312" s="303">
        <v>12</v>
      </c>
      <c r="W312" s="303">
        <v>12</v>
      </c>
      <c r="X312" s="303">
        <v>12</v>
      </c>
      <c r="Y312" s="303">
        <v>12</v>
      </c>
      <c r="Z312" s="304">
        <v>2.5</v>
      </c>
      <c r="AA312" s="304">
        <v>2.5</v>
      </c>
      <c r="AB312" s="304">
        <v>2.5</v>
      </c>
      <c r="AC312" s="304">
        <v>0</v>
      </c>
      <c r="AD312" s="304">
        <v>2.5</v>
      </c>
      <c r="AE312" s="304">
        <v>2.5</v>
      </c>
      <c r="AF312" s="304">
        <v>2.5</v>
      </c>
      <c r="AG312" s="304">
        <v>2.5</v>
      </c>
      <c r="AH312" s="304">
        <v>2.5</v>
      </c>
      <c r="AI312" s="304">
        <v>2.5</v>
      </c>
      <c r="AJ312" s="304">
        <v>2.5</v>
      </c>
      <c r="AK312" s="304">
        <v>2.5</v>
      </c>
      <c r="AL312" s="255">
        <v>40</v>
      </c>
      <c r="AM312" s="254">
        <f t="shared" si="36"/>
        <v>100</v>
      </c>
      <c r="AN312" s="255"/>
      <c r="AO312" s="254">
        <f t="shared" si="37"/>
        <v>0</v>
      </c>
      <c r="AP312" s="255"/>
      <c r="AQ312" s="254">
        <f t="shared" si="38"/>
        <v>0</v>
      </c>
      <c r="AR312" s="255"/>
      <c r="AS312" s="257">
        <f t="shared" si="39"/>
        <v>0</v>
      </c>
      <c r="AT312" s="381"/>
      <c r="AU312" s="257">
        <f t="shared" si="40"/>
        <v>0</v>
      </c>
      <c r="AV312" s="388"/>
      <c r="AW312" s="257">
        <f t="shared" si="41"/>
        <v>0</v>
      </c>
      <c r="AX312" s="255"/>
      <c r="AY312" s="257">
        <f t="shared" si="42"/>
        <v>0</v>
      </c>
      <c r="AZ312" s="255"/>
      <c r="BA312" s="257">
        <f t="shared" si="43"/>
        <v>0</v>
      </c>
      <c r="BB312" s="255"/>
      <c r="BC312" s="257">
        <f t="shared" si="44"/>
        <v>0</v>
      </c>
      <c r="BD312" s="255"/>
      <c r="BE312" s="257">
        <f t="shared" si="45"/>
        <v>0</v>
      </c>
      <c r="BF312" s="59"/>
      <c r="BG312" s="257">
        <f t="shared" si="46"/>
        <v>0</v>
      </c>
      <c r="BH312" s="59"/>
      <c r="BI312" s="257">
        <f t="shared" si="47"/>
        <v>0</v>
      </c>
      <c r="BJ312" s="377" t="s">
        <v>718</v>
      </c>
      <c r="BL312" s="1" t="s">
        <v>457</v>
      </c>
      <c r="BM312" s="1" t="s">
        <v>719</v>
      </c>
    </row>
    <row r="313" spans="1:65" ht="18" customHeight="1">
      <c r="A313" s="250" t="s">
        <v>951</v>
      </c>
      <c r="B313" s="59" t="s">
        <v>221</v>
      </c>
      <c r="C313" s="354" t="s">
        <v>172</v>
      </c>
      <c r="D313" s="476"/>
      <c r="E313" s="359" t="s">
        <v>332</v>
      </c>
      <c r="F313" s="421"/>
      <c r="G313" s="317">
        <v>2023</v>
      </c>
      <c r="H313" s="336" t="s">
        <v>716</v>
      </c>
      <c r="I313" s="332" t="s">
        <v>249</v>
      </c>
      <c r="J313" s="337">
        <v>16</v>
      </c>
      <c r="K313" s="59" t="s">
        <v>720</v>
      </c>
      <c r="L313" s="341" t="s">
        <v>389</v>
      </c>
      <c r="M313" s="303" t="s">
        <v>654</v>
      </c>
      <c r="N313" s="303">
        <v>18.8</v>
      </c>
      <c r="O313" s="303">
        <v>18.8</v>
      </c>
      <c r="P313" s="303">
        <v>18.8</v>
      </c>
      <c r="Q313" s="303">
        <v>18.8</v>
      </c>
      <c r="R313" s="303">
        <v>18.8</v>
      </c>
      <c r="S313" s="303">
        <v>18.8</v>
      </c>
      <c r="T313" s="303">
        <v>18.8</v>
      </c>
      <c r="U313" s="303">
        <v>18.8</v>
      </c>
      <c r="V313" s="303">
        <v>18.8</v>
      </c>
      <c r="W313" s="303">
        <v>18.8</v>
      </c>
      <c r="X313" s="303">
        <v>18.8</v>
      </c>
      <c r="Y313" s="303">
        <v>18.8</v>
      </c>
      <c r="Z313" s="304">
        <v>3.6</v>
      </c>
      <c r="AA313" s="304">
        <v>3.6</v>
      </c>
      <c r="AB313" s="304">
        <v>3.6</v>
      </c>
      <c r="AC313" s="304">
        <v>0</v>
      </c>
      <c r="AD313" s="304">
        <v>3.6</v>
      </c>
      <c r="AE313" s="304">
        <v>3.6</v>
      </c>
      <c r="AF313" s="304">
        <v>3.6</v>
      </c>
      <c r="AG313" s="304">
        <v>3.6</v>
      </c>
      <c r="AH313" s="304">
        <v>3.6</v>
      </c>
      <c r="AI313" s="304">
        <v>3.6</v>
      </c>
      <c r="AJ313" s="304">
        <v>3.6</v>
      </c>
      <c r="AK313" s="304">
        <v>3.6</v>
      </c>
      <c r="AL313" s="255"/>
      <c r="AM313" s="254">
        <f t="shared" si="36"/>
        <v>0</v>
      </c>
      <c r="AN313" s="255"/>
      <c r="AO313" s="254">
        <f t="shared" si="37"/>
        <v>0</v>
      </c>
      <c r="AP313" s="255"/>
      <c r="AQ313" s="254">
        <f t="shared" si="38"/>
        <v>0</v>
      </c>
      <c r="AR313" s="255"/>
      <c r="AS313" s="257">
        <f t="shared" si="39"/>
        <v>0</v>
      </c>
      <c r="AT313" s="381"/>
      <c r="AU313" s="257">
        <f t="shared" si="40"/>
        <v>0</v>
      </c>
      <c r="AV313" s="388"/>
      <c r="AW313" s="257">
        <f t="shared" si="41"/>
        <v>0</v>
      </c>
      <c r="AX313" s="255"/>
      <c r="AY313" s="257">
        <f t="shared" si="42"/>
        <v>0</v>
      </c>
      <c r="AZ313" s="255"/>
      <c r="BA313" s="257">
        <f t="shared" si="43"/>
        <v>0</v>
      </c>
      <c r="BB313" s="255"/>
      <c r="BC313" s="257">
        <f t="shared" si="44"/>
        <v>0</v>
      </c>
      <c r="BD313" s="255"/>
      <c r="BE313" s="257">
        <f t="shared" si="45"/>
        <v>0</v>
      </c>
      <c r="BF313" s="255"/>
      <c r="BG313" s="257">
        <f t="shared" si="46"/>
        <v>0</v>
      </c>
      <c r="BH313" s="255"/>
      <c r="BI313" s="257">
        <f t="shared" si="47"/>
        <v>0</v>
      </c>
      <c r="BJ313" s="377" t="s">
        <v>721</v>
      </c>
      <c r="BL313" s="1" t="s">
        <v>457</v>
      </c>
      <c r="BM313" s="1" t="s">
        <v>722</v>
      </c>
    </row>
    <row r="314" spans="1:65" ht="18" customHeight="1">
      <c r="A314" s="250" t="s">
        <v>951</v>
      </c>
      <c r="B314" s="59" t="s">
        <v>221</v>
      </c>
      <c r="C314" s="354" t="s">
        <v>172</v>
      </c>
      <c r="D314" s="476"/>
      <c r="E314" s="359" t="s">
        <v>332</v>
      </c>
      <c r="F314" s="421"/>
      <c r="G314" s="317">
        <v>2023</v>
      </c>
      <c r="H314" s="336" t="s">
        <v>716</v>
      </c>
      <c r="I314" s="332" t="s">
        <v>249</v>
      </c>
      <c r="J314" s="337">
        <v>16</v>
      </c>
      <c r="K314" s="336" t="s">
        <v>723</v>
      </c>
      <c r="L314" s="341" t="s">
        <v>389</v>
      </c>
      <c r="M314" s="303" t="s">
        <v>654</v>
      </c>
      <c r="N314" s="303">
        <v>12</v>
      </c>
      <c r="O314" s="303">
        <v>12</v>
      </c>
      <c r="P314" s="303">
        <v>12</v>
      </c>
      <c r="Q314" s="303">
        <v>12</v>
      </c>
      <c r="R314" s="303">
        <v>12</v>
      </c>
      <c r="S314" s="303">
        <v>12</v>
      </c>
      <c r="T314" s="303">
        <v>12</v>
      </c>
      <c r="U314" s="303">
        <v>12</v>
      </c>
      <c r="V314" s="303">
        <v>12</v>
      </c>
      <c r="W314" s="303">
        <v>12</v>
      </c>
      <c r="X314" s="303">
        <v>12</v>
      </c>
      <c r="Y314" s="303">
        <v>12</v>
      </c>
      <c r="Z314" s="304">
        <v>2.5</v>
      </c>
      <c r="AA314" s="304">
        <v>2.5</v>
      </c>
      <c r="AB314" s="304">
        <v>2.5</v>
      </c>
      <c r="AC314" s="304">
        <v>0</v>
      </c>
      <c r="AD314" s="304">
        <v>2.5</v>
      </c>
      <c r="AE314" s="304">
        <v>2.5</v>
      </c>
      <c r="AF314" s="304">
        <v>2.5</v>
      </c>
      <c r="AG314" s="304">
        <v>2.5</v>
      </c>
      <c r="AH314" s="304">
        <v>2.5</v>
      </c>
      <c r="AI314" s="304">
        <v>2.5</v>
      </c>
      <c r="AJ314" s="304">
        <v>2.5</v>
      </c>
      <c r="AK314" s="304">
        <v>2.5</v>
      </c>
      <c r="AL314" s="255"/>
      <c r="AM314" s="254">
        <f t="shared" si="36"/>
        <v>0</v>
      </c>
      <c r="AN314" s="255"/>
      <c r="AO314" s="254">
        <f t="shared" si="37"/>
        <v>0</v>
      </c>
      <c r="AP314" s="255"/>
      <c r="AQ314" s="254">
        <f t="shared" si="38"/>
        <v>0</v>
      </c>
      <c r="AR314" s="256"/>
      <c r="AS314" s="257">
        <f t="shared" si="39"/>
        <v>0</v>
      </c>
      <c r="AT314" s="381"/>
      <c r="AU314" s="257">
        <f t="shared" si="40"/>
        <v>0</v>
      </c>
      <c r="AV314" s="388"/>
      <c r="AW314" s="257">
        <f t="shared" si="41"/>
        <v>0</v>
      </c>
      <c r="AX314" s="255"/>
      <c r="AY314" s="257">
        <f t="shared" si="42"/>
        <v>0</v>
      </c>
      <c r="AZ314" s="255"/>
      <c r="BA314" s="257">
        <f t="shared" si="43"/>
        <v>0</v>
      </c>
      <c r="BB314" s="255"/>
      <c r="BC314" s="257">
        <f t="shared" si="44"/>
        <v>0</v>
      </c>
      <c r="BD314" s="255"/>
      <c r="BE314" s="257">
        <f t="shared" si="45"/>
        <v>0</v>
      </c>
      <c r="BF314" s="255"/>
      <c r="BG314" s="257">
        <f t="shared" si="46"/>
        <v>0</v>
      </c>
      <c r="BH314" s="255"/>
      <c r="BI314" s="257">
        <f t="shared" si="47"/>
        <v>0</v>
      </c>
      <c r="BJ314" s="1" t="s">
        <v>724</v>
      </c>
      <c r="BL314" s="1" t="s">
        <v>457</v>
      </c>
      <c r="BM314" s="1" t="s">
        <v>725</v>
      </c>
    </row>
    <row r="315" spans="1:65" ht="18" customHeight="1">
      <c r="A315" s="250" t="s">
        <v>951</v>
      </c>
      <c r="B315" s="59" t="s">
        <v>221</v>
      </c>
      <c r="C315" s="354" t="s">
        <v>172</v>
      </c>
      <c r="D315" s="476"/>
      <c r="E315" s="359" t="s">
        <v>332</v>
      </c>
      <c r="F315" s="421"/>
      <c r="G315" s="317">
        <v>2023</v>
      </c>
      <c r="H315" s="336" t="s">
        <v>716</v>
      </c>
      <c r="I315" s="332" t="s">
        <v>249</v>
      </c>
      <c r="J315" s="337">
        <v>16</v>
      </c>
      <c r="K315" s="326" t="s">
        <v>726</v>
      </c>
      <c r="L315" s="341" t="s">
        <v>389</v>
      </c>
      <c r="M315" s="303" t="s">
        <v>654</v>
      </c>
      <c r="N315" s="303">
        <v>18.8</v>
      </c>
      <c r="O315" s="303">
        <v>18.8</v>
      </c>
      <c r="P315" s="303">
        <v>18.8</v>
      </c>
      <c r="Q315" s="303">
        <v>18.8</v>
      </c>
      <c r="R315" s="303">
        <v>18.8</v>
      </c>
      <c r="S315" s="303">
        <v>18.8</v>
      </c>
      <c r="T315" s="303">
        <v>18.8</v>
      </c>
      <c r="U315" s="303">
        <v>18.8</v>
      </c>
      <c r="V315" s="303">
        <v>18.8</v>
      </c>
      <c r="W315" s="303">
        <v>18.8</v>
      </c>
      <c r="X315" s="303">
        <v>18.8</v>
      </c>
      <c r="Y315" s="303">
        <v>18.8</v>
      </c>
      <c r="Z315" s="304">
        <v>3.6</v>
      </c>
      <c r="AA315" s="304">
        <v>3.6</v>
      </c>
      <c r="AB315" s="304">
        <v>3.6</v>
      </c>
      <c r="AC315" s="304">
        <v>0</v>
      </c>
      <c r="AD315" s="304">
        <v>3.6</v>
      </c>
      <c r="AE315" s="304">
        <v>3.6</v>
      </c>
      <c r="AF315" s="304">
        <v>3.6</v>
      </c>
      <c r="AG315" s="304">
        <v>3.6</v>
      </c>
      <c r="AH315" s="304">
        <v>3.6</v>
      </c>
      <c r="AI315" s="304">
        <v>3.6</v>
      </c>
      <c r="AJ315" s="304">
        <v>3.6</v>
      </c>
      <c r="AK315" s="304">
        <v>3.6</v>
      </c>
      <c r="AL315" s="255"/>
      <c r="AM315" s="254">
        <f t="shared" si="36"/>
        <v>0</v>
      </c>
      <c r="AN315" s="255"/>
      <c r="AO315" s="254">
        <f t="shared" si="37"/>
        <v>0</v>
      </c>
      <c r="AP315" s="255"/>
      <c r="AQ315" s="254">
        <f t="shared" si="38"/>
        <v>0</v>
      </c>
      <c r="AR315" s="255"/>
      <c r="AS315" s="257">
        <f t="shared" si="39"/>
        <v>0</v>
      </c>
      <c r="AT315" s="381"/>
      <c r="AU315" s="257">
        <f t="shared" si="40"/>
        <v>0</v>
      </c>
      <c r="AV315" s="388"/>
      <c r="AW315" s="257">
        <f t="shared" si="41"/>
        <v>0</v>
      </c>
      <c r="AX315" s="255"/>
      <c r="AY315" s="257">
        <f t="shared" si="42"/>
        <v>0</v>
      </c>
      <c r="AZ315" s="255"/>
      <c r="BA315" s="257">
        <f t="shared" si="43"/>
        <v>0</v>
      </c>
      <c r="BB315" s="255"/>
      <c r="BC315" s="257">
        <f t="shared" si="44"/>
        <v>0</v>
      </c>
      <c r="BD315" s="255"/>
      <c r="BE315" s="257">
        <f t="shared" si="45"/>
        <v>0</v>
      </c>
      <c r="BF315" s="255"/>
      <c r="BG315" s="257">
        <f t="shared" si="46"/>
        <v>0</v>
      </c>
      <c r="BH315" s="255"/>
      <c r="BI315" s="257">
        <f t="shared" si="47"/>
        <v>0</v>
      </c>
      <c r="BJ315" s="1" t="s">
        <v>727</v>
      </c>
      <c r="BL315" s="1" t="s">
        <v>457</v>
      </c>
      <c r="BM315" s="1" t="s">
        <v>728</v>
      </c>
    </row>
    <row r="316" spans="1:65" ht="18" customHeight="1">
      <c r="A316" s="250" t="s">
        <v>951</v>
      </c>
      <c r="B316" s="59" t="s">
        <v>221</v>
      </c>
      <c r="C316" s="354" t="s">
        <v>172</v>
      </c>
      <c r="D316" s="476"/>
      <c r="E316" s="359" t="s">
        <v>332</v>
      </c>
      <c r="F316" s="421"/>
      <c r="G316" s="317">
        <v>2023</v>
      </c>
      <c r="H316" s="336" t="s">
        <v>729</v>
      </c>
      <c r="I316" s="332" t="s">
        <v>249</v>
      </c>
      <c r="J316" s="337">
        <v>16</v>
      </c>
      <c r="K316" s="326" t="s">
        <v>720</v>
      </c>
      <c r="L316" s="341" t="s">
        <v>389</v>
      </c>
      <c r="M316" s="303" t="s">
        <v>654</v>
      </c>
      <c r="N316" s="303">
        <v>18.8</v>
      </c>
      <c r="O316" s="303">
        <v>18.8</v>
      </c>
      <c r="P316" s="303">
        <v>18.8</v>
      </c>
      <c r="Q316" s="303">
        <v>18.8</v>
      </c>
      <c r="R316" s="303">
        <v>18.8</v>
      </c>
      <c r="S316" s="303">
        <v>18.8</v>
      </c>
      <c r="T316" s="303">
        <v>18.8</v>
      </c>
      <c r="U316" s="303">
        <v>18.8</v>
      </c>
      <c r="V316" s="303">
        <v>18.8</v>
      </c>
      <c r="W316" s="303">
        <v>18.8</v>
      </c>
      <c r="X316" s="303">
        <v>18.8</v>
      </c>
      <c r="Y316" s="303">
        <v>18.8</v>
      </c>
      <c r="Z316" s="304">
        <v>3.6</v>
      </c>
      <c r="AA316" s="304">
        <v>3.6</v>
      </c>
      <c r="AB316" s="304">
        <v>3.6</v>
      </c>
      <c r="AC316" s="304">
        <v>0</v>
      </c>
      <c r="AD316" s="304">
        <v>3.6</v>
      </c>
      <c r="AE316" s="304">
        <v>3.6</v>
      </c>
      <c r="AF316" s="304">
        <v>3.6</v>
      </c>
      <c r="AG316" s="304">
        <v>3.6</v>
      </c>
      <c r="AH316" s="304">
        <v>3.6</v>
      </c>
      <c r="AI316" s="304">
        <v>3.6</v>
      </c>
      <c r="AJ316" s="304">
        <v>3.6</v>
      </c>
      <c r="AK316" s="304">
        <v>3.6</v>
      </c>
      <c r="AL316" s="255"/>
      <c r="AM316" s="254">
        <f t="shared" si="36"/>
        <v>0</v>
      </c>
      <c r="AN316" s="255"/>
      <c r="AO316" s="254">
        <f t="shared" si="37"/>
        <v>0</v>
      </c>
      <c r="AP316" s="274"/>
      <c r="AQ316" s="254">
        <f t="shared" si="38"/>
        <v>0</v>
      </c>
      <c r="AR316" s="256"/>
      <c r="AS316" s="257">
        <f t="shared" si="39"/>
        <v>0</v>
      </c>
      <c r="AT316" s="381"/>
      <c r="AU316" s="257">
        <f t="shared" si="40"/>
        <v>0</v>
      </c>
      <c r="AV316" s="389"/>
      <c r="AW316" s="257">
        <f t="shared" si="41"/>
        <v>0</v>
      </c>
      <c r="AX316" s="255"/>
      <c r="AY316" s="257">
        <f t="shared" si="42"/>
        <v>0</v>
      </c>
      <c r="AZ316" s="255"/>
      <c r="BA316" s="257">
        <f t="shared" si="43"/>
        <v>0</v>
      </c>
      <c r="BB316" s="274"/>
      <c r="BC316" s="257">
        <f t="shared" si="44"/>
        <v>0</v>
      </c>
      <c r="BD316" s="59"/>
      <c r="BE316" s="257">
        <f t="shared" si="45"/>
        <v>0</v>
      </c>
      <c r="BF316" s="59"/>
      <c r="BG316" s="257">
        <f t="shared" si="46"/>
        <v>0</v>
      </c>
      <c r="BH316" s="59"/>
      <c r="BI316" s="257">
        <f t="shared" si="47"/>
        <v>0</v>
      </c>
      <c r="BJ316" s="377" t="s">
        <v>730</v>
      </c>
      <c r="BL316" s="1" t="s">
        <v>457</v>
      </c>
      <c r="BM316" s="1" t="s">
        <v>731</v>
      </c>
    </row>
    <row r="317" spans="1:65" ht="18" customHeight="1">
      <c r="A317" s="250" t="s">
        <v>951</v>
      </c>
      <c r="B317" s="59" t="s">
        <v>221</v>
      </c>
      <c r="C317" s="354" t="s">
        <v>172</v>
      </c>
      <c r="D317" s="476"/>
      <c r="E317" s="359" t="s">
        <v>332</v>
      </c>
      <c r="F317" s="421"/>
      <c r="G317" s="317">
        <v>2023</v>
      </c>
      <c r="H317" s="336" t="s">
        <v>729</v>
      </c>
      <c r="I317" s="332" t="s">
        <v>249</v>
      </c>
      <c r="J317" s="337">
        <v>16</v>
      </c>
      <c r="K317" s="59" t="s">
        <v>732</v>
      </c>
      <c r="L317" s="341" t="s">
        <v>389</v>
      </c>
      <c r="M317" s="303" t="s">
        <v>654</v>
      </c>
      <c r="N317" s="303">
        <v>18.8</v>
      </c>
      <c r="O317" s="303">
        <v>18.8</v>
      </c>
      <c r="P317" s="303">
        <v>18.8</v>
      </c>
      <c r="Q317" s="303">
        <v>18.8</v>
      </c>
      <c r="R317" s="303">
        <v>18.8</v>
      </c>
      <c r="S317" s="303">
        <v>18.8</v>
      </c>
      <c r="T317" s="303">
        <v>18.8</v>
      </c>
      <c r="U317" s="303">
        <v>18.8</v>
      </c>
      <c r="V317" s="303">
        <v>18.8</v>
      </c>
      <c r="W317" s="303">
        <v>18.8</v>
      </c>
      <c r="X317" s="303">
        <v>18.8</v>
      </c>
      <c r="Y317" s="303">
        <v>18.8</v>
      </c>
      <c r="Z317" s="304">
        <v>3.6</v>
      </c>
      <c r="AA317" s="304">
        <v>3.6</v>
      </c>
      <c r="AB317" s="304">
        <v>3.6</v>
      </c>
      <c r="AC317" s="304">
        <v>0</v>
      </c>
      <c r="AD317" s="304">
        <v>3.6</v>
      </c>
      <c r="AE317" s="304">
        <v>3.6</v>
      </c>
      <c r="AF317" s="304">
        <v>3.6</v>
      </c>
      <c r="AG317" s="304">
        <v>3.6</v>
      </c>
      <c r="AH317" s="304">
        <v>3.6</v>
      </c>
      <c r="AI317" s="304">
        <v>3.6</v>
      </c>
      <c r="AJ317" s="304">
        <v>3.6</v>
      </c>
      <c r="AK317" s="304">
        <v>3.6</v>
      </c>
      <c r="AL317" s="255">
        <v>40</v>
      </c>
      <c r="AM317" s="254">
        <f t="shared" si="36"/>
        <v>144</v>
      </c>
      <c r="AN317" s="255"/>
      <c r="AO317" s="254">
        <f t="shared" si="37"/>
        <v>0</v>
      </c>
      <c r="AP317" s="274"/>
      <c r="AQ317" s="254">
        <f t="shared" si="38"/>
        <v>0</v>
      </c>
      <c r="AR317" s="256"/>
      <c r="AS317" s="257">
        <f t="shared" si="39"/>
        <v>0</v>
      </c>
      <c r="AT317" s="381"/>
      <c r="AU317" s="257">
        <f t="shared" si="40"/>
        <v>0</v>
      </c>
      <c r="AV317" s="389"/>
      <c r="AW317" s="257">
        <f t="shared" si="41"/>
        <v>0</v>
      </c>
      <c r="AX317" s="255"/>
      <c r="AY317" s="257">
        <f t="shared" si="42"/>
        <v>0</v>
      </c>
      <c r="AZ317" s="255"/>
      <c r="BA317" s="257">
        <f t="shared" si="43"/>
        <v>0</v>
      </c>
      <c r="BB317" s="274"/>
      <c r="BC317" s="257">
        <f t="shared" si="44"/>
        <v>0</v>
      </c>
      <c r="BD317" s="59"/>
      <c r="BE317" s="257">
        <f t="shared" si="45"/>
        <v>0</v>
      </c>
      <c r="BF317" s="59"/>
      <c r="BG317" s="257">
        <f t="shared" si="46"/>
        <v>0</v>
      </c>
      <c r="BH317" s="59"/>
      <c r="BI317" s="257">
        <f t="shared" si="47"/>
        <v>0</v>
      </c>
      <c r="BJ317" s="377" t="s">
        <v>733</v>
      </c>
      <c r="BL317" s="1" t="s">
        <v>457</v>
      </c>
      <c r="BM317" s="1" t="s">
        <v>734</v>
      </c>
    </row>
    <row r="318" spans="1:65" ht="18" customHeight="1">
      <c r="A318" s="250" t="s">
        <v>951</v>
      </c>
      <c r="B318" s="59" t="s">
        <v>221</v>
      </c>
      <c r="C318" s="354" t="s">
        <v>172</v>
      </c>
      <c r="D318" s="476"/>
      <c r="E318" s="359" t="s">
        <v>332</v>
      </c>
      <c r="F318" s="421"/>
      <c r="G318" s="317">
        <v>2024</v>
      </c>
      <c r="H318" s="336" t="s">
        <v>735</v>
      </c>
      <c r="I318" s="332" t="s">
        <v>249</v>
      </c>
      <c r="J318" s="337">
        <v>14</v>
      </c>
      <c r="K318" s="326" t="s">
        <v>720</v>
      </c>
      <c r="L318" s="323" t="s">
        <v>344</v>
      </c>
      <c r="M318" s="303" t="s">
        <v>541</v>
      </c>
      <c r="N318" s="303">
        <v>21.85</v>
      </c>
      <c r="O318" s="303">
        <v>21.85</v>
      </c>
      <c r="P318" s="303">
        <v>21.85</v>
      </c>
      <c r="Q318" s="303">
        <v>21.85</v>
      </c>
      <c r="R318" s="303">
        <v>21.85</v>
      </c>
      <c r="S318" s="303">
        <v>21.85</v>
      </c>
      <c r="T318" s="303">
        <v>21.85</v>
      </c>
      <c r="U318" s="303">
        <v>21.85</v>
      </c>
      <c r="V318" s="303">
        <v>21.85</v>
      </c>
      <c r="W318" s="303">
        <v>21.85</v>
      </c>
      <c r="X318" s="303">
        <v>21.85</v>
      </c>
      <c r="Y318" s="303">
        <v>21.85</v>
      </c>
      <c r="Z318" s="304">
        <v>2.25</v>
      </c>
      <c r="AA318" s="304">
        <v>2.25</v>
      </c>
      <c r="AB318" s="304">
        <v>2.25</v>
      </c>
      <c r="AC318" s="304">
        <v>0</v>
      </c>
      <c r="AD318" s="304">
        <v>2.25</v>
      </c>
      <c r="AE318" s="304">
        <v>2.25</v>
      </c>
      <c r="AF318" s="304">
        <v>2.25</v>
      </c>
      <c r="AG318" s="304">
        <v>2.25</v>
      </c>
      <c r="AH318" s="304">
        <v>2.25</v>
      </c>
      <c r="AI318" s="304">
        <v>2.25</v>
      </c>
      <c r="AJ318" s="304">
        <v>2.25</v>
      </c>
      <c r="AK318" s="304">
        <v>2.25</v>
      </c>
      <c r="AL318" s="255">
        <v>120</v>
      </c>
      <c r="AM318" s="254">
        <f t="shared" si="36"/>
        <v>270</v>
      </c>
      <c r="AN318" s="255"/>
      <c r="AO318" s="254">
        <f t="shared" si="37"/>
        <v>0</v>
      </c>
      <c r="AP318" s="255">
        <v>40</v>
      </c>
      <c r="AQ318" s="254">
        <f t="shared" si="38"/>
        <v>90</v>
      </c>
      <c r="AR318" s="255">
        <v>40</v>
      </c>
      <c r="AS318" s="257">
        <f t="shared" si="39"/>
        <v>0</v>
      </c>
      <c r="AT318" s="381"/>
      <c r="AU318" s="257">
        <f t="shared" si="40"/>
        <v>0</v>
      </c>
      <c r="AV318" s="388"/>
      <c r="AW318" s="257">
        <f t="shared" si="41"/>
        <v>0</v>
      </c>
      <c r="AX318" s="255"/>
      <c r="AY318" s="257">
        <f t="shared" si="42"/>
        <v>0</v>
      </c>
      <c r="AZ318" s="255"/>
      <c r="BA318" s="257">
        <f t="shared" si="43"/>
        <v>0</v>
      </c>
      <c r="BB318" s="255"/>
      <c r="BC318" s="257">
        <f t="shared" si="44"/>
        <v>0</v>
      </c>
      <c r="BD318" s="255"/>
      <c r="BE318" s="257">
        <f t="shared" si="45"/>
        <v>0</v>
      </c>
      <c r="BF318" s="255"/>
      <c r="BG318" s="257">
        <f t="shared" si="46"/>
        <v>0</v>
      </c>
      <c r="BH318" s="255"/>
      <c r="BI318" s="257">
        <f t="shared" si="47"/>
        <v>0</v>
      </c>
      <c r="BJ318" s="377" t="s">
        <v>736</v>
      </c>
      <c r="BL318" s="1" t="s">
        <v>457</v>
      </c>
      <c r="BM318" s="1" t="s">
        <v>737</v>
      </c>
    </row>
    <row r="319" spans="1:65" ht="18" customHeight="1">
      <c r="A319" s="250" t="s">
        <v>951</v>
      </c>
      <c r="B319" s="59" t="s">
        <v>221</v>
      </c>
      <c r="C319" s="354" t="s">
        <v>172</v>
      </c>
      <c r="D319" s="476"/>
      <c r="E319" s="359" t="s">
        <v>332</v>
      </c>
      <c r="F319" s="421"/>
      <c r="G319" s="317">
        <v>2024</v>
      </c>
      <c r="H319" s="336" t="s">
        <v>735</v>
      </c>
      <c r="I319" s="332" t="s">
        <v>249</v>
      </c>
      <c r="J319" s="337">
        <v>14</v>
      </c>
      <c r="K319" s="326" t="s">
        <v>732</v>
      </c>
      <c r="L319" s="323" t="s">
        <v>344</v>
      </c>
      <c r="M319" s="303" t="s">
        <v>541</v>
      </c>
      <c r="N319" s="303">
        <v>21.85</v>
      </c>
      <c r="O319" s="303">
        <v>21.85</v>
      </c>
      <c r="P319" s="303">
        <v>21.85</v>
      </c>
      <c r="Q319" s="303">
        <v>21.85</v>
      </c>
      <c r="R319" s="303">
        <v>21.85</v>
      </c>
      <c r="S319" s="303">
        <v>21.85</v>
      </c>
      <c r="T319" s="303">
        <v>21.85</v>
      </c>
      <c r="U319" s="303">
        <v>21.85</v>
      </c>
      <c r="V319" s="303">
        <v>21.85</v>
      </c>
      <c r="W319" s="303">
        <v>21.85</v>
      </c>
      <c r="X319" s="303">
        <v>21.85</v>
      </c>
      <c r="Y319" s="303">
        <v>21.85</v>
      </c>
      <c r="Z319" s="304">
        <v>2.25</v>
      </c>
      <c r="AA319" s="304">
        <v>2.25</v>
      </c>
      <c r="AB319" s="304">
        <v>2.25</v>
      </c>
      <c r="AC319" s="304">
        <v>0</v>
      </c>
      <c r="AD319" s="304">
        <v>2.25</v>
      </c>
      <c r="AE319" s="304">
        <v>2.25</v>
      </c>
      <c r="AF319" s="304">
        <v>2.25</v>
      </c>
      <c r="AG319" s="304">
        <v>2.25</v>
      </c>
      <c r="AH319" s="304">
        <v>2.25</v>
      </c>
      <c r="AI319" s="304">
        <v>2.25</v>
      </c>
      <c r="AJ319" s="304">
        <v>2.25</v>
      </c>
      <c r="AK319" s="304">
        <v>2.25</v>
      </c>
      <c r="AL319" s="255"/>
      <c r="AM319" s="254">
        <f t="shared" si="36"/>
        <v>0</v>
      </c>
      <c r="AN319" s="255"/>
      <c r="AO319" s="254">
        <f t="shared" si="37"/>
        <v>0</v>
      </c>
      <c r="AP319" s="255"/>
      <c r="AQ319" s="254">
        <f t="shared" si="38"/>
        <v>0</v>
      </c>
      <c r="AR319" s="255"/>
      <c r="AS319" s="257">
        <f t="shared" si="39"/>
        <v>0</v>
      </c>
      <c r="AT319" s="381"/>
      <c r="AU319" s="257">
        <f t="shared" si="40"/>
        <v>0</v>
      </c>
      <c r="AV319" s="388"/>
      <c r="AW319" s="257">
        <f t="shared" si="41"/>
        <v>0</v>
      </c>
      <c r="AX319" s="255"/>
      <c r="AY319" s="257">
        <f t="shared" si="42"/>
        <v>0</v>
      </c>
      <c r="AZ319" s="255"/>
      <c r="BA319" s="257">
        <f t="shared" si="43"/>
        <v>0</v>
      </c>
      <c r="BB319" s="268"/>
      <c r="BC319" s="257">
        <f t="shared" si="44"/>
        <v>0</v>
      </c>
      <c r="BD319" s="256"/>
      <c r="BE319" s="257">
        <f t="shared" si="45"/>
        <v>0</v>
      </c>
      <c r="BF319" s="256"/>
      <c r="BG319" s="257">
        <f t="shared" si="46"/>
        <v>0</v>
      </c>
      <c r="BH319" s="256"/>
      <c r="BI319" s="257">
        <f t="shared" si="47"/>
        <v>0</v>
      </c>
      <c r="BJ319" s="377" t="s">
        <v>738</v>
      </c>
      <c r="BL319" s="1" t="s">
        <v>457</v>
      </c>
      <c r="BM319" s="1" t="s">
        <v>739</v>
      </c>
    </row>
    <row r="320" spans="1:65" ht="18" customHeight="1">
      <c r="A320" s="250" t="s">
        <v>951</v>
      </c>
      <c r="B320" s="59" t="s">
        <v>221</v>
      </c>
      <c r="C320" s="354" t="s">
        <v>172</v>
      </c>
      <c r="D320" s="476"/>
      <c r="E320" s="359" t="s">
        <v>332</v>
      </c>
      <c r="F320" s="421"/>
      <c r="G320" s="317">
        <v>2024</v>
      </c>
      <c r="H320" s="336" t="s">
        <v>735</v>
      </c>
      <c r="I320" s="332" t="s">
        <v>249</v>
      </c>
      <c r="J320" s="337">
        <v>14</v>
      </c>
      <c r="K320" s="336" t="s">
        <v>740</v>
      </c>
      <c r="L320" s="323" t="s">
        <v>344</v>
      </c>
      <c r="M320" s="303" t="s">
        <v>541</v>
      </c>
      <c r="N320" s="303">
        <v>53.5</v>
      </c>
      <c r="O320" s="303">
        <v>53.5</v>
      </c>
      <c r="P320" s="303">
        <v>53.5</v>
      </c>
      <c r="Q320" s="303">
        <v>53.5</v>
      </c>
      <c r="R320" s="303">
        <v>53.5</v>
      </c>
      <c r="S320" s="303">
        <v>53.5</v>
      </c>
      <c r="T320" s="303">
        <v>53.5</v>
      </c>
      <c r="U320" s="303">
        <v>53.5</v>
      </c>
      <c r="V320" s="303">
        <v>53.5</v>
      </c>
      <c r="W320" s="303">
        <v>53.5</v>
      </c>
      <c r="X320" s="303">
        <v>53.5</v>
      </c>
      <c r="Y320" s="303">
        <v>53.5</v>
      </c>
      <c r="Z320" s="59">
        <v>1.5</v>
      </c>
      <c r="AA320" s="59">
        <v>1.5</v>
      </c>
      <c r="AB320" s="59">
        <v>1.5</v>
      </c>
      <c r="AC320" s="304">
        <v>0</v>
      </c>
      <c r="AD320" s="59">
        <v>1.5</v>
      </c>
      <c r="AE320" s="59">
        <v>1.5</v>
      </c>
      <c r="AF320" s="59">
        <v>1.5</v>
      </c>
      <c r="AG320" s="59">
        <v>1.5</v>
      </c>
      <c r="AH320" s="59">
        <v>1.5</v>
      </c>
      <c r="AI320" s="59">
        <v>1.5</v>
      </c>
      <c r="AJ320" s="59">
        <v>1.5</v>
      </c>
      <c r="AK320" s="59">
        <v>1.5</v>
      </c>
      <c r="AL320" s="255"/>
      <c r="AM320" s="254">
        <f t="shared" si="36"/>
        <v>0</v>
      </c>
      <c r="AN320" s="255"/>
      <c r="AO320" s="254">
        <f t="shared" si="37"/>
        <v>0</v>
      </c>
      <c r="AP320" s="255"/>
      <c r="AQ320" s="254">
        <f t="shared" si="38"/>
        <v>0</v>
      </c>
      <c r="AR320" s="255"/>
      <c r="AS320" s="257">
        <f t="shared" si="39"/>
        <v>0</v>
      </c>
      <c r="AT320" s="381"/>
      <c r="AU320" s="257">
        <f t="shared" si="40"/>
        <v>0</v>
      </c>
      <c r="AV320" s="388"/>
      <c r="AW320" s="257">
        <f t="shared" si="41"/>
        <v>0</v>
      </c>
      <c r="AX320" s="255"/>
      <c r="AY320" s="257">
        <f t="shared" si="42"/>
        <v>0</v>
      </c>
      <c r="AZ320" s="255"/>
      <c r="BA320" s="257">
        <f t="shared" si="43"/>
        <v>0</v>
      </c>
      <c r="BB320" s="268"/>
      <c r="BC320" s="257">
        <f t="shared" si="44"/>
        <v>0</v>
      </c>
      <c r="BD320" s="256"/>
      <c r="BE320" s="257">
        <f t="shared" si="45"/>
        <v>0</v>
      </c>
      <c r="BF320" s="256"/>
      <c r="BG320" s="257">
        <f t="shared" si="46"/>
        <v>0</v>
      </c>
      <c r="BH320" s="256"/>
      <c r="BI320" s="257">
        <f t="shared" si="47"/>
        <v>0</v>
      </c>
      <c r="BJ320" s="377" t="s">
        <v>741</v>
      </c>
      <c r="BL320" s="1" t="s">
        <v>457</v>
      </c>
      <c r="BM320" s="1" t="s">
        <v>742</v>
      </c>
    </row>
    <row r="321" spans="1:65" ht="18" customHeight="1">
      <c r="A321" s="250" t="s">
        <v>951</v>
      </c>
      <c r="B321" s="59" t="s">
        <v>221</v>
      </c>
      <c r="C321" s="354" t="s">
        <v>172</v>
      </c>
      <c r="D321" s="476"/>
      <c r="E321" s="359" t="s">
        <v>332</v>
      </c>
      <c r="F321" s="421"/>
      <c r="G321" s="317">
        <v>2024</v>
      </c>
      <c r="H321" s="336" t="s">
        <v>735</v>
      </c>
      <c r="I321" s="332" t="s">
        <v>249</v>
      </c>
      <c r="J321" s="337">
        <v>14</v>
      </c>
      <c r="K321" s="336" t="s">
        <v>743</v>
      </c>
      <c r="L321" s="323" t="s">
        <v>344</v>
      </c>
      <c r="M321" s="303" t="s">
        <v>541</v>
      </c>
      <c r="N321" s="303">
        <v>53.5</v>
      </c>
      <c r="O321" s="303">
        <v>53.5</v>
      </c>
      <c r="P321" s="303">
        <v>53.5</v>
      </c>
      <c r="Q321" s="303">
        <v>53.5</v>
      </c>
      <c r="R321" s="303">
        <v>53.5</v>
      </c>
      <c r="S321" s="303">
        <v>53.5</v>
      </c>
      <c r="T321" s="303">
        <v>53.5</v>
      </c>
      <c r="U321" s="303">
        <v>53.5</v>
      </c>
      <c r="V321" s="303">
        <v>53.5</v>
      </c>
      <c r="W321" s="303">
        <v>53.5</v>
      </c>
      <c r="X321" s="303">
        <v>53.5</v>
      </c>
      <c r="Y321" s="303">
        <v>53.5</v>
      </c>
      <c r="Z321" s="59">
        <v>1.5</v>
      </c>
      <c r="AA321" s="59">
        <v>1.5</v>
      </c>
      <c r="AB321" s="59">
        <v>1.5</v>
      </c>
      <c r="AC321" s="304">
        <v>0</v>
      </c>
      <c r="AD321" s="59">
        <v>1.5</v>
      </c>
      <c r="AE321" s="59">
        <v>1.5</v>
      </c>
      <c r="AF321" s="59">
        <v>1.5</v>
      </c>
      <c r="AG321" s="59">
        <v>1.5</v>
      </c>
      <c r="AH321" s="59">
        <v>1.5</v>
      </c>
      <c r="AI321" s="59">
        <v>1.5</v>
      </c>
      <c r="AJ321" s="59">
        <v>1.5</v>
      </c>
      <c r="AK321" s="59">
        <v>1.5</v>
      </c>
      <c r="AL321" s="255"/>
      <c r="AM321" s="254">
        <f t="shared" si="36"/>
        <v>0</v>
      </c>
      <c r="AN321" s="255"/>
      <c r="AO321" s="254">
        <f t="shared" si="37"/>
        <v>0</v>
      </c>
      <c r="AP321" s="274"/>
      <c r="AQ321" s="254">
        <f t="shared" si="38"/>
        <v>0</v>
      </c>
      <c r="AR321" s="256"/>
      <c r="AS321" s="257">
        <f t="shared" si="39"/>
        <v>0</v>
      </c>
      <c r="AT321" s="381"/>
      <c r="AU321" s="257">
        <f t="shared" si="40"/>
        <v>0</v>
      </c>
      <c r="AV321" s="389"/>
      <c r="AW321" s="257">
        <f t="shared" si="41"/>
        <v>0</v>
      </c>
      <c r="AX321" s="255"/>
      <c r="AY321" s="257">
        <f t="shared" si="42"/>
        <v>0</v>
      </c>
      <c r="AZ321" s="255"/>
      <c r="BA321" s="257">
        <f t="shared" si="43"/>
        <v>0</v>
      </c>
      <c r="BB321" s="274"/>
      <c r="BC321" s="257">
        <f t="shared" si="44"/>
        <v>0</v>
      </c>
      <c r="BD321" s="59"/>
      <c r="BE321" s="257">
        <f t="shared" si="45"/>
        <v>0</v>
      </c>
      <c r="BF321" s="59"/>
      <c r="BG321" s="257">
        <f t="shared" si="46"/>
        <v>0</v>
      </c>
      <c r="BH321" s="59"/>
      <c r="BI321" s="257">
        <f t="shared" si="47"/>
        <v>0</v>
      </c>
      <c r="BJ321" s="377" t="s">
        <v>744</v>
      </c>
      <c r="BL321" s="1" t="s">
        <v>457</v>
      </c>
      <c r="BM321" s="1" t="s">
        <v>745</v>
      </c>
    </row>
    <row r="322" spans="1:65" ht="18" customHeight="1">
      <c r="A322" s="250" t="s">
        <v>951</v>
      </c>
      <c r="B322" s="59" t="s">
        <v>221</v>
      </c>
      <c r="C322" s="354" t="s">
        <v>172</v>
      </c>
      <c r="D322" s="476"/>
      <c r="E322" s="359" t="s">
        <v>332</v>
      </c>
      <c r="F322" s="421"/>
      <c r="G322" s="317">
        <v>2025</v>
      </c>
      <c r="H322" s="336" t="s">
        <v>746</v>
      </c>
      <c r="I322" s="332" t="s">
        <v>249</v>
      </c>
      <c r="J322" s="337">
        <v>14</v>
      </c>
      <c r="K322" s="326" t="s">
        <v>720</v>
      </c>
      <c r="L322" s="323" t="s">
        <v>344</v>
      </c>
      <c r="M322" s="303" t="s">
        <v>541</v>
      </c>
      <c r="N322" s="303">
        <v>21.85</v>
      </c>
      <c r="O322" s="303">
        <v>21.85</v>
      </c>
      <c r="P322" s="303">
        <v>21.85</v>
      </c>
      <c r="Q322" s="303">
        <v>21.85</v>
      </c>
      <c r="R322" s="303">
        <v>21.85</v>
      </c>
      <c r="S322" s="303">
        <v>21.85</v>
      </c>
      <c r="T322" s="303">
        <v>21.85</v>
      </c>
      <c r="U322" s="303">
        <v>21.85</v>
      </c>
      <c r="V322" s="303">
        <v>21.85</v>
      </c>
      <c r="W322" s="303">
        <v>21.85</v>
      </c>
      <c r="X322" s="303">
        <v>21.85</v>
      </c>
      <c r="Y322" s="303">
        <v>21.85</v>
      </c>
      <c r="Z322" s="304">
        <v>2.25</v>
      </c>
      <c r="AA322" s="304">
        <v>2.25</v>
      </c>
      <c r="AB322" s="304">
        <v>2.25</v>
      </c>
      <c r="AC322" s="304">
        <v>0</v>
      </c>
      <c r="AD322" s="304">
        <v>2.25</v>
      </c>
      <c r="AE322" s="304">
        <v>2.25</v>
      </c>
      <c r="AF322" s="304">
        <v>2.25</v>
      </c>
      <c r="AG322" s="304">
        <v>2.25</v>
      </c>
      <c r="AH322" s="304">
        <v>2.25</v>
      </c>
      <c r="AI322" s="304">
        <v>2.25</v>
      </c>
      <c r="AJ322" s="304">
        <v>2.25</v>
      </c>
      <c r="AK322" s="304">
        <v>2.25</v>
      </c>
      <c r="AL322" s="255">
        <v>3199</v>
      </c>
      <c r="AM322" s="254">
        <f t="shared" si="36"/>
        <v>7197.75</v>
      </c>
      <c r="AN322" s="255">
        <v>1400</v>
      </c>
      <c r="AO322" s="254">
        <f t="shared" si="37"/>
        <v>3150</v>
      </c>
      <c r="AP322" s="388">
        <v>1440</v>
      </c>
      <c r="AQ322" s="254">
        <f t="shared" si="38"/>
        <v>3240</v>
      </c>
      <c r="AR322" s="255">
        <v>1000</v>
      </c>
      <c r="AS322" s="257">
        <f t="shared" si="39"/>
        <v>0</v>
      </c>
      <c r="AT322" s="255">
        <v>1520</v>
      </c>
      <c r="AU322" s="257">
        <f t="shared" si="40"/>
        <v>3420</v>
      </c>
      <c r="AV322" s="255">
        <v>2000</v>
      </c>
      <c r="AW322" s="257">
        <f t="shared" si="41"/>
        <v>4500</v>
      </c>
      <c r="AX322" s="255">
        <v>2000</v>
      </c>
      <c r="AY322" s="257">
        <f t="shared" si="42"/>
        <v>4500</v>
      </c>
      <c r="AZ322" s="255">
        <v>2000</v>
      </c>
      <c r="BA322" s="257">
        <f t="shared" si="43"/>
        <v>4500</v>
      </c>
      <c r="BB322" s="255">
        <v>2000</v>
      </c>
      <c r="BC322" s="257">
        <f t="shared" si="44"/>
        <v>4500</v>
      </c>
      <c r="BD322" s="255">
        <v>2000</v>
      </c>
      <c r="BE322" s="257">
        <f t="shared" si="45"/>
        <v>4500</v>
      </c>
      <c r="BF322" s="255">
        <v>2000</v>
      </c>
      <c r="BG322" s="257">
        <f t="shared" si="46"/>
        <v>4500</v>
      </c>
      <c r="BH322" s="255">
        <v>2000</v>
      </c>
      <c r="BI322" s="257">
        <f t="shared" si="47"/>
        <v>4500</v>
      </c>
      <c r="BJ322" s="377" t="s">
        <v>747</v>
      </c>
      <c r="BL322" s="1" t="s">
        <v>457</v>
      </c>
      <c r="BM322" s="1" t="s">
        <v>748</v>
      </c>
    </row>
    <row r="323" spans="1:65" ht="18" customHeight="1">
      <c r="A323" s="250" t="s">
        <v>951</v>
      </c>
      <c r="B323" s="59" t="s">
        <v>221</v>
      </c>
      <c r="C323" s="354" t="s">
        <v>172</v>
      </c>
      <c r="D323" s="476"/>
      <c r="E323" s="359" t="s">
        <v>332</v>
      </c>
      <c r="F323" s="421"/>
      <c r="G323" s="317">
        <v>2025</v>
      </c>
      <c r="H323" s="336" t="s">
        <v>746</v>
      </c>
      <c r="I323" s="332" t="s">
        <v>249</v>
      </c>
      <c r="J323" s="337">
        <v>14</v>
      </c>
      <c r="K323" s="326" t="s">
        <v>732</v>
      </c>
      <c r="L323" s="323" t="s">
        <v>344</v>
      </c>
      <c r="M323" s="303" t="s">
        <v>541</v>
      </c>
      <c r="N323" s="303">
        <v>21.85</v>
      </c>
      <c r="O323" s="303">
        <v>21.85</v>
      </c>
      <c r="P323" s="303">
        <v>21.85</v>
      </c>
      <c r="Q323" s="303">
        <v>21.85</v>
      </c>
      <c r="R323" s="303">
        <v>21.85</v>
      </c>
      <c r="S323" s="303">
        <v>21.85</v>
      </c>
      <c r="T323" s="303">
        <v>21.85</v>
      </c>
      <c r="U323" s="303">
        <v>21.85</v>
      </c>
      <c r="V323" s="303">
        <v>21.85</v>
      </c>
      <c r="W323" s="303">
        <v>21.85</v>
      </c>
      <c r="X323" s="303">
        <v>21.85</v>
      </c>
      <c r="Y323" s="303">
        <v>21.85</v>
      </c>
      <c r="Z323" s="304">
        <v>2.25</v>
      </c>
      <c r="AA323" s="304">
        <v>2.25</v>
      </c>
      <c r="AB323" s="304">
        <v>2.25</v>
      </c>
      <c r="AC323" s="304">
        <v>0</v>
      </c>
      <c r="AD323" s="304">
        <v>2.25</v>
      </c>
      <c r="AE323" s="304">
        <v>2.25</v>
      </c>
      <c r="AF323" s="304">
        <v>2.25</v>
      </c>
      <c r="AG323" s="304">
        <v>2.25</v>
      </c>
      <c r="AH323" s="304">
        <v>2.25</v>
      </c>
      <c r="AI323" s="304">
        <v>2.25</v>
      </c>
      <c r="AJ323" s="304">
        <v>2.25</v>
      </c>
      <c r="AK323" s="304">
        <v>2.25</v>
      </c>
      <c r="AL323" s="255">
        <v>360</v>
      </c>
      <c r="AM323" s="254">
        <f t="shared" si="36"/>
        <v>810</v>
      </c>
      <c r="AN323" s="255">
        <v>115</v>
      </c>
      <c r="AO323" s="254">
        <f t="shared" si="37"/>
        <v>258.75</v>
      </c>
      <c r="AP323" s="389">
        <v>280</v>
      </c>
      <c r="AQ323" s="254">
        <f t="shared" si="38"/>
        <v>630</v>
      </c>
      <c r="AR323" s="256">
        <v>160</v>
      </c>
      <c r="AS323" s="257">
        <f t="shared" si="39"/>
        <v>0</v>
      </c>
      <c r="AT323" s="381">
        <v>80</v>
      </c>
      <c r="AU323" s="257">
        <f t="shared" si="40"/>
        <v>180</v>
      </c>
      <c r="AV323" s="389"/>
      <c r="AW323" s="257">
        <f t="shared" si="41"/>
        <v>0</v>
      </c>
      <c r="AX323" s="255"/>
      <c r="AY323" s="257">
        <f t="shared" si="42"/>
        <v>0</v>
      </c>
      <c r="AZ323" s="255"/>
      <c r="BA323" s="257">
        <f t="shared" si="43"/>
        <v>0</v>
      </c>
      <c r="BB323" s="271"/>
      <c r="BC323" s="257">
        <f t="shared" si="44"/>
        <v>0</v>
      </c>
      <c r="BD323" s="256"/>
      <c r="BE323" s="257">
        <f t="shared" si="45"/>
        <v>0</v>
      </c>
      <c r="BF323" s="59"/>
      <c r="BG323" s="257">
        <f t="shared" si="46"/>
        <v>0</v>
      </c>
      <c r="BH323" s="59"/>
      <c r="BI323" s="257">
        <f t="shared" si="47"/>
        <v>0</v>
      </c>
      <c r="BJ323" s="377" t="s">
        <v>749</v>
      </c>
      <c r="BL323" s="1" t="s">
        <v>457</v>
      </c>
      <c r="BM323" s="1" t="s">
        <v>750</v>
      </c>
    </row>
    <row r="324" spans="1:65" ht="18" customHeight="1">
      <c r="A324" s="250" t="s">
        <v>951</v>
      </c>
      <c r="B324" s="59" t="s">
        <v>221</v>
      </c>
      <c r="C324" s="354" t="s">
        <v>172</v>
      </c>
      <c r="D324" s="476"/>
      <c r="E324" s="359" t="s">
        <v>332</v>
      </c>
      <c r="F324" s="421"/>
      <c r="G324" s="317">
        <v>2025</v>
      </c>
      <c r="H324" s="336" t="s">
        <v>746</v>
      </c>
      <c r="I324" s="332" t="s">
        <v>249</v>
      </c>
      <c r="J324" s="337">
        <v>14</v>
      </c>
      <c r="K324" s="336" t="s">
        <v>740</v>
      </c>
      <c r="L324" s="323" t="s">
        <v>344</v>
      </c>
      <c r="M324" s="303" t="s">
        <v>541</v>
      </c>
      <c r="N324" s="303">
        <v>53.5</v>
      </c>
      <c r="O324" s="303">
        <v>53.5</v>
      </c>
      <c r="P324" s="303">
        <v>53.5</v>
      </c>
      <c r="Q324" s="303">
        <v>53.5</v>
      </c>
      <c r="R324" s="303">
        <v>53.5</v>
      </c>
      <c r="S324" s="303">
        <v>53.5</v>
      </c>
      <c r="T324" s="303">
        <v>53.5</v>
      </c>
      <c r="U324" s="303">
        <v>53.5</v>
      </c>
      <c r="V324" s="303">
        <v>53.5</v>
      </c>
      <c r="W324" s="303">
        <v>53.5</v>
      </c>
      <c r="X324" s="303">
        <v>53.5</v>
      </c>
      <c r="Y324" s="303">
        <v>53.5</v>
      </c>
      <c r="Z324" s="59">
        <v>1.5</v>
      </c>
      <c r="AA324" s="59">
        <v>1.5</v>
      </c>
      <c r="AB324" s="59">
        <v>1.5</v>
      </c>
      <c r="AC324" s="304">
        <v>0</v>
      </c>
      <c r="AD324" s="59">
        <v>1.5</v>
      </c>
      <c r="AE324" s="59">
        <v>1.5</v>
      </c>
      <c r="AF324" s="59">
        <v>1.5</v>
      </c>
      <c r="AG324" s="59">
        <v>1.5</v>
      </c>
      <c r="AH324" s="59">
        <v>1.5</v>
      </c>
      <c r="AI324" s="59">
        <v>1.5</v>
      </c>
      <c r="AJ324" s="59">
        <v>1.5</v>
      </c>
      <c r="AK324" s="59">
        <v>1.5</v>
      </c>
      <c r="AL324" s="255">
        <v>40</v>
      </c>
      <c r="AM324" s="254">
        <f t="shared" si="36"/>
        <v>60</v>
      </c>
      <c r="AN324" s="255">
        <v>40</v>
      </c>
      <c r="AO324" s="254">
        <f t="shared" si="37"/>
        <v>60</v>
      </c>
      <c r="AP324" s="388">
        <v>40</v>
      </c>
      <c r="AQ324" s="254">
        <f t="shared" si="38"/>
        <v>60</v>
      </c>
      <c r="AR324" s="255">
        <v>40</v>
      </c>
      <c r="AS324" s="257">
        <f t="shared" si="39"/>
        <v>0</v>
      </c>
      <c r="AT324" s="255"/>
      <c r="AU324" s="257">
        <f t="shared" si="40"/>
        <v>0</v>
      </c>
      <c r="AV324" s="255">
        <v>100</v>
      </c>
      <c r="AW324" s="257">
        <f t="shared" si="41"/>
        <v>150</v>
      </c>
      <c r="AX324" s="255">
        <v>100</v>
      </c>
      <c r="AY324" s="257">
        <f t="shared" si="42"/>
        <v>150</v>
      </c>
      <c r="AZ324" s="255">
        <v>100</v>
      </c>
      <c r="BA324" s="257">
        <f t="shared" si="43"/>
        <v>150</v>
      </c>
      <c r="BB324" s="255">
        <v>100</v>
      </c>
      <c r="BC324" s="257">
        <f t="shared" si="44"/>
        <v>150</v>
      </c>
      <c r="BD324" s="255">
        <v>100</v>
      </c>
      <c r="BE324" s="257">
        <f t="shared" si="45"/>
        <v>150</v>
      </c>
      <c r="BF324" s="255">
        <v>100</v>
      </c>
      <c r="BG324" s="257">
        <f t="shared" si="46"/>
        <v>150</v>
      </c>
      <c r="BH324" s="255">
        <v>100</v>
      </c>
      <c r="BI324" s="257">
        <f t="shared" si="47"/>
        <v>150</v>
      </c>
      <c r="BJ324" s="377" t="s">
        <v>751</v>
      </c>
      <c r="BL324" s="1" t="s">
        <v>457</v>
      </c>
      <c r="BM324" s="1" t="s">
        <v>752</v>
      </c>
    </row>
    <row r="325" spans="1:65" ht="18" customHeight="1">
      <c r="A325" s="250" t="s">
        <v>951</v>
      </c>
      <c r="B325" s="59" t="s">
        <v>221</v>
      </c>
      <c r="C325" s="354" t="s">
        <v>172</v>
      </c>
      <c r="D325" s="476"/>
      <c r="E325" s="359" t="s">
        <v>332</v>
      </c>
      <c r="F325" s="421"/>
      <c r="G325" s="317">
        <v>2025</v>
      </c>
      <c r="H325" s="326" t="s">
        <v>753</v>
      </c>
      <c r="I325" s="332" t="s">
        <v>249</v>
      </c>
      <c r="J325" s="337">
        <v>16</v>
      </c>
      <c r="K325" s="336" t="s">
        <v>726</v>
      </c>
      <c r="L325" s="323" t="s">
        <v>344</v>
      </c>
      <c r="M325" s="303" t="s">
        <v>474</v>
      </c>
      <c r="N325" s="303">
        <v>19.5</v>
      </c>
      <c r="O325" s="303">
        <v>19.5</v>
      </c>
      <c r="P325" s="303">
        <v>19.5</v>
      </c>
      <c r="Q325" s="303">
        <v>19.5</v>
      </c>
      <c r="R325" s="401">
        <v>20</v>
      </c>
      <c r="S325" s="401">
        <v>20</v>
      </c>
      <c r="T325" s="401">
        <v>20</v>
      </c>
      <c r="U325" s="401">
        <v>20</v>
      </c>
      <c r="V325" s="401">
        <v>20</v>
      </c>
      <c r="W325" s="401">
        <v>20</v>
      </c>
      <c r="X325" s="401">
        <v>20</v>
      </c>
      <c r="Y325" s="401">
        <v>20</v>
      </c>
      <c r="Z325" s="59">
        <v>1.5</v>
      </c>
      <c r="AA325" s="59">
        <v>1.5</v>
      </c>
      <c r="AB325" s="59">
        <v>1.5</v>
      </c>
      <c r="AC325" s="304">
        <v>0</v>
      </c>
      <c r="AD325" s="402">
        <v>1.3999999999999986</v>
      </c>
      <c r="AE325" s="402">
        <v>1.3999999999999986</v>
      </c>
      <c r="AF325" s="402">
        <v>1.3999999999999986</v>
      </c>
      <c r="AG325" s="402">
        <v>1.3999999999999986</v>
      </c>
      <c r="AH325" s="402">
        <v>1.3999999999999986</v>
      </c>
      <c r="AI325" s="402">
        <v>1.3999999999999986</v>
      </c>
      <c r="AJ325" s="402">
        <v>1.3999999999999986</v>
      </c>
      <c r="AK325" s="402">
        <v>1.3999999999999986</v>
      </c>
      <c r="AL325" s="255">
        <v>360</v>
      </c>
      <c r="AM325" s="254">
        <f t="shared" si="36"/>
        <v>540</v>
      </c>
      <c r="AN325" s="255">
        <v>600</v>
      </c>
      <c r="AO325" s="254">
        <f t="shared" si="37"/>
        <v>900</v>
      </c>
      <c r="AP325" s="255">
        <v>200</v>
      </c>
      <c r="AQ325" s="254">
        <f t="shared" si="38"/>
        <v>300</v>
      </c>
      <c r="AR325" s="255">
        <v>3200</v>
      </c>
      <c r="AS325" s="257">
        <f t="shared" si="39"/>
        <v>0</v>
      </c>
      <c r="AT325" s="381">
        <v>360</v>
      </c>
      <c r="AU325" s="257">
        <f t="shared" si="40"/>
        <v>503.99999999999949</v>
      </c>
      <c r="AV325" s="388">
        <v>1000</v>
      </c>
      <c r="AW325" s="257">
        <f t="shared" si="41"/>
        <v>1399.9999999999986</v>
      </c>
      <c r="AX325" s="388">
        <v>1000</v>
      </c>
      <c r="AY325" s="257">
        <f t="shared" si="42"/>
        <v>1399.9999999999986</v>
      </c>
      <c r="AZ325" s="255">
        <v>1200</v>
      </c>
      <c r="BA325" s="257">
        <f t="shared" si="43"/>
        <v>1679.9999999999982</v>
      </c>
      <c r="BB325" s="255">
        <v>1000</v>
      </c>
      <c r="BC325" s="257">
        <f t="shared" si="44"/>
        <v>1399.9999999999986</v>
      </c>
      <c r="BD325" s="255">
        <v>1000</v>
      </c>
      <c r="BE325" s="257">
        <f t="shared" si="45"/>
        <v>1399.9999999999986</v>
      </c>
      <c r="BF325" s="255">
        <v>1500</v>
      </c>
      <c r="BG325" s="257">
        <f t="shared" si="46"/>
        <v>2099.9999999999977</v>
      </c>
      <c r="BH325" s="255">
        <v>1000</v>
      </c>
      <c r="BI325" s="257">
        <f t="shared" si="47"/>
        <v>1399.9999999999986</v>
      </c>
      <c r="BJ325" s="1" t="s">
        <v>754</v>
      </c>
      <c r="BL325" s="1" t="s">
        <v>457</v>
      </c>
      <c r="BM325" s="1" t="s">
        <v>755</v>
      </c>
    </row>
    <row r="326" spans="1:65" ht="18" customHeight="1">
      <c r="A326" s="250" t="s">
        <v>951</v>
      </c>
      <c r="B326" s="59" t="s">
        <v>221</v>
      </c>
      <c r="C326" s="354" t="s">
        <v>172</v>
      </c>
      <c r="D326" s="476"/>
      <c r="E326" s="359" t="s">
        <v>332</v>
      </c>
      <c r="F326" s="421"/>
      <c r="G326" s="317">
        <v>2025</v>
      </c>
      <c r="H326" s="326" t="s">
        <v>753</v>
      </c>
      <c r="I326" s="332" t="s">
        <v>249</v>
      </c>
      <c r="J326" s="337">
        <v>16</v>
      </c>
      <c r="K326" s="336" t="s">
        <v>756</v>
      </c>
      <c r="L326" s="323" t="s">
        <v>344</v>
      </c>
      <c r="M326" s="303" t="s">
        <v>474</v>
      </c>
      <c r="N326" s="303">
        <v>19.5</v>
      </c>
      <c r="O326" s="303">
        <v>19.5</v>
      </c>
      <c r="P326" s="303">
        <v>19.5</v>
      </c>
      <c r="Q326" s="303">
        <v>19.5</v>
      </c>
      <c r="R326" s="401">
        <v>20</v>
      </c>
      <c r="S326" s="401">
        <v>20</v>
      </c>
      <c r="T326" s="401">
        <v>20</v>
      </c>
      <c r="U326" s="401">
        <v>20</v>
      </c>
      <c r="V326" s="401">
        <v>20</v>
      </c>
      <c r="W326" s="401">
        <v>20</v>
      </c>
      <c r="X326" s="401">
        <v>20</v>
      </c>
      <c r="Y326" s="401">
        <v>20</v>
      </c>
      <c r="Z326" s="59">
        <v>1.5</v>
      </c>
      <c r="AA326" s="59">
        <v>1.5</v>
      </c>
      <c r="AB326" s="59">
        <v>1.5</v>
      </c>
      <c r="AC326" s="304">
        <v>0</v>
      </c>
      <c r="AD326" s="402">
        <v>1.3999999999999986</v>
      </c>
      <c r="AE326" s="402">
        <v>1.3999999999999986</v>
      </c>
      <c r="AF326" s="402">
        <v>1.3999999999999986</v>
      </c>
      <c r="AG326" s="402">
        <v>1.3999999999999986</v>
      </c>
      <c r="AH326" s="402">
        <v>1.3999999999999986</v>
      </c>
      <c r="AI326" s="402">
        <v>1.3999999999999986</v>
      </c>
      <c r="AJ326" s="402">
        <v>1.3999999999999986</v>
      </c>
      <c r="AK326" s="402">
        <v>1.3999999999999986</v>
      </c>
      <c r="AL326" s="255"/>
      <c r="AM326" s="254">
        <f t="shared" si="36"/>
        <v>0</v>
      </c>
      <c r="AN326" s="255">
        <v>40</v>
      </c>
      <c r="AO326" s="254">
        <f t="shared" si="37"/>
        <v>60</v>
      </c>
      <c r="AP326" s="255">
        <v>40</v>
      </c>
      <c r="AQ326" s="254">
        <f t="shared" si="38"/>
        <v>60</v>
      </c>
      <c r="AR326" s="255">
        <v>0</v>
      </c>
      <c r="AS326" s="257">
        <f t="shared" si="39"/>
        <v>0</v>
      </c>
      <c r="AT326" s="255"/>
      <c r="AU326" s="257">
        <f t="shared" si="40"/>
        <v>0</v>
      </c>
      <c r="AV326" s="255">
        <v>100</v>
      </c>
      <c r="AW326" s="257">
        <f t="shared" si="41"/>
        <v>139.99999999999986</v>
      </c>
      <c r="AX326" s="255">
        <v>100</v>
      </c>
      <c r="AY326" s="257">
        <f t="shared" si="42"/>
        <v>139.99999999999986</v>
      </c>
      <c r="AZ326" s="255">
        <v>100</v>
      </c>
      <c r="BA326" s="257">
        <f t="shared" si="43"/>
        <v>139.99999999999986</v>
      </c>
      <c r="BB326" s="255">
        <v>100</v>
      </c>
      <c r="BC326" s="257">
        <f t="shared" si="44"/>
        <v>139.99999999999986</v>
      </c>
      <c r="BD326" s="255">
        <v>100</v>
      </c>
      <c r="BE326" s="257">
        <f t="shared" si="45"/>
        <v>139.99999999999986</v>
      </c>
      <c r="BF326" s="255">
        <v>100</v>
      </c>
      <c r="BG326" s="257">
        <f t="shared" si="46"/>
        <v>139.99999999999986</v>
      </c>
      <c r="BH326" s="255">
        <v>100</v>
      </c>
      <c r="BI326" s="257">
        <f t="shared" si="47"/>
        <v>139.99999999999986</v>
      </c>
      <c r="BJ326" s="1" t="s">
        <v>757</v>
      </c>
      <c r="BL326" s="1" t="s">
        <v>457</v>
      </c>
      <c r="BM326" s="1" t="s">
        <v>758</v>
      </c>
    </row>
    <row r="327" spans="1:65" ht="18" customHeight="1">
      <c r="A327" s="250" t="s">
        <v>951</v>
      </c>
      <c r="B327" s="59" t="s">
        <v>221</v>
      </c>
      <c r="C327" s="354" t="s">
        <v>172</v>
      </c>
      <c r="D327" s="476"/>
      <c r="E327" s="359" t="s">
        <v>332</v>
      </c>
      <c r="F327" s="421"/>
      <c r="G327" s="317">
        <v>2025</v>
      </c>
      <c r="H327" s="326" t="s">
        <v>753</v>
      </c>
      <c r="I327" s="332" t="s">
        <v>249</v>
      </c>
      <c r="J327" s="337">
        <v>16</v>
      </c>
      <c r="K327" s="336" t="s">
        <v>759</v>
      </c>
      <c r="L327" s="323" t="s">
        <v>344</v>
      </c>
      <c r="M327" s="303" t="s">
        <v>474</v>
      </c>
      <c r="N327" s="303">
        <v>49</v>
      </c>
      <c r="O327" s="303">
        <v>49</v>
      </c>
      <c r="P327" s="303">
        <v>49</v>
      </c>
      <c r="Q327" s="303">
        <v>49</v>
      </c>
      <c r="R327" s="401">
        <v>49.5</v>
      </c>
      <c r="S327" s="401">
        <v>49.5</v>
      </c>
      <c r="T327" s="401">
        <v>49.5</v>
      </c>
      <c r="U327" s="401">
        <v>49.5</v>
      </c>
      <c r="V327" s="401">
        <v>49.5</v>
      </c>
      <c r="W327" s="401">
        <v>49.5</v>
      </c>
      <c r="X327" s="401">
        <v>49.5</v>
      </c>
      <c r="Y327" s="401">
        <v>49.5</v>
      </c>
      <c r="Z327" s="59">
        <v>4</v>
      </c>
      <c r="AA327" s="59">
        <v>4</v>
      </c>
      <c r="AB327" s="59">
        <v>4</v>
      </c>
      <c r="AC327" s="304">
        <v>0</v>
      </c>
      <c r="AD327" s="402">
        <v>3.8999999999999986</v>
      </c>
      <c r="AE327" s="402">
        <v>3.8999999999999986</v>
      </c>
      <c r="AF327" s="402">
        <v>3.8999999999999986</v>
      </c>
      <c r="AG327" s="402">
        <v>3.8999999999999986</v>
      </c>
      <c r="AH327" s="402">
        <v>3.8999999999999986</v>
      </c>
      <c r="AI327" s="402">
        <v>3.8999999999999986</v>
      </c>
      <c r="AJ327" s="402">
        <v>3.8999999999999986</v>
      </c>
      <c r="AK327" s="402">
        <v>3.8999999999999986</v>
      </c>
      <c r="AL327" s="255">
        <v>4578</v>
      </c>
      <c r="AM327" s="254">
        <f t="shared" si="36"/>
        <v>18312</v>
      </c>
      <c r="AN327" s="255">
        <v>6238</v>
      </c>
      <c r="AO327" s="254">
        <f t="shared" si="37"/>
        <v>24952</v>
      </c>
      <c r="AP327" s="255">
        <v>3720</v>
      </c>
      <c r="AQ327" s="254">
        <f t="shared" si="38"/>
        <v>14880</v>
      </c>
      <c r="AR327" s="255">
        <v>1752</v>
      </c>
      <c r="AS327" s="257">
        <f t="shared" si="39"/>
        <v>0</v>
      </c>
      <c r="AT327" s="381">
        <v>2520</v>
      </c>
      <c r="AU327" s="257">
        <f t="shared" si="40"/>
        <v>9827.9999999999964</v>
      </c>
      <c r="AV327" s="388">
        <v>8000</v>
      </c>
      <c r="AW327" s="257">
        <f t="shared" si="41"/>
        <v>31199.999999999989</v>
      </c>
      <c r="AX327" s="255">
        <v>8000</v>
      </c>
      <c r="AY327" s="257">
        <f t="shared" si="42"/>
        <v>31199.999999999989</v>
      </c>
      <c r="AZ327" s="255">
        <v>10000</v>
      </c>
      <c r="BA327" s="257">
        <f t="shared" si="43"/>
        <v>38999.999999999985</v>
      </c>
      <c r="BB327" s="268">
        <v>8000</v>
      </c>
      <c r="BC327" s="257">
        <f t="shared" si="44"/>
        <v>31199.999999999989</v>
      </c>
      <c r="BD327" s="256">
        <v>8000</v>
      </c>
      <c r="BE327" s="257">
        <f t="shared" si="45"/>
        <v>31199.999999999989</v>
      </c>
      <c r="BF327" s="256">
        <v>10000</v>
      </c>
      <c r="BG327" s="257">
        <f t="shared" si="46"/>
        <v>38999.999999999985</v>
      </c>
      <c r="BH327" s="256">
        <v>8000</v>
      </c>
      <c r="BI327" s="257">
        <f t="shared" si="47"/>
        <v>31199.999999999989</v>
      </c>
      <c r="BJ327" s="1" t="s">
        <v>760</v>
      </c>
      <c r="BL327" s="1" t="s">
        <v>457</v>
      </c>
      <c r="BM327" s="1" t="s">
        <v>761</v>
      </c>
    </row>
    <row r="328" spans="1:65" ht="18" customHeight="1">
      <c r="A328" s="250" t="s">
        <v>951</v>
      </c>
      <c r="B328" s="59" t="s">
        <v>221</v>
      </c>
      <c r="C328" s="354" t="s">
        <v>172</v>
      </c>
      <c r="D328" s="476"/>
      <c r="E328" s="359" t="s">
        <v>332</v>
      </c>
      <c r="F328" s="421"/>
      <c r="G328" s="317">
        <v>2025</v>
      </c>
      <c r="H328" s="326" t="s">
        <v>753</v>
      </c>
      <c r="I328" s="332" t="s">
        <v>249</v>
      </c>
      <c r="J328" s="337">
        <v>16</v>
      </c>
      <c r="K328" s="336" t="s">
        <v>762</v>
      </c>
      <c r="L328" s="323" t="s">
        <v>344</v>
      </c>
      <c r="M328" s="303" t="s">
        <v>474</v>
      </c>
      <c r="N328" s="303">
        <v>49</v>
      </c>
      <c r="O328" s="303">
        <v>49</v>
      </c>
      <c r="P328" s="303">
        <v>49</v>
      </c>
      <c r="Q328" s="303">
        <v>49</v>
      </c>
      <c r="R328" s="401">
        <v>49.5</v>
      </c>
      <c r="S328" s="401">
        <v>49.5</v>
      </c>
      <c r="T328" s="401">
        <v>49.5</v>
      </c>
      <c r="U328" s="401">
        <v>49.5</v>
      </c>
      <c r="V328" s="401">
        <v>49.5</v>
      </c>
      <c r="W328" s="401">
        <v>49.5</v>
      </c>
      <c r="X328" s="401">
        <v>49.5</v>
      </c>
      <c r="Y328" s="401">
        <v>49.5</v>
      </c>
      <c r="Z328" s="59">
        <v>4</v>
      </c>
      <c r="AA328" s="59">
        <v>4</v>
      </c>
      <c r="AB328" s="59">
        <v>4</v>
      </c>
      <c r="AC328" s="304">
        <v>0</v>
      </c>
      <c r="AD328" s="402">
        <v>3.8999999999999986</v>
      </c>
      <c r="AE328" s="402">
        <v>3.8999999999999986</v>
      </c>
      <c r="AF328" s="402">
        <v>3.8999999999999986</v>
      </c>
      <c r="AG328" s="402">
        <v>3.8999999999999986</v>
      </c>
      <c r="AH328" s="402">
        <v>3.8999999999999986</v>
      </c>
      <c r="AI328" s="402">
        <v>3.8999999999999986</v>
      </c>
      <c r="AJ328" s="402">
        <v>3.8999999999999986</v>
      </c>
      <c r="AK328" s="402">
        <v>3.8999999999999986</v>
      </c>
      <c r="AL328" s="255">
        <v>275</v>
      </c>
      <c r="AM328" s="254">
        <f t="shared" si="36"/>
        <v>1100</v>
      </c>
      <c r="AN328" s="255">
        <v>560</v>
      </c>
      <c r="AO328" s="254">
        <f t="shared" si="37"/>
        <v>2240</v>
      </c>
      <c r="AP328" s="255">
        <v>240</v>
      </c>
      <c r="AQ328" s="254">
        <f t="shared" si="38"/>
        <v>960</v>
      </c>
      <c r="AR328" s="255">
        <v>40</v>
      </c>
      <c r="AS328" s="257">
        <f t="shared" si="39"/>
        <v>0</v>
      </c>
      <c r="AT328" s="381">
        <v>218</v>
      </c>
      <c r="AU328" s="257">
        <f t="shared" si="40"/>
        <v>850.1999999999997</v>
      </c>
      <c r="AV328" s="388">
        <v>300</v>
      </c>
      <c r="AW328" s="257">
        <f t="shared" si="41"/>
        <v>1169.9999999999995</v>
      </c>
      <c r="AX328" s="388">
        <v>300</v>
      </c>
      <c r="AY328" s="257">
        <f t="shared" si="42"/>
        <v>1169.9999999999995</v>
      </c>
      <c r="AZ328" s="255">
        <v>400</v>
      </c>
      <c r="BA328" s="257">
        <f t="shared" si="43"/>
        <v>1559.9999999999995</v>
      </c>
      <c r="BB328" s="268">
        <v>200</v>
      </c>
      <c r="BC328" s="257">
        <f t="shared" si="44"/>
        <v>779.99999999999977</v>
      </c>
      <c r="BD328" s="268">
        <v>200</v>
      </c>
      <c r="BE328" s="257">
        <f t="shared" si="45"/>
        <v>779.99999999999977</v>
      </c>
      <c r="BF328" s="256">
        <v>500</v>
      </c>
      <c r="BG328" s="257">
        <f t="shared" si="46"/>
        <v>1949.9999999999993</v>
      </c>
      <c r="BH328" s="256">
        <v>200</v>
      </c>
      <c r="BI328" s="257">
        <f t="shared" si="47"/>
        <v>779.99999999999977</v>
      </c>
      <c r="BJ328" s="1" t="s">
        <v>763</v>
      </c>
      <c r="BL328" s="1" t="s">
        <v>457</v>
      </c>
      <c r="BM328" s="1" t="s">
        <v>764</v>
      </c>
    </row>
    <row r="329" spans="1:65" ht="18" customHeight="1">
      <c r="A329" s="250" t="s">
        <v>951</v>
      </c>
      <c r="B329" s="59" t="s">
        <v>221</v>
      </c>
      <c r="C329" s="354" t="s">
        <v>172</v>
      </c>
      <c r="D329" s="476"/>
      <c r="E329" s="359" t="s">
        <v>332</v>
      </c>
      <c r="F329" s="421"/>
      <c r="G329" s="317">
        <v>2025</v>
      </c>
      <c r="H329" s="326" t="s">
        <v>765</v>
      </c>
      <c r="I329" s="332" t="s">
        <v>249</v>
      </c>
      <c r="J329" s="337">
        <v>16</v>
      </c>
      <c r="K329" s="336" t="s">
        <v>723</v>
      </c>
      <c r="L329" s="323" t="s">
        <v>344</v>
      </c>
      <c r="M329" s="303" t="s">
        <v>541</v>
      </c>
      <c r="N329" s="303">
        <v>10.199999999999999</v>
      </c>
      <c r="O329" s="303">
        <v>10.199999999999999</v>
      </c>
      <c r="P329" s="303">
        <v>10.199999999999999</v>
      </c>
      <c r="Q329" s="303">
        <v>10.199999999999999</v>
      </c>
      <c r="R329" s="401">
        <v>11</v>
      </c>
      <c r="S329" s="401">
        <v>11</v>
      </c>
      <c r="T329" s="401">
        <v>11</v>
      </c>
      <c r="U329" s="401">
        <v>11</v>
      </c>
      <c r="V329" s="401">
        <v>11</v>
      </c>
      <c r="W329" s="401">
        <v>11</v>
      </c>
      <c r="X329" s="401">
        <v>11</v>
      </c>
      <c r="Y329" s="401">
        <v>11</v>
      </c>
      <c r="Z329" s="304">
        <v>0.7</v>
      </c>
      <c r="AA329" s="304">
        <v>0.7</v>
      </c>
      <c r="AB329" s="304">
        <v>0.7</v>
      </c>
      <c r="AC329" s="304">
        <v>0</v>
      </c>
      <c r="AD329" s="403">
        <v>0.90000000000000036</v>
      </c>
      <c r="AE329" s="403">
        <v>0.90000000000000036</v>
      </c>
      <c r="AF329" s="403">
        <v>0.90000000000000036</v>
      </c>
      <c r="AG329" s="403">
        <v>0.90000000000000036</v>
      </c>
      <c r="AH329" s="403">
        <v>0.90000000000000036</v>
      </c>
      <c r="AI329" s="403">
        <v>0.90000000000000036</v>
      </c>
      <c r="AJ329" s="403">
        <v>0.90000000000000036</v>
      </c>
      <c r="AK329" s="403">
        <v>0.90000000000000036</v>
      </c>
      <c r="AL329" s="255">
        <v>20000</v>
      </c>
      <c r="AM329" s="254">
        <f t="shared" ref="AM329:AM398" si="48">Z329*AL329</f>
        <v>14000</v>
      </c>
      <c r="AN329" s="255">
        <v>36465</v>
      </c>
      <c r="AO329" s="254">
        <f t="shared" ref="AO329:AO398" si="49">AA329*AN329</f>
        <v>25525.5</v>
      </c>
      <c r="AP329" s="271">
        <v>5120</v>
      </c>
      <c r="AQ329" s="254">
        <f t="shared" ref="AQ329:AQ398" si="50">AB329*AP329</f>
        <v>3584</v>
      </c>
      <c r="AR329" s="261">
        <v>16706</v>
      </c>
      <c r="AS329" s="257">
        <f t="shared" ref="AS329:AS398" si="51">AC329*AR329</f>
        <v>0</v>
      </c>
      <c r="AT329" s="410">
        <v>1320</v>
      </c>
      <c r="AU329" s="257">
        <f t="shared" ref="AU329:AU398" si="52">AD329*AT329</f>
        <v>1188.0000000000005</v>
      </c>
      <c r="AV329" s="389">
        <v>12000</v>
      </c>
      <c r="AW329" s="257">
        <f t="shared" ref="AW329:AW398" si="53">AE329*AV329</f>
        <v>10800.000000000004</v>
      </c>
      <c r="AX329" s="389">
        <v>12000</v>
      </c>
      <c r="AY329" s="257">
        <f t="shared" ref="AY329:AY398" si="54">AF329*AX329</f>
        <v>10800.000000000004</v>
      </c>
      <c r="AZ329" s="261">
        <v>15000</v>
      </c>
      <c r="BA329" s="257">
        <f t="shared" ref="BA329:BA398" si="55">AG329*AZ329</f>
        <v>13500.000000000005</v>
      </c>
      <c r="BB329" s="271">
        <v>12000</v>
      </c>
      <c r="BC329" s="257">
        <f t="shared" ref="BC329:BC398" si="56">AH329*BB329</f>
        <v>10800.000000000004</v>
      </c>
      <c r="BD329" s="261">
        <v>12000</v>
      </c>
      <c r="BE329" s="257">
        <f t="shared" ref="BE329:BE398" si="57">AI329*BD329</f>
        <v>10800.000000000004</v>
      </c>
      <c r="BF329" s="261">
        <v>15000</v>
      </c>
      <c r="BG329" s="257">
        <f t="shared" ref="BG329:BG398" si="58">AJ329*BF329</f>
        <v>13500.000000000005</v>
      </c>
      <c r="BH329" s="261">
        <v>10000</v>
      </c>
      <c r="BI329" s="257">
        <f t="shared" ref="BI329:BI398" si="59">AK329*BH329</f>
        <v>9000.0000000000036</v>
      </c>
      <c r="BJ329" s="1" t="s">
        <v>766</v>
      </c>
      <c r="BL329" s="1" t="s">
        <v>457</v>
      </c>
      <c r="BM329" s="1" t="s">
        <v>767</v>
      </c>
    </row>
    <row r="330" spans="1:65" ht="18" customHeight="1">
      <c r="A330" s="250" t="s">
        <v>951</v>
      </c>
      <c r="B330" s="59" t="s">
        <v>221</v>
      </c>
      <c r="C330" s="354" t="s">
        <v>172</v>
      </c>
      <c r="D330" s="476"/>
      <c r="E330" s="359" t="s">
        <v>332</v>
      </c>
      <c r="F330" s="421"/>
      <c r="G330" s="317">
        <v>2025</v>
      </c>
      <c r="H330" s="326" t="s">
        <v>765</v>
      </c>
      <c r="I330" s="332" t="s">
        <v>249</v>
      </c>
      <c r="J330" s="337">
        <v>16</v>
      </c>
      <c r="K330" s="336" t="s">
        <v>726</v>
      </c>
      <c r="L330" s="323" t="s">
        <v>344</v>
      </c>
      <c r="M330" s="303" t="s">
        <v>541</v>
      </c>
      <c r="N330" s="303">
        <v>16.100000000000001</v>
      </c>
      <c r="O330" s="303">
        <v>16.100000000000001</v>
      </c>
      <c r="P330" s="303">
        <v>16.100000000000001</v>
      </c>
      <c r="Q330" s="303">
        <v>16.100000000000001</v>
      </c>
      <c r="R330" s="401">
        <v>16.95</v>
      </c>
      <c r="S330" s="401">
        <v>16.95</v>
      </c>
      <c r="T330" s="401">
        <v>16.95</v>
      </c>
      <c r="U330" s="401">
        <v>16.95</v>
      </c>
      <c r="V330" s="401">
        <v>16.95</v>
      </c>
      <c r="W330" s="401">
        <v>16.95</v>
      </c>
      <c r="X330" s="401">
        <v>16.95</v>
      </c>
      <c r="Y330" s="401">
        <v>16.95</v>
      </c>
      <c r="Z330" s="304">
        <v>1.05</v>
      </c>
      <c r="AA330" s="304">
        <v>1.05</v>
      </c>
      <c r="AB330" s="304">
        <v>1.05</v>
      </c>
      <c r="AC330" s="304">
        <v>0</v>
      </c>
      <c r="AD330" s="403">
        <v>1.2999999999999989</v>
      </c>
      <c r="AE330" s="403">
        <v>1.2999999999999989</v>
      </c>
      <c r="AF330" s="403">
        <v>1.2999999999999989</v>
      </c>
      <c r="AG330" s="403">
        <v>1.2999999999999989</v>
      </c>
      <c r="AH330" s="403">
        <v>1.2999999999999989</v>
      </c>
      <c r="AI330" s="403">
        <v>1.2999999999999989</v>
      </c>
      <c r="AJ330" s="403">
        <v>1.2999999999999989</v>
      </c>
      <c r="AK330" s="403">
        <v>1.2999999999999989</v>
      </c>
      <c r="AL330" s="255">
        <v>17501</v>
      </c>
      <c r="AM330" s="254">
        <f t="shared" si="48"/>
        <v>18376.05</v>
      </c>
      <c r="AN330" s="255">
        <v>12358</v>
      </c>
      <c r="AO330" s="254">
        <f t="shared" si="49"/>
        <v>12975.900000000001</v>
      </c>
      <c r="AP330" s="255">
        <v>12000</v>
      </c>
      <c r="AQ330" s="254">
        <f t="shared" si="50"/>
        <v>12600</v>
      </c>
      <c r="AR330" s="255">
        <v>3280</v>
      </c>
      <c r="AS330" s="257">
        <f t="shared" si="51"/>
        <v>0</v>
      </c>
      <c r="AT330" s="388">
        <v>3240</v>
      </c>
      <c r="AU330" s="257">
        <f t="shared" si="52"/>
        <v>4211.9999999999964</v>
      </c>
      <c r="AV330" s="255">
        <v>16000</v>
      </c>
      <c r="AW330" s="257">
        <f t="shared" si="53"/>
        <v>20799.999999999982</v>
      </c>
      <c r="AX330" s="255">
        <v>16000</v>
      </c>
      <c r="AY330" s="257">
        <f t="shared" si="54"/>
        <v>20799.999999999982</v>
      </c>
      <c r="AZ330" s="255">
        <v>18000</v>
      </c>
      <c r="BA330" s="257">
        <f t="shared" si="55"/>
        <v>23399.999999999982</v>
      </c>
      <c r="BB330" s="255">
        <v>15000</v>
      </c>
      <c r="BC330" s="257">
        <f t="shared" si="56"/>
        <v>19499.999999999985</v>
      </c>
      <c r="BD330" s="255">
        <v>15000</v>
      </c>
      <c r="BE330" s="257">
        <f t="shared" si="57"/>
        <v>19499.999999999985</v>
      </c>
      <c r="BF330" s="255">
        <v>20000</v>
      </c>
      <c r="BG330" s="257">
        <f t="shared" si="58"/>
        <v>25999.999999999978</v>
      </c>
      <c r="BH330" s="255">
        <v>15000</v>
      </c>
      <c r="BI330" s="257">
        <f t="shared" si="59"/>
        <v>19499.999999999985</v>
      </c>
      <c r="BJ330" s="1" t="s">
        <v>768</v>
      </c>
      <c r="BL330" s="1" t="s">
        <v>457</v>
      </c>
      <c r="BM330" s="1" t="s">
        <v>769</v>
      </c>
    </row>
    <row r="331" spans="1:65" ht="18" customHeight="1">
      <c r="A331" s="250" t="s">
        <v>951</v>
      </c>
      <c r="B331" s="59" t="s">
        <v>221</v>
      </c>
      <c r="C331" s="354" t="s">
        <v>172</v>
      </c>
      <c r="D331" s="476"/>
      <c r="E331" s="359" t="s">
        <v>332</v>
      </c>
      <c r="F331" s="421"/>
      <c r="G331" s="317">
        <v>2025</v>
      </c>
      <c r="H331" s="326" t="s">
        <v>765</v>
      </c>
      <c r="I331" s="332" t="s">
        <v>249</v>
      </c>
      <c r="J331" s="337">
        <v>16</v>
      </c>
      <c r="K331" s="336" t="s">
        <v>770</v>
      </c>
      <c r="L331" s="323" t="s">
        <v>344</v>
      </c>
      <c r="M331" s="303" t="s">
        <v>541</v>
      </c>
      <c r="N331" s="303">
        <v>10.199999999999999</v>
      </c>
      <c r="O331" s="303">
        <v>10.199999999999999</v>
      </c>
      <c r="P331" s="303">
        <v>10.199999999999999</v>
      </c>
      <c r="Q331" s="303">
        <v>10.199999999999999</v>
      </c>
      <c r="R331" s="401">
        <v>11</v>
      </c>
      <c r="S331" s="401">
        <v>11</v>
      </c>
      <c r="T331" s="401">
        <v>11</v>
      </c>
      <c r="U331" s="401">
        <v>11</v>
      </c>
      <c r="V331" s="401">
        <v>11</v>
      </c>
      <c r="W331" s="401">
        <v>11</v>
      </c>
      <c r="X331" s="401">
        <v>11</v>
      </c>
      <c r="Y331" s="401">
        <v>11</v>
      </c>
      <c r="Z331" s="304">
        <v>0.7</v>
      </c>
      <c r="AA331" s="304">
        <v>0.7</v>
      </c>
      <c r="AB331" s="304">
        <v>0.7</v>
      </c>
      <c r="AC331" s="304">
        <v>0</v>
      </c>
      <c r="AD331" s="403">
        <v>0.90000000000000036</v>
      </c>
      <c r="AE331" s="403">
        <v>0.90000000000000036</v>
      </c>
      <c r="AF331" s="403">
        <v>0.90000000000000036</v>
      </c>
      <c r="AG331" s="403">
        <v>0.90000000000000036</v>
      </c>
      <c r="AH331" s="403">
        <v>0.90000000000000036</v>
      </c>
      <c r="AI331" s="403">
        <v>0.90000000000000036</v>
      </c>
      <c r="AJ331" s="403">
        <v>0.90000000000000036</v>
      </c>
      <c r="AK331" s="403">
        <v>0.90000000000000036</v>
      </c>
      <c r="AL331" s="255"/>
      <c r="AM331" s="254">
        <f t="shared" si="48"/>
        <v>0</v>
      </c>
      <c r="AN331" s="255"/>
      <c r="AO331" s="254">
        <f t="shared" si="49"/>
        <v>0</v>
      </c>
      <c r="AP331" s="255"/>
      <c r="AQ331" s="254">
        <f t="shared" si="50"/>
        <v>0</v>
      </c>
      <c r="AR331" s="255"/>
      <c r="AS331" s="257">
        <f t="shared" si="51"/>
        <v>0</v>
      </c>
      <c r="AT331" s="388"/>
      <c r="AU331" s="257">
        <f t="shared" si="52"/>
        <v>0</v>
      </c>
      <c r="AV331" s="255">
        <v>100</v>
      </c>
      <c r="AW331" s="257">
        <f t="shared" si="53"/>
        <v>90.000000000000028</v>
      </c>
      <c r="AX331" s="255">
        <v>100</v>
      </c>
      <c r="AY331" s="257">
        <f t="shared" si="54"/>
        <v>90.000000000000028</v>
      </c>
      <c r="AZ331" s="255">
        <v>100</v>
      </c>
      <c r="BA331" s="257">
        <f t="shared" si="55"/>
        <v>90.000000000000028</v>
      </c>
      <c r="BB331" s="255">
        <v>100</v>
      </c>
      <c r="BC331" s="257">
        <f t="shared" si="56"/>
        <v>90.000000000000028</v>
      </c>
      <c r="BD331" s="255">
        <v>100</v>
      </c>
      <c r="BE331" s="257">
        <f t="shared" si="57"/>
        <v>90.000000000000028</v>
      </c>
      <c r="BF331" s="255">
        <v>100</v>
      </c>
      <c r="BG331" s="257">
        <f t="shared" si="58"/>
        <v>90.000000000000028</v>
      </c>
      <c r="BH331" s="255">
        <v>100</v>
      </c>
      <c r="BI331" s="257">
        <f t="shared" si="59"/>
        <v>90.000000000000028</v>
      </c>
      <c r="BJ331" s="1" t="s">
        <v>771</v>
      </c>
      <c r="BL331" s="1" t="s">
        <v>457</v>
      </c>
      <c r="BM331" s="1" t="s">
        <v>772</v>
      </c>
    </row>
    <row r="332" spans="1:65" ht="18" customHeight="1">
      <c r="A332" s="250" t="s">
        <v>951</v>
      </c>
      <c r="B332" s="59" t="s">
        <v>221</v>
      </c>
      <c r="C332" s="354" t="s">
        <v>172</v>
      </c>
      <c r="D332" s="476"/>
      <c r="E332" s="359" t="s">
        <v>332</v>
      </c>
      <c r="F332" s="421"/>
      <c r="G332" s="317">
        <v>2025</v>
      </c>
      <c r="H332" s="326" t="s">
        <v>765</v>
      </c>
      <c r="I332" s="332" t="s">
        <v>249</v>
      </c>
      <c r="J332" s="337">
        <v>16</v>
      </c>
      <c r="K332" s="336" t="s">
        <v>756</v>
      </c>
      <c r="L332" s="323" t="s">
        <v>344</v>
      </c>
      <c r="M332" s="303" t="s">
        <v>541</v>
      </c>
      <c r="N332" s="303">
        <v>16.100000000000001</v>
      </c>
      <c r="O332" s="303">
        <v>16.100000000000001</v>
      </c>
      <c r="P332" s="303">
        <v>16.100000000000001</v>
      </c>
      <c r="Q332" s="303">
        <v>16.100000000000001</v>
      </c>
      <c r="R332" s="401">
        <v>16.95</v>
      </c>
      <c r="S332" s="401">
        <v>16.95</v>
      </c>
      <c r="T332" s="401">
        <v>16.95</v>
      </c>
      <c r="U332" s="401">
        <v>16.95</v>
      </c>
      <c r="V332" s="401">
        <v>16.95</v>
      </c>
      <c r="W332" s="401">
        <v>16.95</v>
      </c>
      <c r="X332" s="401">
        <v>16.95</v>
      </c>
      <c r="Y332" s="401">
        <v>16.95</v>
      </c>
      <c r="Z332" s="304">
        <v>1.05</v>
      </c>
      <c r="AA332" s="304">
        <v>1.05</v>
      </c>
      <c r="AB332" s="304">
        <v>1.05</v>
      </c>
      <c r="AC332" s="304">
        <v>0</v>
      </c>
      <c r="AD332" s="403">
        <v>1.2999999999999989</v>
      </c>
      <c r="AE332" s="403">
        <v>1.2999999999999989</v>
      </c>
      <c r="AF332" s="403">
        <v>1.2999999999999989</v>
      </c>
      <c r="AG332" s="403">
        <v>1.2999999999999989</v>
      </c>
      <c r="AH332" s="403">
        <v>1.2999999999999989</v>
      </c>
      <c r="AI332" s="403">
        <v>1.2999999999999989</v>
      </c>
      <c r="AJ332" s="403">
        <v>1.2999999999999989</v>
      </c>
      <c r="AK332" s="403">
        <v>1.2999999999999989</v>
      </c>
      <c r="AL332" s="255">
        <v>3440</v>
      </c>
      <c r="AM332" s="254">
        <f t="shared" si="48"/>
        <v>3612</v>
      </c>
      <c r="AN332" s="255">
        <v>3670</v>
      </c>
      <c r="AO332" s="254">
        <f t="shared" si="49"/>
        <v>3853.5</v>
      </c>
      <c r="AP332" s="255">
        <v>240</v>
      </c>
      <c r="AQ332" s="254">
        <f t="shared" si="50"/>
        <v>252</v>
      </c>
      <c r="AR332" s="255">
        <v>480</v>
      </c>
      <c r="AS332" s="257">
        <f t="shared" si="51"/>
        <v>0</v>
      </c>
      <c r="AT332" s="388">
        <v>400</v>
      </c>
      <c r="AU332" s="257">
        <f t="shared" si="52"/>
        <v>519.99999999999955</v>
      </c>
      <c r="AV332" s="255">
        <v>1000</v>
      </c>
      <c r="AW332" s="257">
        <f t="shared" si="53"/>
        <v>1299.9999999999989</v>
      </c>
      <c r="AX332" s="255">
        <v>1000</v>
      </c>
      <c r="AY332" s="257">
        <f t="shared" si="54"/>
        <v>1299.9999999999989</v>
      </c>
      <c r="AZ332" s="255">
        <v>1000</v>
      </c>
      <c r="BA332" s="257">
        <f t="shared" si="55"/>
        <v>1299.9999999999989</v>
      </c>
      <c r="BB332" s="255">
        <v>1000</v>
      </c>
      <c r="BC332" s="257">
        <f t="shared" si="56"/>
        <v>1299.9999999999989</v>
      </c>
      <c r="BD332" s="255">
        <v>1000</v>
      </c>
      <c r="BE332" s="257">
        <f t="shared" si="57"/>
        <v>1299.9999999999989</v>
      </c>
      <c r="BF332" s="255">
        <v>1000</v>
      </c>
      <c r="BG332" s="257">
        <f t="shared" si="58"/>
        <v>1299.9999999999989</v>
      </c>
      <c r="BH332" s="255">
        <v>1000</v>
      </c>
      <c r="BI332" s="257">
        <f t="shared" si="59"/>
        <v>1299.9999999999989</v>
      </c>
      <c r="BJ332" s="1" t="s">
        <v>773</v>
      </c>
      <c r="BL332" s="1" t="s">
        <v>457</v>
      </c>
      <c r="BM332" s="1" t="s">
        <v>774</v>
      </c>
    </row>
    <row r="333" spans="1:65" ht="18" customHeight="1">
      <c r="A333" s="250" t="s">
        <v>951</v>
      </c>
      <c r="B333" s="59" t="s">
        <v>221</v>
      </c>
      <c r="C333" s="354" t="s">
        <v>172</v>
      </c>
      <c r="D333" s="476"/>
      <c r="E333" s="359" t="s">
        <v>332</v>
      </c>
      <c r="F333" s="421"/>
      <c r="G333" s="317">
        <v>2025</v>
      </c>
      <c r="H333" s="326" t="s">
        <v>765</v>
      </c>
      <c r="I333" s="332" t="s">
        <v>249</v>
      </c>
      <c r="J333" s="337">
        <v>16</v>
      </c>
      <c r="K333" s="336" t="s">
        <v>723</v>
      </c>
      <c r="L333" s="323" t="s">
        <v>464</v>
      </c>
      <c r="M333" s="303" t="s">
        <v>465</v>
      </c>
      <c r="N333" s="303">
        <v>10.199999999999999</v>
      </c>
      <c r="O333" s="303">
        <v>10.199999999999999</v>
      </c>
      <c r="P333" s="303">
        <v>10.199999999999999</v>
      </c>
      <c r="Q333" s="303">
        <v>10.199999999999999</v>
      </c>
      <c r="R333" s="401">
        <v>11</v>
      </c>
      <c r="S333" s="401">
        <v>11</v>
      </c>
      <c r="T333" s="401">
        <v>11</v>
      </c>
      <c r="U333" s="401">
        <v>11</v>
      </c>
      <c r="V333" s="401">
        <v>11</v>
      </c>
      <c r="W333" s="401">
        <v>11</v>
      </c>
      <c r="X333" s="401">
        <v>11</v>
      </c>
      <c r="Y333" s="401">
        <v>11</v>
      </c>
      <c r="Z333" s="304">
        <v>0.7</v>
      </c>
      <c r="AA333" s="304">
        <v>0.7</v>
      </c>
      <c r="AB333" s="304">
        <v>0.7</v>
      </c>
      <c r="AC333" s="304">
        <v>0</v>
      </c>
      <c r="AD333" s="403">
        <v>0.90000000000000036</v>
      </c>
      <c r="AE333" s="403">
        <v>0.90000000000000036</v>
      </c>
      <c r="AF333" s="403">
        <v>0.90000000000000036</v>
      </c>
      <c r="AG333" s="403">
        <v>0.90000000000000036</v>
      </c>
      <c r="AH333" s="403">
        <v>0.90000000000000036</v>
      </c>
      <c r="AI333" s="403">
        <v>0.90000000000000036</v>
      </c>
      <c r="AJ333" s="403">
        <v>0.90000000000000036</v>
      </c>
      <c r="AK333" s="403">
        <v>0.90000000000000036</v>
      </c>
      <c r="AL333" s="255">
        <v>120</v>
      </c>
      <c r="AM333" s="254">
        <f t="shared" si="48"/>
        <v>84</v>
      </c>
      <c r="AN333" s="255">
        <v>640</v>
      </c>
      <c r="AO333" s="254">
        <f t="shared" si="49"/>
        <v>448</v>
      </c>
      <c r="AP333" s="255">
        <v>40</v>
      </c>
      <c r="AQ333" s="254">
        <f t="shared" si="50"/>
        <v>28</v>
      </c>
      <c r="AR333" s="255">
        <v>240</v>
      </c>
      <c r="AS333" s="257">
        <f t="shared" si="51"/>
        <v>0</v>
      </c>
      <c r="AT333" s="381">
        <v>200</v>
      </c>
      <c r="AU333" s="257">
        <f t="shared" si="52"/>
        <v>180.00000000000006</v>
      </c>
      <c r="AV333" s="388">
        <v>5000</v>
      </c>
      <c r="AW333" s="257">
        <f t="shared" si="53"/>
        <v>4500.0000000000018</v>
      </c>
      <c r="AX333" s="388">
        <v>5000</v>
      </c>
      <c r="AY333" s="257">
        <f t="shared" si="54"/>
        <v>4500.0000000000018</v>
      </c>
      <c r="AZ333" s="388">
        <v>7000</v>
      </c>
      <c r="BA333" s="257">
        <f t="shared" si="55"/>
        <v>6300.0000000000027</v>
      </c>
      <c r="BB333" s="255">
        <v>5000</v>
      </c>
      <c r="BC333" s="257">
        <f t="shared" si="56"/>
        <v>4500.0000000000018</v>
      </c>
      <c r="BD333" s="255">
        <v>5000</v>
      </c>
      <c r="BE333" s="257">
        <f t="shared" si="57"/>
        <v>4500.0000000000018</v>
      </c>
      <c r="BF333" s="255">
        <v>10000</v>
      </c>
      <c r="BG333" s="257">
        <f t="shared" si="58"/>
        <v>9000.0000000000036</v>
      </c>
      <c r="BH333" s="255">
        <v>5000</v>
      </c>
      <c r="BI333" s="257">
        <f t="shared" si="59"/>
        <v>4500.0000000000018</v>
      </c>
      <c r="BJ333" s="1" t="s">
        <v>766</v>
      </c>
      <c r="BL333" s="1" t="s">
        <v>457</v>
      </c>
      <c r="BM333" s="1" t="s">
        <v>767</v>
      </c>
    </row>
    <row r="334" spans="1:65" ht="18" customHeight="1">
      <c r="A334" s="250" t="s">
        <v>951</v>
      </c>
      <c r="B334" s="59" t="s">
        <v>221</v>
      </c>
      <c r="C334" s="354" t="s">
        <v>172</v>
      </c>
      <c r="D334" s="476"/>
      <c r="E334" s="359" t="s">
        <v>332</v>
      </c>
      <c r="F334" s="421"/>
      <c r="G334" s="317">
        <v>2025</v>
      </c>
      <c r="H334" s="326" t="s">
        <v>765</v>
      </c>
      <c r="I334" s="332" t="s">
        <v>249</v>
      </c>
      <c r="J334" s="337">
        <v>16</v>
      </c>
      <c r="K334" s="336" t="s">
        <v>726</v>
      </c>
      <c r="L334" s="323" t="s">
        <v>464</v>
      </c>
      <c r="M334" s="303" t="s">
        <v>465</v>
      </c>
      <c r="N334" s="303">
        <v>16.100000000000001</v>
      </c>
      <c r="O334" s="303">
        <v>16.100000000000001</v>
      </c>
      <c r="P334" s="303">
        <v>16.100000000000001</v>
      </c>
      <c r="Q334" s="303">
        <v>16.100000000000001</v>
      </c>
      <c r="R334" s="401">
        <v>16.95</v>
      </c>
      <c r="S334" s="401">
        <v>16.95</v>
      </c>
      <c r="T334" s="401">
        <v>16.95</v>
      </c>
      <c r="U334" s="401">
        <v>16.95</v>
      </c>
      <c r="V334" s="401">
        <v>16.95</v>
      </c>
      <c r="W334" s="401">
        <v>16.95</v>
      </c>
      <c r="X334" s="401">
        <v>16.95</v>
      </c>
      <c r="Y334" s="401">
        <v>16.95</v>
      </c>
      <c r="Z334" s="304">
        <v>1.05</v>
      </c>
      <c r="AA334" s="304">
        <v>1.05</v>
      </c>
      <c r="AB334" s="304">
        <v>1.05</v>
      </c>
      <c r="AC334" s="304">
        <v>0</v>
      </c>
      <c r="AD334" s="403">
        <v>1.2999999999999989</v>
      </c>
      <c r="AE334" s="403">
        <v>1.2999999999999989</v>
      </c>
      <c r="AF334" s="403">
        <v>1.2999999999999989</v>
      </c>
      <c r="AG334" s="403">
        <v>1.2999999999999989</v>
      </c>
      <c r="AH334" s="403">
        <v>1.2999999999999989</v>
      </c>
      <c r="AI334" s="403">
        <v>1.2999999999999989</v>
      </c>
      <c r="AJ334" s="403">
        <v>1.2999999999999989</v>
      </c>
      <c r="AK334" s="403">
        <v>1.2999999999999989</v>
      </c>
      <c r="AL334" s="255">
        <v>15272</v>
      </c>
      <c r="AM334" s="254">
        <f t="shared" si="48"/>
        <v>16035.6</v>
      </c>
      <c r="AN334" s="255">
        <v>3920</v>
      </c>
      <c r="AO334" s="254">
        <f t="shared" si="49"/>
        <v>4116</v>
      </c>
      <c r="AP334" s="255">
        <v>520</v>
      </c>
      <c r="AQ334" s="254">
        <f t="shared" si="50"/>
        <v>546</v>
      </c>
      <c r="AR334" s="255">
        <v>1316</v>
      </c>
      <c r="AS334" s="257">
        <f t="shared" si="51"/>
        <v>0</v>
      </c>
      <c r="AT334" s="255">
        <v>2160</v>
      </c>
      <c r="AU334" s="257">
        <f t="shared" si="52"/>
        <v>2807.9999999999977</v>
      </c>
      <c r="AV334" s="388">
        <v>6000</v>
      </c>
      <c r="AW334" s="257">
        <f t="shared" si="53"/>
        <v>7799.9999999999936</v>
      </c>
      <c r="AX334" s="388">
        <v>6000</v>
      </c>
      <c r="AY334" s="257">
        <f t="shared" si="54"/>
        <v>7799.9999999999936</v>
      </c>
      <c r="AZ334" s="255">
        <v>8000</v>
      </c>
      <c r="BA334" s="257">
        <f t="shared" si="55"/>
        <v>10399.999999999991</v>
      </c>
      <c r="BB334" s="255">
        <v>6000</v>
      </c>
      <c r="BC334" s="257">
        <f t="shared" si="56"/>
        <v>7799.9999999999936</v>
      </c>
      <c r="BD334" s="255">
        <v>6000</v>
      </c>
      <c r="BE334" s="257">
        <f t="shared" si="57"/>
        <v>7799.9999999999936</v>
      </c>
      <c r="BF334" s="255">
        <v>8000</v>
      </c>
      <c r="BG334" s="257">
        <f t="shared" si="58"/>
        <v>10399.999999999991</v>
      </c>
      <c r="BH334" s="255">
        <v>5000</v>
      </c>
      <c r="BI334" s="257">
        <f t="shared" si="59"/>
        <v>6499.9999999999945</v>
      </c>
      <c r="BJ334" s="1" t="s">
        <v>768</v>
      </c>
      <c r="BL334" s="1" t="s">
        <v>457</v>
      </c>
      <c r="BM334" s="1" t="s">
        <v>769</v>
      </c>
    </row>
    <row r="335" spans="1:65" ht="18" customHeight="1">
      <c r="A335" s="250" t="s">
        <v>951</v>
      </c>
      <c r="B335" s="59" t="s">
        <v>221</v>
      </c>
      <c r="C335" s="354" t="s">
        <v>172</v>
      </c>
      <c r="D335" s="476"/>
      <c r="E335" s="359" t="s">
        <v>332</v>
      </c>
      <c r="F335" s="421"/>
      <c r="G335" s="317">
        <v>2025</v>
      </c>
      <c r="H335" s="326" t="s">
        <v>765</v>
      </c>
      <c r="I335" s="332" t="s">
        <v>249</v>
      </c>
      <c r="J335" s="337">
        <v>16</v>
      </c>
      <c r="K335" s="336" t="s">
        <v>770</v>
      </c>
      <c r="L335" s="323" t="s">
        <v>464</v>
      </c>
      <c r="M335" s="303" t="s">
        <v>465</v>
      </c>
      <c r="N335" s="303">
        <v>10.199999999999999</v>
      </c>
      <c r="O335" s="303">
        <v>10.199999999999999</v>
      </c>
      <c r="P335" s="303">
        <v>10.199999999999999</v>
      </c>
      <c r="Q335" s="303">
        <v>10.199999999999999</v>
      </c>
      <c r="R335" s="401">
        <v>11</v>
      </c>
      <c r="S335" s="401">
        <v>11</v>
      </c>
      <c r="T335" s="401">
        <v>11</v>
      </c>
      <c r="U335" s="401">
        <v>11</v>
      </c>
      <c r="V335" s="401">
        <v>11</v>
      </c>
      <c r="W335" s="401">
        <v>11</v>
      </c>
      <c r="X335" s="401">
        <v>11</v>
      </c>
      <c r="Y335" s="401">
        <v>11</v>
      </c>
      <c r="Z335" s="304">
        <v>0.7</v>
      </c>
      <c r="AA335" s="304">
        <v>0.7</v>
      </c>
      <c r="AB335" s="304">
        <v>0.7</v>
      </c>
      <c r="AC335" s="304">
        <v>0</v>
      </c>
      <c r="AD335" s="403">
        <v>0.90000000000000036</v>
      </c>
      <c r="AE335" s="403">
        <v>0.90000000000000036</v>
      </c>
      <c r="AF335" s="403">
        <v>0.90000000000000036</v>
      </c>
      <c r="AG335" s="403">
        <v>0.90000000000000036</v>
      </c>
      <c r="AH335" s="403">
        <v>0.90000000000000036</v>
      </c>
      <c r="AI335" s="403">
        <v>0.90000000000000036</v>
      </c>
      <c r="AJ335" s="403">
        <v>0.90000000000000036</v>
      </c>
      <c r="AK335" s="403">
        <v>0.90000000000000036</v>
      </c>
      <c r="AL335" s="255"/>
      <c r="AM335" s="254">
        <f t="shared" si="48"/>
        <v>0</v>
      </c>
      <c r="AN335" s="255"/>
      <c r="AO335" s="254">
        <f t="shared" si="49"/>
        <v>0</v>
      </c>
      <c r="AP335" s="255"/>
      <c r="AQ335" s="254">
        <f t="shared" si="50"/>
        <v>0</v>
      </c>
      <c r="AR335" s="255"/>
      <c r="AS335" s="257">
        <f t="shared" si="51"/>
        <v>0</v>
      </c>
      <c r="AT335" s="381"/>
      <c r="AU335" s="257">
        <f t="shared" si="52"/>
        <v>0</v>
      </c>
      <c r="AV335" s="388"/>
      <c r="AW335" s="257">
        <f t="shared" si="53"/>
        <v>0</v>
      </c>
      <c r="AX335" s="255"/>
      <c r="AY335" s="257">
        <f t="shared" si="54"/>
        <v>0</v>
      </c>
      <c r="AZ335" s="255"/>
      <c r="BA335" s="257">
        <f t="shared" si="55"/>
        <v>0</v>
      </c>
      <c r="BB335" s="255"/>
      <c r="BC335" s="257">
        <f t="shared" si="56"/>
        <v>0</v>
      </c>
      <c r="BD335" s="255"/>
      <c r="BE335" s="257">
        <f t="shared" si="57"/>
        <v>0</v>
      </c>
      <c r="BF335" s="255"/>
      <c r="BG335" s="257">
        <f t="shared" si="58"/>
        <v>0</v>
      </c>
      <c r="BH335" s="255"/>
      <c r="BI335" s="257">
        <f t="shared" si="59"/>
        <v>0</v>
      </c>
      <c r="BJ335" s="1" t="s">
        <v>771</v>
      </c>
      <c r="BL335" s="1" t="s">
        <v>457</v>
      </c>
      <c r="BM335" s="1" t="s">
        <v>772</v>
      </c>
    </row>
    <row r="336" spans="1:65" ht="18" customHeight="1">
      <c r="A336" s="250" t="s">
        <v>951</v>
      </c>
      <c r="B336" s="59" t="s">
        <v>221</v>
      </c>
      <c r="C336" s="354" t="s">
        <v>172</v>
      </c>
      <c r="D336" s="476"/>
      <c r="E336" s="359" t="s">
        <v>332</v>
      </c>
      <c r="F336" s="421"/>
      <c r="G336" s="317">
        <v>2026</v>
      </c>
      <c r="H336" s="326" t="s">
        <v>1084</v>
      </c>
      <c r="I336" s="332" t="s">
        <v>249</v>
      </c>
      <c r="J336" s="337">
        <v>16</v>
      </c>
      <c r="K336" s="336" t="s">
        <v>723</v>
      </c>
      <c r="L336" s="323" t="s">
        <v>344</v>
      </c>
      <c r="M336" s="303" t="s">
        <v>541</v>
      </c>
      <c r="N336" s="303">
        <v>10.199999999999999</v>
      </c>
      <c r="O336" s="303">
        <v>10.199999999999999</v>
      </c>
      <c r="P336" s="303">
        <v>10.199999999999999</v>
      </c>
      <c r="Q336" s="303">
        <v>10.199999999999999</v>
      </c>
      <c r="R336" s="401">
        <v>11</v>
      </c>
      <c r="S336" s="401">
        <v>11</v>
      </c>
      <c r="T336" s="401">
        <v>11</v>
      </c>
      <c r="U336" s="401">
        <v>11</v>
      </c>
      <c r="V336" s="401">
        <v>11</v>
      </c>
      <c r="W336" s="401">
        <v>11</v>
      </c>
      <c r="X336" s="401">
        <v>11</v>
      </c>
      <c r="Y336" s="401">
        <v>11</v>
      </c>
      <c r="Z336" s="304">
        <v>0.7</v>
      </c>
      <c r="AA336" s="304">
        <v>0.7</v>
      </c>
      <c r="AB336" s="304">
        <v>0.7</v>
      </c>
      <c r="AC336" s="304">
        <v>0.7</v>
      </c>
      <c r="AD336" s="403">
        <v>0.90000000000000036</v>
      </c>
      <c r="AE336" s="403">
        <v>0.90000000000000036</v>
      </c>
      <c r="AF336" s="403">
        <v>0.90000000000000036</v>
      </c>
      <c r="AG336" s="403">
        <v>0.90000000000000036</v>
      </c>
      <c r="AH336" s="403">
        <v>0.90000000000000036</v>
      </c>
      <c r="AI336" s="403">
        <v>0.90000000000000036</v>
      </c>
      <c r="AJ336" s="403">
        <v>0.90000000000000036</v>
      </c>
      <c r="AK336" s="403">
        <v>0.90000000000000036</v>
      </c>
      <c r="AL336" s="255"/>
      <c r="AM336" s="254">
        <f t="shared" si="48"/>
        <v>0</v>
      </c>
      <c r="AN336" s="255"/>
      <c r="AO336" s="254">
        <f t="shared" si="49"/>
        <v>0</v>
      </c>
      <c r="AP336" s="255"/>
      <c r="AQ336" s="254">
        <f t="shared" si="50"/>
        <v>0</v>
      </c>
      <c r="AR336" s="255"/>
      <c r="AS336" s="257">
        <f t="shared" si="51"/>
        <v>0</v>
      </c>
      <c r="AT336" s="381">
        <v>240</v>
      </c>
      <c r="AU336" s="257">
        <f t="shared" si="52"/>
        <v>216.00000000000009</v>
      </c>
      <c r="AV336" s="388"/>
      <c r="AW336" s="257">
        <f t="shared" si="53"/>
        <v>0</v>
      </c>
      <c r="AX336" s="255"/>
      <c r="AY336" s="257">
        <f t="shared" si="54"/>
        <v>0</v>
      </c>
      <c r="AZ336" s="255"/>
      <c r="BA336" s="257">
        <f t="shared" si="55"/>
        <v>0</v>
      </c>
      <c r="BB336" s="255"/>
      <c r="BC336" s="257">
        <f t="shared" si="56"/>
        <v>0</v>
      </c>
      <c r="BD336" s="255"/>
      <c r="BE336" s="257">
        <f t="shared" si="57"/>
        <v>0</v>
      </c>
      <c r="BF336" s="255"/>
      <c r="BG336" s="257">
        <f t="shared" si="58"/>
        <v>0</v>
      </c>
      <c r="BH336" s="255"/>
      <c r="BI336" s="257">
        <f t="shared" si="59"/>
        <v>0</v>
      </c>
      <c r="BJ336" s="1" t="s">
        <v>1085</v>
      </c>
      <c r="BL336" s="1" t="s">
        <v>457</v>
      </c>
      <c r="BM336" s="1" t="s">
        <v>1086</v>
      </c>
    </row>
    <row r="337" spans="1:65" ht="18" customHeight="1">
      <c r="A337" s="250" t="s">
        <v>951</v>
      </c>
      <c r="B337" s="59" t="s">
        <v>221</v>
      </c>
      <c r="C337" s="354" t="s">
        <v>172</v>
      </c>
      <c r="D337" s="476"/>
      <c r="E337" s="359" t="s">
        <v>332</v>
      </c>
      <c r="F337" s="421"/>
      <c r="G337" s="317">
        <v>2026</v>
      </c>
      <c r="H337" s="326" t="s">
        <v>1084</v>
      </c>
      <c r="I337" s="332" t="s">
        <v>249</v>
      </c>
      <c r="J337" s="337">
        <v>16</v>
      </c>
      <c r="K337" s="336" t="s">
        <v>726</v>
      </c>
      <c r="L337" s="323" t="s">
        <v>344</v>
      </c>
      <c r="M337" s="303" t="s">
        <v>541</v>
      </c>
      <c r="N337" s="303">
        <v>16.100000000000001</v>
      </c>
      <c r="O337" s="303">
        <v>16.100000000000001</v>
      </c>
      <c r="P337" s="303">
        <v>16.100000000000001</v>
      </c>
      <c r="Q337" s="303">
        <v>16.100000000000001</v>
      </c>
      <c r="R337" s="401">
        <v>16.95</v>
      </c>
      <c r="S337" s="401">
        <v>16.95</v>
      </c>
      <c r="T337" s="401">
        <v>16.95</v>
      </c>
      <c r="U337" s="401">
        <v>16.95</v>
      </c>
      <c r="V337" s="401">
        <v>16.95</v>
      </c>
      <c r="W337" s="401">
        <v>16.95</v>
      </c>
      <c r="X337" s="401">
        <v>16.95</v>
      </c>
      <c r="Y337" s="401">
        <v>16.95</v>
      </c>
      <c r="Z337" s="304">
        <v>1.05</v>
      </c>
      <c r="AA337" s="304">
        <v>1.05</v>
      </c>
      <c r="AB337" s="304">
        <v>1.05</v>
      </c>
      <c r="AC337" s="304">
        <v>1.05</v>
      </c>
      <c r="AD337" s="403">
        <v>1.2999999999999989</v>
      </c>
      <c r="AE337" s="403">
        <v>1.2999999999999989</v>
      </c>
      <c r="AF337" s="403">
        <v>1.2999999999999989</v>
      </c>
      <c r="AG337" s="403">
        <v>1.2999999999999989</v>
      </c>
      <c r="AH337" s="403">
        <v>1.2999999999999989</v>
      </c>
      <c r="AI337" s="403">
        <v>1.2999999999999989</v>
      </c>
      <c r="AJ337" s="403">
        <v>1.2999999999999989</v>
      </c>
      <c r="AK337" s="403">
        <v>1.2999999999999989</v>
      </c>
      <c r="AL337" s="255"/>
      <c r="AM337" s="254">
        <f t="shared" si="48"/>
        <v>0</v>
      </c>
      <c r="AN337" s="255"/>
      <c r="AO337" s="254">
        <f t="shared" si="49"/>
        <v>0</v>
      </c>
      <c r="AP337" s="255"/>
      <c r="AQ337" s="254">
        <f t="shared" si="50"/>
        <v>0</v>
      </c>
      <c r="AR337" s="255"/>
      <c r="AS337" s="257">
        <f t="shared" si="51"/>
        <v>0</v>
      </c>
      <c r="AT337" s="381">
        <v>360</v>
      </c>
      <c r="AU337" s="257">
        <f t="shared" si="52"/>
        <v>467.9999999999996</v>
      </c>
      <c r="AV337" s="388"/>
      <c r="AW337" s="257">
        <f t="shared" si="53"/>
        <v>0</v>
      </c>
      <c r="AX337" s="255"/>
      <c r="AY337" s="257">
        <f t="shared" si="54"/>
        <v>0</v>
      </c>
      <c r="AZ337" s="255"/>
      <c r="BA337" s="257">
        <f t="shared" si="55"/>
        <v>0</v>
      </c>
      <c r="BB337" s="255"/>
      <c r="BC337" s="257">
        <f t="shared" si="56"/>
        <v>0</v>
      </c>
      <c r="BD337" s="255"/>
      <c r="BE337" s="257">
        <f t="shared" si="57"/>
        <v>0</v>
      </c>
      <c r="BF337" s="255"/>
      <c r="BG337" s="257">
        <f t="shared" si="58"/>
        <v>0</v>
      </c>
      <c r="BH337" s="255"/>
      <c r="BI337" s="257">
        <f t="shared" si="59"/>
        <v>0</v>
      </c>
      <c r="BJ337" s="1" t="s">
        <v>1087</v>
      </c>
      <c r="BL337" s="1" t="s">
        <v>457</v>
      </c>
      <c r="BM337" s="1" t="s">
        <v>1088</v>
      </c>
    </row>
    <row r="338" spans="1:65" ht="18" customHeight="1">
      <c r="A338" s="250" t="s">
        <v>951</v>
      </c>
      <c r="B338" s="59" t="s">
        <v>221</v>
      </c>
      <c r="C338" s="354" t="s">
        <v>172</v>
      </c>
      <c r="D338" s="476"/>
      <c r="E338" s="359" t="s">
        <v>332</v>
      </c>
      <c r="F338" s="421"/>
      <c r="G338" s="317">
        <v>2026</v>
      </c>
      <c r="H338" s="326" t="s">
        <v>1084</v>
      </c>
      <c r="I338" s="332" t="s">
        <v>249</v>
      </c>
      <c r="J338" s="337">
        <v>16</v>
      </c>
      <c r="K338" s="336" t="s">
        <v>770</v>
      </c>
      <c r="L338" s="323" t="s">
        <v>344</v>
      </c>
      <c r="M338" s="303" t="s">
        <v>541</v>
      </c>
      <c r="N338" s="303">
        <v>10.199999999999999</v>
      </c>
      <c r="O338" s="303">
        <v>10.199999999999999</v>
      </c>
      <c r="P338" s="303">
        <v>10.199999999999999</v>
      </c>
      <c r="Q338" s="303">
        <v>10.199999999999999</v>
      </c>
      <c r="R338" s="401">
        <v>11</v>
      </c>
      <c r="S338" s="401">
        <v>11</v>
      </c>
      <c r="T338" s="401">
        <v>11</v>
      </c>
      <c r="U338" s="401">
        <v>11</v>
      </c>
      <c r="V338" s="401">
        <v>11</v>
      </c>
      <c r="W338" s="401">
        <v>11</v>
      </c>
      <c r="X338" s="401">
        <v>11</v>
      </c>
      <c r="Y338" s="401">
        <v>11</v>
      </c>
      <c r="Z338" s="304">
        <v>0.7</v>
      </c>
      <c r="AA338" s="304">
        <v>0.7</v>
      </c>
      <c r="AB338" s="304">
        <v>0.7</v>
      </c>
      <c r="AC338" s="304">
        <v>0.7</v>
      </c>
      <c r="AD338" s="403">
        <v>0.90000000000000036</v>
      </c>
      <c r="AE338" s="403">
        <v>0.90000000000000036</v>
      </c>
      <c r="AF338" s="403">
        <v>0.90000000000000036</v>
      </c>
      <c r="AG338" s="403">
        <v>0.90000000000000036</v>
      </c>
      <c r="AH338" s="403">
        <v>0.90000000000000036</v>
      </c>
      <c r="AI338" s="403">
        <v>0.90000000000000036</v>
      </c>
      <c r="AJ338" s="403">
        <v>0.90000000000000036</v>
      </c>
      <c r="AK338" s="403">
        <v>0.90000000000000036</v>
      </c>
      <c r="AL338" s="255"/>
      <c r="AM338" s="254">
        <f t="shared" si="48"/>
        <v>0</v>
      </c>
      <c r="AN338" s="255"/>
      <c r="AO338" s="254">
        <f t="shared" si="49"/>
        <v>0</v>
      </c>
      <c r="AP338" s="255"/>
      <c r="AQ338" s="254">
        <f t="shared" si="50"/>
        <v>0</v>
      </c>
      <c r="AR338" s="255"/>
      <c r="AS338" s="257">
        <f t="shared" si="51"/>
        <v>0</v>
      </c>
      <c r="AT338" s="381">
        <v>80</v>
      </c>
      <c r="AU338" s="257">
        <f t="shared" si="52"/>
        <v>72.000000000000028</v>
      </c>
      <c r="AV338" s="388"/>
      <c r="AW338" s="257">
        <f t="shared" si="53"/>
        <v>0</v>
      </c>
      <c r="AX338" s="255"/>
      <c r="AY338" s="257">
        <f t="shared" si="54"/>
        <v>0</v>
      </c>
      <c r="AZ338" s="255"/>
      <c r="BA338" s="257">
        <f t="shared" si="55"/>
        <v>0</v>
      </c>
      <c r="BB338" s="255"/>
      <c r="BC338" s="257">
        <f t="shared" si="56"/>
        <v>0</v>
      </c>
      <c r="BD338" s="255"/>
      <c r="BE338" s="257">
        <f t="shared" si="57"/>
        <v>0</v>
      </c>
      <c r="BF338" s="255"/>
      <c r="BG338" s="257">
        <f t="shared" si="58"/>
        <v>0</v>
      </c>
      <c r="BH338" s="255"/>
      <c r="BI338" s="257">
        <f t="shared" si="59"/>
        <v>0</v>
      </c>
      <c r="BJ338" s="1" t="s">
        <v>1089</v>
      </c>
      <c r="BL338" s="1" t="s">
        <v>457</v>
      </c>
      <c r="BM338" s="1" t="s">
        <v>1090</v>
      </c>
    </row>
    <row r="339" spans="1:65" ht="18" customHeight="1">
      <c r="A339" s="250" t="s">
        <v>951</v>
      </c>
      <c r="B339" s="59" t="s">
        <v>221</v>
      </c>
      <c r="C339" s="354" t="s">
        <v>172</v>
      </c>
      <c r="D339" s="476"/>
      <c r="E339" s="359" t="s">
        <v>332</v>
      </c>
      <c r="F339" s="421"/>
      <c r="G339" s="317">
        <v>2026</v>
      </c>
      <c r="H339" s="326" t="s">
        <v>1084</v>
      </c>
      <c r="I339" s="332" t="s">
        <v>249</v>
      </c>
      <c r="J339" s="337">
        <v>16</v>
      </c>
      <c r="K339" s="336" t="s">
        <v>756</v>
      </c>
      <c r="L339" s="323" t="s">
        <v>344</v>
      </c>
      <c r="M339" s="303" t="s">
        <v>541</v>
      </c>
      <c r="N339" s="303">
        <v>16.100000000000001</v>
      </c>
      <c r="O339" s="303">
        <v>16.100000000000001</v>
      </c>
      <c r="P339" s="303">
        <v>16.100000000000001</v>
      </c>
      <c r="Q339" s="303">
        <v>16.100000000000001</v>
      </c>
      <c r="R339" s="401">
        <v>16.95</v>
      </c>
      <c r="S339" s="401">
        <v>16.95</v>
      </c>
      <c r="T339" s="401">
        <v>16.95</v>
      </c>
      <c r="U339" s="401">
        <v>16.95</v>
      </c>
      <c r="V339" s="401">
        <v>16.95</v>
      </c>
      <c r="W339" s="401">
        <v>16.95</v>
      </c>
      <c r="X339" s="401">
        <v>16.95</v>
      </c>
      <c r="Y339" s="401">
        <v>16.95</v>
      </c>
      <c r="Z339" s="304">
        <v>1.05</v>
      </c>
      <c r="AA339" s="304">
        <v>1.05</v>
      </c>
      <c r="AB339" s="304">
        <v>1.05</v>
      </c>
      <c r="AC339" s="304">
        <v>1.05</v>
      </c>
      <c r="AD339" s="403">
        <v>1.2999999999999989</v>
      </c>
      <c r="AE339" s="403">
        <v>1.2999999999999989</v>
      </c>
      <c r="AF339" s="403">
        <v>1.2999999999999989</v>
      </c>
      <c r="AG339" s="403">
        <v>1.2999999999999989</v>
      </c>
      <c r="AH339" s="403">
        <v>1.2999999999999989</v>
      </c>
      <c r="AI339" s="403">
        <v>1.2999999999999989</v>
      </c>
      <c r="AJ339" s="403">
        <v>1.2999999999999989</v>
      </c>
      <c r="AK339" s="403">
        <v>1.2999999999999989</v>
      </c>
      <c r="AL339" s="255"/>
      <c r="AM339" s="254">
        <f t="shared" si="48"/>
        <v>0</v>
      </c>
      <c r="AN339" s="255"/>
      <c r="AO339" s="254">
        <f t="shared" si="49"/>
        <v>0</v>
      </c>
      <c r="AP339" s="255"/>
      <c r="AQ339" s="254">
        <f t="shared" si="50"/>
        <v>0</v>
      </c>
      <c r="AR339" s="255"/>
      <c r="AS339" s="257">
        <f t="shared" si="51"/>
        <v>0</v>
      </c>
      <c r="AT339" s="381"/>
      <c r="AU339" s="257">
        <f t="shared" si="52"/>
        <v>0</v>
      </c>
      <c r="AV339" s="388"/>
      <c r="AW339" s="257">
        <f t="shared" si="53"/>
        <v>0</v>
      </c>
      <c r="AX339" s="255"/>
      <c r="AY339" s="257">
        <f t="shared" si="54"/>
        <v>0</v>
      </c>
      <c r="AZ339" s="255"/>
      <c r="BA339" s="257">
        <f t="shared" si="55"/>
        <v>0</v>
      </c>
      <c r="BB339" s="255"/>
      <c r="BC339" s="257">
        <f t="shared" si="56"/>
        <v>0</v>
      </c>
      <c r="BD339" s="255"/>
      <c r="BE339" s="257">
        <f t="shared" si="57"/>
        <v>0</v>
      </c>
      <c r="BF339" s="255"/>
      <c r="BG339" s="257">
        <f t="shared" si="58"/>
        <v>0</v>
      </c>
      <c r="BH339" s="255"/>
      <c r="BI339" s="257">
        <f t="shared" si="59"/>
        <v>0</v>
      </c>
      <c r="BJ339" s="1" t="s">
        <v>1091</v>
      </c>
      <c r="BL339" s="1" t="s">
        <v>457</v>
      </c>
      <c r="BM339" s="1" t="s">
        <v>1092</v>
      </c>
    </row>
    <row r="340" spans="1:65" ht="18" customHeight="1">
      <c r="A340" s="250" t="s">
        <v>951</v>
      </c>
      <c r="B340" s="59" t="s">
        <v>221</v>
      </c>
      <c r="C340" s="354" t="s">
        <v>172</v>
      </c>
      <c r="D340" s="476"/>
      <c r="E340" s="359" t="s">
        <v>332</v>
      </c>
      <c r="F340" s="421"/>
      <c r="G340" s="317">
        <v>2026</v>
      </c>
      <c r="H340" s="326" t="s">
        <v>1093</v>
      </c>
      <c r="I340" s="332" t="s">
        <v>249</v>
      </c>
      <c r="J340" s="337">
        <v>16</v>
      </c>
      <c r="K340" s="336" t="s">
        <v>723</v>
      </c>
      <c r="L340" s="323" t="s">
        <v>344</v>
      </c>
      <c r="M340" s="303" t="s">
        <v>474</v>
      </c>
      <c r="N340" s="303">
        <v>10.199999999999999</v>
      </c>
      <c r="O340" s="303">
        <v>10.199999999999999</v>
      </c>
      <c r="P340" s="303">
        <v>10.199999999999999</v>
      </c>
      <c r="Q340" s="303">
        <v>10.199999999999999</v>
      </c>
      <c r="R340" s="401">
        <v>11</v>
      </c>
      <c r="S340" s="401">
        <v>11</v>
      </c>
      <c r="T340" s="401">
        <v>11</v>
      </c>
      <c r="U340" s="401">
        <v>11</v>
      </c>
      <c r="V340" s="401">
        <v>11</v>
      </c>
      <c r="W340" s="401">
        <v>11</v>
      </c>
      <c r="X340" s="401">
        <v>11</v>
      </c>
      <c r="Y340" s="401">
        <v>11</v>
      </c>
      <c r="Z340" s="304">
        <v>0.7</v>
      </c>
      <c r="AA340" s="304">
        <v>0.7</v>
      </c>
      <c r="AB340" s="304">
        <v>0.7</v>
      </c>
      <c r="AC340" s="304">
        <v>0</v>
      </c>
      <c r="AD340" s="403">
        <v>0.90000000000000036</v>
      </c>
      <c r="AE340" s="403">
        <v>0.90000000000000036</v>
      </c>
      <c r="AF340" s="403">
        <v>0.90000000000000036</v>
      </c>
      <c r="AG340" s="403">
        <v>0.90000000000000036</v>
      </c>
      <c r="AH340" s="403">
        <v>0.90000000000000036</v>
      </c>
      <c r="AI340" s="403">
        <v>0.90000000000000036</v>
      </c>
      <c r="AJ340" s="403">
        <v>0.90000000000000036</v>
      </c>
      <c r="AK340" s="403">
        <v>0.90000000000000036</v>
      </c>
      <c r="AL340" s="255"/>
      <c r="AM340" s="254">
        <f t="shared" si="48"/>
        <v>0</v>
      </c>
      <c r="AN340" s="255">
        <v>809</v>
      </c>
      <c r="AO340" s="254">
        <f t="shared" si="49"/>
        <v>566.29999999999995</v>
      </c>
      <c r="AP340" s="255">
        <v>1160</v>
      </c>
      <c r="AQ340" s="254">
        <f t="shared" si="50"/>
        <v>812</v>
      </c>
      <c r="AR340" s="255">
        <v>479</v>
      </c>
      <c r="AS340" s="257">
        <f t="shared" si="51"/>
        <v>0</v>
      </c>
      <c r="AT340" s="381">
        <v>2130</v>
      </c>
      <c r="AU340" s="257">
        <f t="shared" si="52"/>
        <v>1917.0000000000007</v>
      </c>
      <c r="AV340" s="388"/>
      <c r="AW340" s="257">
        <f t="shared" si="53"/>
        <v>0</v>
      </c>
      <c r="AX340" s="255"/>
      <c r="AY340" s="257">
        <f t="shared" si="54"/>
        <v>0</v>
      </c>
      <c r="AZ340" s="255"/>
      <c r="BA340" s="257">
        <f t="shared" si="55"/>
        <v>0</v>
      </c>
      <c r="BB340" s="255"/>
      <c r="BC340" s="257">
        <f t="shared" si="56"/>
        <v>0</v>
      </c>
      <c r="BD340" s="255"/>
      <c r="BE340" s="257">
        <f t="shared" si="57"/>
        <v>0</v>
      </c>
      <c r="BF340" s="255"/>
      <c r="BG340" s="257">
        <f t="shared" si="58"/>
        <v>0</v>
      </c>
      <c r="BH340" s="255"/>
      <c r="BI340" s="257">
        <f t="shared" si="59"/>
        <v>0</v>
      </c>
      <c r="BJ340" s="1" t="s">
        <v>1094</v>
      </c>
      <c r="BL340" s="1" t="s">
        <v>457</v>
      </c>
      <c r="BM340" s="1" t="s">
        <v>1095</v>
      </c>
    </row>
    <row r="341" spans="1:65" ht="18" customHeight="1">
      <c r="A341" s="250" t="s">
        <v>951</v>
      </c>
      <c r="B341" s="59" t="s">
        <v>221</v>
      </c>
      <c r="C341" s="354" t="s">
        <v>172</v>
      </c>
      <c r="D341" s="476"/>
      <c r="E341" s="359" t="s">
        <v>332</v>
      </c>
      <c r="F341" s="421"/>
      <c r="G341" s="317">
        <v>2026</v>
      </c>
      <c r="H341" s="326" t="s">
        <v>1093</v>
      </c>
      <c r="I341" s="332" t="s">
        <v>249</v>
      </c>
      <c r="J341" s="337">
        <v>16</v>
      </c>
      <c r="K341" s="336" t="s">
        <v>726</v>
      </c>
      <c r="L341" s="323" t="s">
        <v>344</v>
      </c>
      <c r="M341" s="303" t="s">
        <v>474</v>
      </c>
      <c r="N341" s="303">
        <v>16.100000000000001</v>
      </c>
      <c r="O341" s="303">
        <v>16.100000000000001</v>
      </c>
      <c r="P341" s="303">
        <v>16.100000000000001</v>
      </c>
      <c r="Q341" s="303">
        <v>16.100000000000001</v>
      </c>
      <c r="R341" s="401">
        <v>16.95</v>
      </c>
      <c r="S341" s="401">
        <v>16.95</v>
      </c>
      <c r="T341" s="401">
        <v>16.95</v>
      </c>
      <c r="U341" s="401">
        <v>16.95</v>
      </c>
      <c r="V341" s="401">
        <v>16.95</v>
      </c>
      <c r="W341" s="401">
        <v>16.95</v>
      </c>
      <c r="X341" s="401">
        <v>16.95</v>
      </c>
      <c r="Y341" s="401">
        <v>16.95</v>
      </c>
      <c r="Z341" s="304">
        <v>1.05</v>
      </c>
      <c r="AA341" s="304">
        <v>1.05</v>
      </c>
      <c r="AB341" s="304">
        <v>1.05</v>
      </c>
      <c r="AC341" s="304">
        <v>0</v>
      </c>
      <c r="AD341" s="403">
        <v>1.2999999999999989</v>
      </c>
      <c r="AE341" s="403">
        <v>1.2999999999999989</v>
      </c>
      <c r="AF341" s="403">
        <v>1.2999999999999989</v>
      </c>
      <c r="AG341" s="403">
        <v>1.2999999999999989</v>
      </c>
      <c r="AH341" s="403">
        <v>1.2999999999999989</v>
      </c>
      <c r="AI341" s="403">
        <v>1.2999999999999989</v>
      </c>
      <c r="AJ341" s="403">
        <v>1.2999999999999989</v>
      </c>
      <c r="AK341" s="403">
        <v>1.2999999999999989</v>
      </c>
      <c r="AL341" s="255"/>
      <c r="AM341" s="254">
        <f t="shared" si="48"/>
        <v>0</v>
      </c>
      <c r="AN341" s="255">
        <v>8910</v>
      </c>
      <c r="AO341" s="254">
        <f t="shared" si="49"/>
        <v>9355.5</v>
      </c>
      <c r="AP341" s="255">
        <v>4160</v>
      </c>
      <c r="AQ341" s="254">
        <f t="shared" si="50"/>
        <v>4368</v>
      </c>
      <c r="AR341" s="255">
        <v>8515</v>
      </c>
      <c r="AS341" s="257">
        <f t="shared" si="51"/>
        <v>0</v>
      </c>
      <c r="AT341" s="381">
        <v>6530</v>
      </c>
      <c r="AU341" s="257">
        <f t="shared" si="52"/>
        <v>8488.9999999999927</v>
      </c>
      <c r="AV341" s="388"/>
      <c r="AW341" s="257">
        <f t="shared" si="53"/>
        <v>0</v>
      </c>
      <c r="AX341" s="255"/>
      <c r="AY341" s="257">
        <f t="shared" si="54"/>
        <v>0</v>
      </c>
      <c r="AZ341" s="255"/>
      <c r="BA341" s="257">
        <f t="shared" si="55"/>
        <v>0</v>
      </c>
      <c r="BB341" s="255"/>
      <c r="BC341" s="257">
        <f t="shared" si="56"/>
        <v>0</v>
      </c>
      <c r="BD341" s="255"/>
      <c r="BE341" s="257">
        <f t="shared" si="57"/>
        <v>0</v>
      </c>
      <c r="BF341" s="255"/>
      <c r="BG341" s="257">
        <f t="shared" si="58"/>
        <v>0</v>
      </c>
      <c r="BH341" s="255"/>
      <c r="BI341" s="257">
        <f t="shared" si="59"/>
        <v>0</v>
      </c>
      <c r="BJ341" s="1" t="s">
        <v>1096</v>
      </c>
      <c r="BL341" s="1" t="s">
        <v>457</v>
      </c>
      <c r="BM341" s="1" t="s">
        <v>1097</v>
      </c>
    </row>
    <row r="342" spans="1:65" ht="18" customHeight="1">
      <c r="A342" s="250" t="s">
        <v>951</v>
      </c>
      <c r="B342" s="59" t="s">
        <v>221</v>
      </c>
      <c r="C342" s="354" t="s">
        <v>172</v>
      </c>
      <c r="D342" s="476"/>
      <c r="E342" s="359" t="s">
        <v>332</v>
      </c>
      <c r="F342" s="421"/>
      <c r="G342" s="317">
        <v>2026</v>
      </c>
      <c r="H342" s="326" t="s">
        <v>1093</v>
      </c>
      <c r="I342" s="332" t="s">
        <v>249</v>
      </c>
      <c r="J342" s="337">
        <v>16</v>
      </c>
      <c r="K342" s="336" t="s">
        <v>770</v>
      </c>
      <c r="L342" s="323" t="s">
        <v>344</v>
      </c>
      <c r="M342" s="303" t="s">
        <v>474</v>
      </c>
      <c r="N342" s="303">
        <v>10.199999999999999</v>
      </c>
      <c r="O342" s="303">
        <v>10.199999999999999</v>
      </c>
      <c r="P342" s="303">
        <v>10.199999999999999</v>
      </c>
      <c r="Q342" s="303">
        <v>10.199999999999999</v>
      </c>
      <c r="R342" s="401">
        <v>11</v>
      </c>
      <c r="S342" s="401">
        <v>11</v>
      </c>
      <c r="T342" s="401">
        <v>11</v>
      </c>
      <c r="U342" s="401">
        <v>11</v>
      </c>
      <c r="V342" s="401">
        <v>11</v>
      </c>
      <c r="W342" s="401">
        <v>11</v>
      </c>
      <c r="X342" s="401">
        <v>11</v>
      </c>
      <c r="Y342" s="401">
        <v>11</v>
      </c>
      <c r="Z342" s="304">
        <v>0.7</v>
      </c>
      <c r="AA342" s="304">
        <v>0.7</v>
      </c>
      <c r="AB342" s="304">
        <v>0.7</v>
      </c>
      <c r="AC342" s="304">
        <v>0</v>
      </c>
      <c r="AD342" s="403">
        <v>0.90000000000000036</v>
      </c>
      <c r="AE342" s="403">
        <v>0.90000000000000036</v>
      </c>
      <c r="AF342" s="403">
        <v>0.90000000000000036</v>
      </c>
      <c r="AG342" s="403">
        <v>0.90000000000000036</v>
      </c>
      <c r="AH342" s="403">
        <v>0.90000000000000036</v>
      </c>
      <c r="AI342" s="403">
        <v>0.90000000000000036</v>
      </c>
      <c r="AJ342" s="403">
        <v>0.90000000000000036</v>
      </c>
      <c r="AK342" s="403">
        <v>0.90000000000000036</v>
      </c>
      <c r="AL342" s="255"/>
      <c r="AM342" s="254">
        <f t="shared" si="48"/>
        <v>0</v>
      </c>
      <c r="AN342" s="255"/>
      <c r="AO342" s="254">
        <f t="shared" si="49"/>
        <v>0</v>
      </c>
      <c r="AP342" s="255"/>
      <c r="AQ342" s="254">
        <f t="shared" si="50"/>
        <v>0</v>
      </c>
      <c r="AR342" s="255"/>
      <c r="AS342" s="257">
        <f t="shared" si="51"/>
        <v>0</v>
      </c>
      <c r="AT342" s="381"/>
      <c r="AU342" s="257">
        <f t="shared" si="52"/>
        <v>0</v>
      </c>
      <c r="AV342" s="388"/>
      <c r="AW342" s="257">
        <f t="shared" si="53"/>
        <v>0</v>
      </c>
      <c r="AX342" s="255"/>
      <c r="AY342" s="257">
        <f t="shared" si="54"/>
        <v>0</v>
      </c>
      <c r="AZ342" s="255"/>
      <c r="BA342" s="257">
        <f t="shared" si="55"/>
        <v>0</v>
      </c>
      <c r="BB342" s="255"/>
      <c r="BC342" s="257">
        <f t="shared" si="56"/>
        <v>0</v>
      </c>
      <c r="BD342" s="255"/>
      <c r="BE342" s="257">
        <f t="shared" si="57"/>
        <v>0</v>
      </c>
      <c r="BF342" s="255"/>
      <c r="BG342" s="257">
        <f t="shared" si="58"/>
        <v>0</v>
      </c>
      <c r="BH342" s="255"/>
      <c r="BI342" s="257">
        <f t="shared" si="59"/>
        <v>0</v>
      </c>
      <c r="BJ342" s="1" t="s">
        <v>1098</v>
      </c>
      <c r="BL342" s="1" t="s">
        <v>457</v>
      </c>
      <c r="BM342" s="1" t="s">
        <v>1099</v>
      </c>
    </row>
    <row r="343" spans="1:65" ht="18" customHeight="1">
      <c r="A343" s="250" t="s">
        <v>951</v>
      </c>
      <c r="B343" s="59" t="s">
        <v>221</v>
      </c>
      <c r="C343" s="354" t="s">
        <v>172</v>
      </c>
      <c r="D343" s="476"/>
      <c r="E343" s="359" t="s">
        <v>332</v>
      </c>
      <c r="F343" s="421"/>
      <c r="G343" s="317">
        <v>2026</v>
      </c>
      <c r="H343" s="326" t="s">
        <v>1093</v>
      </c>
      <c r="I343" s="332" t="s">
        <v>249</v>
      </c>
      <c r="J343" s="337">
        <v>16</v>
      </c>
      <c r="K343" s="336" t="s">
        <v>723</v>
      </c>
      <c r="L343" s="323" t="s">
        <v>344</v>
      </c>
      <c r="M343" s="303" t="s">
        <v>474</v>
      </c>
      <c r="N343" s="303">
        <v>10.199999999999999</v>
      </c>
      <c r="O343" s="303">
        <v>10.199999999999999</v>
      </c>
      <c r="P343" s="303">
        <v>10.199999999999999</v>
      </c>
      <c r="Q343" s="303">
        <v>10.199999999999999</v>
      </c>
      <c r="R343" s="401">
        <v>11</v>
      </c>
      <c r="S343" s="401">
        <v>11</v>
      </c>
      <c r="T343" s="401">
        <v>11</v>
      </c>
      <c r="U343" s="401">
        <v>11</v>
      </c>
      <c r="V343" s="401">
        <v>11</v>
      </c>
      <c r="W343" s="401">
        <v>11</v>
      </c>
      <c r="X343" s="401">
        <v>11</v>
      </c>
      <c r="Y343" s="401">
        <v>11</v>
      </c>
      <c r="Z343" s="304">
        <v>0.69999999999999929</v>
      </c>
      <c r="AA343" s="304">
        <v>0.69999999999999929</v>
      </c>
      <c r="AB343" s="304">
        <v>0.69999999999999929</v>
      </c>
      <c r="AC343" s="304">
        <v>0.69999999999999929</v>
      </c>
      <c r="AD343" s="403">
        <v>0.90000000000000036</v>
      </c>
      <c r="AE343" s="403">
        <v>0.90000000000000036</v>
      </c>
      <c r="AF343" s="403">
        <v>0.90000000000000036</v>
      </c>
      <c r="AG343" s="403">
        <v>0.90000000000000036</v>
      </c>
      <c r="AH343" s="403">
        <v>0.90000000000000036</v>
      </c>
      <c r="AI343" s="403">
        <v>0.90000000000000036</v>
      </c>
      <c r="AJ343" s="403">
        <v>0.90000000000000036</v>
      </c>
      <c r="AK343" s="403">
        <v>0.90000000000000036</v>
      </c>
      <c r="AL343" s="255"/>
      <c r="AM343" s="254">
        <f t="shared" si="48"/>
        <v>0</v>
      </c>
      <c r="AN343" s="255"/>
      <c r="AO343" s="254">
        <f t="shared" si="49"/>
        <v>0</v>
      </c>
      <c r="AP343" s="255"/>
      <c r="AQ343" s="254">
        <f t="shared" si="50"/>
        <v>0</v>
      </c>
      <c r="AR343" s="255"/>
      <c r="AS343" s="257">
        <f t="shared" si="51"/>
        <v>0</v>
      </c>
      <c r="AT343" s="381">
        <v>220</v>
      </c>
      <c r="AU343" s="257">
        <f t="shared" si="52"/>
        <v>198.00000000000009</v>
      </c>
      <c r="AV343" s="388"/>
      <c r="AW343" s="257">
        <f t="shared" si="53"/>
        <v>0</v>
      </c>
      <c r="AX343" s="255"/>
      <c r="AY343" s="257">
        <f t="shared" si="54"/>
        <v>0</v>
      </c>
      <c r="AZ343" s="255"/>
      <c r="BA343" s="257">
        <f t="shared" si="55"/>
        <v>0</v>
      </c>
      <c r="BB343" s="255"/>
      <c r="BC343" s="257">
        <f t="shared" si="56"/>
        <v>0</v>
      </c>
      <c r="BD343" s="255"/>
      <c r="BE343" s="257">
        <f t="shared" si="57"/>
        <v>0</v>
      </c>
      <c r="BF343" s="255"/>
      <c r="BG343" s="257">
        <f t="shared" si="58"/>
        <v>0</v>
      </c>
      <c r="BH343" s="255"/>
      <c r="BI343" s="257">
        <f t="shared" si="59"/>
        <v>0</v>
      </c>
      <c r="BJ343" s="1" t="s">
        <v>1100</v>
      </c>
      <c r="BL343" s="1" t="s">
        <v>457</v>
      </c>
      <c r="BM343" s="1" t="s">
        <v>1101</v>
      </c>
    </row>
    <row r="344" spans="1:65" ht="18" customHeight="1">
      <c r="A344" s="250" t="s">
        <v>951</v>
      </c>
      <c r="B344" s="59" t="s">
        <v>221</v>
      </c>
      <c r="C344" s="354" t="s">
        <v>172</v>
      </c>
      <c r="D344" s="476"/>
      <c r="E344" s="359" t="s">
        <v>332</v>
      </c>
      <c r="F344" s="421"/>
      <c r="G344" s="317">
        <v>2026</v>
      </c>
      <c r="H344" s="326" t="s">
        <v>1093</v>
      </c>
      <c r="I344" s="332" t="s">
        <v>249</v>
      </c>
      <c r="J344" s="337">
        <v>16</v>
      </c>
      <c r="K344" s="336" t="s">
        <v>726</v>
      </c>
      <c r="L344" s="323" t="s">
        <v>344</v>
      </c>
      <c r="M344" s="303" t="s">
        <v>474</v>
      </c>
      <c r="N344" s="303">
        <v>16.100000000000001</v>
      </c>
      <c r="O344" s="303">
        <v>16.100000000000001</v>
      </c>
      <c r="P344" s="303">
        <v>16.100000000000001</v>
      </c>
      <c r="Q344" s="303">
        <v>16.100000000000001</v>
      </c>
      <c r="R344" s="401">
        <v>16.95</v>
      </c>
      <c r="S344" s="401">
        <v>16.95</v>
      </c>
      <c r="T344" s="401">
        <v>16.95</v>
      </c>
      <c r="U344" s="401">
        <v>16.95</v>
      </c>
      <c r="V344" s="401">
        <v>16.95</v>
      </c>
      <c r="W344" s="401">
        <v>16.95</v>
      </c>
      <c r="X344" s="401">
        <v>16.95</v>
      </c>
      <c r="Y344" s="401">
        <v>16.95</v>
      </c>
      <c r="Z344" s="304">
        <v>1.0500000000000007</v>
      </c>
      <c r="AA344" s="304">
        <v>1.0500000000000007</v>
      </c>
      <c r="AB344" s="304">
        <v>1.0500000000000007</v>
      </c>
      <c r="AC344" s="304">
        <v>1.0500000000000007</v>
      </c>
      <c r="AD344" s="403">
        <v>1.2999999999999989</v>
      </c>
      <c r="AE344" s="403">
        <v>1.2999999999999989</v>
      </c>
      <c r="AF344" s="403">
        <v>1.2999999999999989</v>
      </c>
      <c r="AG344" s="403">
        <v>1.2999999999999989</v>
      </c>
      <c r="AH344" s="403">
        <v>1.2999999999999989</v>
      </c>
      <c r="AI344" s="403">
        <v>1.2999999999999989</v>
      </c>
      <c r="AJ344" s="403">
        <v>1.2999999999999989</v>
      </c>
      <c r="AK344" s="403">
        <v>1.2999999999999989</v>
      </c>
      <c r="AL344" s="255"/>
      <c r="AM344" s="254">
        <f t="shared" si="48"/>
        <v>0</v>
      </c>
      <c r="AN344" s="255"/>
      <c r="AO344" s="254">
        <f t="shared" si="49"/>
        <v>0</v>
      </c>
      <c r="AP344" s="255"/>
      <c r="AQ344" s="254">
        <f t="shared" si="50"/>
        <v>0</v>
      </c>
      <c r="AR344" s="255"/>
      <c r="AS344" s="257">
        <f t="shared" si="51"/>
        <v>0</v>
      </c>
      <c r="AT344" s="381">
        <v>250</v>
      </c>
      <c r="AU344" s="257">
        <f t="shared" si="52"/>
        <v>324.99999999999972</v>
      </c>
      <c r="AV344" s="388"/>
      <c r="AW344" s="257">
        <f t="shared" si="53"/>
        <v>0</v>
      </c>
      <c r="AX344" s="255"/>
      <c r="AY344" s="257">
        <f t="shared" si="54"/>
        <v>0</v>
      </c>
      <c r="AZ344" s="255"/>
      <c r="BA344" s="257">
        <f t="shared" si="55"/>
        <v>0</v>
      </c>
      <c r="BB344" s="255"/>
      <c r="BC344" s="257">
        <f t="shared" si="56"/>
        <v>0</v>
      </c>
      <c r="BD344" s="255"/>
      <c r="BE344" s="257">
        <f t="shared" si="57"/>
        <v>0</v>
      </c>
      <c r="BF344" s="255"/>
      <c r="BG344" s="257">
        <f t="shared" si="58"/>
        <v>0</v>
      </c>
      <c r="BH344" s="255"/>
      <c r="BI344" s="257">
        <f t="shared" si="59"/>
        <v>0</v>
      </c>
      <c r="BJ344" s="1" t="s">
        <v>1102</v>
      </c>
      <c r="BL344" s="1" t="s">
        <v>457</v>
      </c>
      <c r="BM344" s="1" t="s">
        <v>1103</v>
      </c>
    </row>
    <row r="345" spans="1:65" ht="18" customHeight="1">
      <c r="A345" s="250" t="s">
        <v>951</v>
      </c>
      <c r="B345" s="59" t="s">
        <v>221</v>
      </c>
      <c r="C345" s="354" t="s">
        <v>172</v>
      </c>
      <c r="D345" s="476"/>
      <c r="E345" s="359" t="s">
        <v>332</v>
      </c>
      <c r="F345" s="421"/>
      <c r="G345" s="317">
        <v>2026</v>
      </c>
      <c r="H345" s="326" t="s">
        <v>1093</v>
      </c>
      <c r="I345" s="332" t="s">
        <v>249</v>
      </c>
      <c r="J345" s="337">
        <v>16</v>
      </c>
      <c r="K345" s="336" t="s">
        <v>723</v>
      </c>
      <c r="L345" s="323" t="s">
        <v>344</v>
      </c>
      <c r="M345" s="303" t="s">
        <v>513</v>
      </c>
      <c r="N345" s="303">
        <v>10.199999999999999</v>
      </c>
      <c r="O345" s="303">
        <v>10.199999999999999</v>
      </c>
      <c r="P345" s="303">
        <v>10.199999999999999</v>
      </c>
      <c r="Q345" s="303">
        <v>10.199999999999999</v>
      </c>
      <c r="R345" s="401">
        <v>11</v>
      </c>
      <c r="S345" s="401">
        <v>11</v>
      </c>
      <c r="T345" s="401">
        <v>11</v>
      </c>
      <c r="U345" s="401">
        <v>11</v>
      </c>
      <c r="V345" s="401">
        <v>11</v>
      </c>
      <c r="W345" s="401">
        <v>11</v>
      </c>
      <c r="X345" s="401">
        <v>11</v>
      </c>
      <c r="Y345" s="401">
        <v>11</v>
      </c>
      <c r="Z345" s="304">
        <v>0.69999999999999929</v>
      </c>
      <c r="AA345" s="304">
        <v>0.69999999999999929</v>
      </c>
      <c r="AB345" s="304">
        <v>0.69999999999999929</v>
      </c>
      <c r="AC345" s="304">
        <v>0.69999999999999929</v>
      </c>
      <c r="AD345" s="403">
        <v>0.90000000000000036</v>
      </c>
      <c r="AE345" s="403">
        <v>0.90000000000000036</v>
      </c>
      <c r="AF345" s="403">
        <v>0.90000000000000036</v>
      </c>
      <c r="AG345" s="403">
        <v>0.90000000000000036</v>
      </c>
      <c r="AH345" s="403">
        <v>0.90000000000000036</v>
      </c>
      <c r="AI345" s="403">
        <v>0.90000000000000036</v>
      </c>
      <c r="AJ345" s="403">
        <v>0.90000000000000036</v>
      </c>
      <c r="AK345" s="403">
        <v>0.90000000000000036</v>
      </c>
      <c r="AL345" s="255"/>
      <c r="AM345" s="254">
        <f t="shared" si="48"/>
        <v>0</v>
      </c>
      <c r="AN345" s="255"/>
      <c r="AO345" s="254">
        <f t="shared" si="49"/>
        <v>0</v>
      </c>
      <c r="AP345" s="255"/>
      <c r="AQ345" s="254">
        <f t="shared" si="50"/>
        <v>0</v>
      </c>
      <c r="AR345" s="255"/>
      <c r="AS345" s="257">
        <f t="shared" si="51"/>
        <v>0</v>
      </c>
      <c r="AT345" s="381">
        <v>600</v>
      </c>
      <c r="AU345" s="257">
        <f t="shared" si="52"/>
        <v>540.00000000000023</v>
      </c>
      <c r="AV345" s="388"/>
      <c r="AW345" s="257">
        <f t="shared" si="53"/>
        <v>0</v>
      </c>
      <c r="AX345" s="255"/>
      <c r="AY345" s="257">
        <f t="shared" si="54"/>
        <v>0</v>
      </c>
      <c r="AZ345" s="255"/>
      <c r="BA345" s="257">
        <f t="shared" si="55"/>
        <v>0</v>
      </c>
      <c r="BB345" s="255"/>
      <c r="BC345" s="257">
        <f t="shared" si="56"/>
        <v>0</v>
      </c>
      <c r="BD345" s="255"/>
      <c r="BE345" s="257">
        <f t="shared" si="57"/>
        <v>0</v>
      </c>
      <c r="BF345" s="255"/>
      <c r="BG345" s="257">
        <f t="shared" si="58"/>
        <v>0</v>
      </c>
      <c r="BH345" s="255"/>
      <c r="BI345" s="257">
        <f t="shared" si="59"/>
        <v>0</v>
      </c>
      <c r="BJ345" s="1" t="s">
        <v>1100</v>
      </c>
      <c r="BL345" s="1" t="s">
        <v>457</v>
      </c>
      <c r="BM345" s="1" t="s">
        <v>1101</v>
      </c>
    </row>
    <row r="346" spans="1:65" ht="18" customHeight="1">
      <c r="A346" s="250" t="s">
        <v>951</v>
      </c>
      <c r="B346" s="59" t="s">
        <v>221</v>
      </c>
      <c r="C346" s="354" t="s">
        <v>172</v>
      </c>
      <c r="D346" s="476"/>
      <c r="E346" s="359" t="s">
        <v>332</v>
      </c>
      <c r="F346" s="421"/>
      <c r="G346" s="317">
        <v>2026</v>
      </c>
      <c r="H346" s="326" t="s">
        <v>1093</v>
      </c>
      <c r="I346" s="332" t="s">
        <v>249</v>
      </c>
      <c r="J346" s="337">
        <v>16</v>
      </c>
      <c r="K346" s="336" t="s">
        <v>726</v>
      </c>
      <c r="L346" s="323" t="s">
        <v>344</v>
      </c>
      <c r="M346" s="303" t="s">
        <v>513</v>
      </c>
      <c r="N346" s="303">
        <v>16.100000000000001</v>
      </c>
      <c r="O346" s="303">
        <v>16.100000000000001</v>
      </c>
      <c r="P346" s="303">
        <v>16.100000000000001</v>
      </c>
      <c r="Q346" s="303">
        <v>16.100000000000001</v>
      </c>
      <c r="R346" s="401">
        <v>16.95</v>
      </c>
      <c r="S346" s="401">
        <v>16.95</v>
      </c>
      <c r="T346" s="401">
        <v>16.95</v>
      </c>
      <c r="U346" s="401">
        <v>16.95</v>
      </c>
      <c r="V346" s="401">
        <v>16.95</v>
      </c>
      <c r="W346" s="401">
        <v>16.95</v>
      </c>
      <c r="X346" s="401">
        <v>16.95</v>
      </c>
      <c r="Y346" s="401">
        <v>16.95</v>
      </c>
      <c r="Z346" s="304">
        <v>1.0500000000000007</v>
      </c>
      <c r="AA346" s="304">
        <v>1.0500000000000007</v>
      </c>
      <c r="AB346" s="304">
        <v>1.0500000000000007</v>
      </c>
      <c r="AC346" s="304">
        <v>1.0500000000000007</v>
      </c>
      <c r="AD346" s="403">
        <v>1.2999999999999989</v>
      </c>
      <c r="AE346" s="403">
        <v>1.2999999999999989</v>
      </c>
      <c r="AF346" s="403">
        <v>1.2999999999999989</v>
      </c>
      <c r="AG346" s="403">
        <v>1.2999999999999989</v>
      </c>
      <c r="AH346" s="403">
        <v>1.2999999999999989</v>
      </c>
      <c r="AI346" s="403">
        <v>1.2999999999999989</v>
      </c>
      <c r="AJ346" s="403">
        <v>1.2999999999999989</v>
      </c>
      <c r="AK346" s="403">
        <v>1.2999999999999989</v>
      </c>
      <c r="AL346" s="255"/>
      <c r="AM346" s="254">
        <f t="shared" si="48"/>
        <v>0</v>
      </c>
      <c r="AN346" s="255"/>
      <c r="AO346" s="254">
        <f t="shared" si="49"/>
        <v>0</v>
      </c>
      <c r="AP346" s="255"/>
      <c r="AQ346" s="254">
        <f t="shared" si="50"/>
        <v>0</v>
      </c>
      <c r="AR346" s="255"/>
      <c r="AS346" s="257">
        <f t="shared" si="51"/>
        <v>0</v>
      </c>
      <c r="AT346" s="381">
        <v>1200</v>
      </c>
      <c r="AU346" s="257">
        <f t="shared" si="52"/>
        <v>1559.9999999999986</v>
      </c>
      <c r="AV346" s="388"/>
      <c r="AW346" s="257">
        <f t="shared" si="53"/>
        <v>0</v>
      </c>
      <c r="AX346" s="255"/>
      <c r="AY346" s="257">
        <f t="shared" si="54"/>
        <v>0</v>
      </c>
      <c r="AZ346" s="255"/>
      <c r="BA346" s="257">
        <f t="shared" si="55"/>
        <v>0</v>
      </c>
      <c r="BB346" s="255"/>
      <c r="BC346" s="257">
        <f t="shared" si="56"/>
        <v>0</v>
      </c>
      <c r="BD346" s="255"/>
      <c r="BE346" s="257">
        <f t="shared" si="57"/>
        <v>0</v>
      </c>
      <c r="BF346" s="255"/>
      <c r="BG346" s="257">
        <f t="shared" si="58"/>
        <v>0</v>
      </c>
      <c r="BH346" s="255"/>
      <c r="BI346" s="257">
        <f t="shared" si="59"/>
        <v>0</v>
      </c>
      <c r="BJ346" s="1" t="s">
        <v>1102</v>
      </c>
      <c r="BL346" s="1" t="s">
        <v>457</v>
      </c>
      <c r="BM346" s="1" t="s">
        <v>1103</v>
      </c>
    </row>
    <row r="347" spans="1:65" ht="18" customHeight="1">
      <c r="A347" s="250" t="s">
        <v>951</v>
      </c>
      <c r="B347" s="59" t="s">
        <v>221</v>
      </c>
      <c r="C347" s="354" t="s">
        <v>172</v>
      </c>
      <c r="D347" s="476"/>
      <c r="E347" s="359" t="s">
        <v>332</v>
      </c>
      <c r="F347" s="421"/>
      <c r="G347" s="317"/>
      <c r="H347" s="326"/>
      <c r="I347" s="332"/>
      <c r="J347" s="337"/>
      <c r="K347" s="336"/>
      <c r="L347" s="323"/>
      <c r="M347" s="303"/>
      <c r="N347" s="303"/>
      <c r="O347" s="303"/>
      <c r="P347" s="303"/>
      <c r="Q347" s="303"/>
      <c r="R347" s="303"/>
      <c r="S347" s="303"/>
      <c r="T347" s="303"/>
      <c r="U347" s="303"/>
      <c r="V347" s="303"/>
      <c r="W347" s="303"/>
      <c r="X347" s="303"/>
      <c r="Y347" s="303"/>
      <c r="Z347" s="304"/>
      <c r="AA347" s="304"/>
      <c r="AB347" s="304"/>
      <c r="AC347" s="304"/>
      <c r="AD347" s="304"/>
      <c r="AE347" s="304"/>
      <c r="AF347" s="304"/>
      <c r="AG347" s="304"/>
      <c r="AH347" s="304"/>
      <c r="AI347" s="304"/>
      <c r="AJ347" s="304"/>
      <c r="AK347" s="304"/>
      <c r="AL347" s="255"/>
      <c r="AM347" s="254">
        <f t="shared" si="48"/>
        <v>0</v>
      </c>
      <c r="AN347" s="255"/>
      <c r="AO347" s="254">
        <f t="shared" si="49"/>
        <v>0</v>
      </c>
      <c r="AP347" s="274"/>
      <c r="AQ347" s="254">
        <f t="shared" si="50"/>
        <v>0</v>
      </c>
      <c r="AR347" s="261"/>
      <c r="AS347" s="257">
        <f t="shared" si="51"/>
        <v>0</v>
      </c>
      <c r="AT347" s="386"/>
      <c r="AU347" s="257">
        <f t="shared" si="52"/>
        <v>0</v>
      </c>
      <c r="AV347" s="389"/>
      <c r="AW347" s="257">
        <f t="shared" si="53"/>
        <v>0</v>
      </c>
      <c r="AX347" s="261"/>
      <c r="AY347" s="257">
        <f t="shared" si="54"/>
        <v>0</v>
      </c>
      <c r="AZ347" s="261"/>
      <c r="BA347" s="257">
        <f t="shared" si="55"/>
        <v>0</v>
      </c>
      <c r="BB347" s="274"/>
      <c r="BC347" s="257">
        <f t="shared" si="56"/>
        <v>0</v>
      </c>
      <c r="BD347" s="261"/>
      <c r="BE347" s="257">
        <f t="shared" si="57"/>
        <v>0</v>
      </c>
      <c r="BF347" s="261"/>
      <c r="BG347" s="257">
        <f t="shared" si="58"/>
        <v>0</v>
      </c>
      <c r="BH347" s="261"/>
      <c r="BI347" s="257">
        <f t="shared" si="59"/>
        <v>0</v>
      </c>
    </row>
    <row r="348" spans="1:65" ht="18" customHeight="1">
      <c r="A348" s="250" t="s">
        <v>951</v>
      </c>
      <c r="B348" s="59" t="s">
        <v>221</v>
      </c>
      <c r="C348" s="354" t="s">
        <v>172</v>
      </c>
      <c r="D348" s="476"/>
      <c r="E348" s="359" t="s">
        <v>332</v>
      </c>
      <c r="F348" s="421"/>
      <c r="G348" s="317"/>
      <c r="H348" s="326"/>
      <c r="I348" s="332"/>
      <c r="J348" s="337"/>
      <c r="K348" s="336"/>
      <c r="L348" s="323"/>
      <c r="M348" s="303"/>
      <c r="N348" s="303"/>
      <c r="O348" s="303"/>
      <c r="P348" s="303"/>
      <c r="Q348" s="303"/>
      <c r="R348" s="303"/>
      <c r="S348" s="303"/>
      <c r="T348" s="303"/>
      <c r="U348" s="303"/>
      <c r="V348" s="303"/>
      <c r="W348" s="303"/>
      <c r="X348" s="303"/>
      <c r="Y348" s="303"/>
      <c r="Z348" s="304"/>
      <c r="AA348" s="304"/>
      <c r="AB348" s="304"/>
      <c r="AC348" s="304"/>
      <c r="AD348" s="304"/>
      <c r="AE348" s="304"/>
      <c r="AF348" s="304"/>
      <c r="AG348" s="304"/>
      <c r="AH348" s="304"/>
      <c r="AI348" s="304"/>
      <c r="AJ348" s="304"/>
      <c r="AK348" s="304"/>
      <c r="AL348" s="255"/>
      <c r="AM348" s="254">
        <f t="shared" si="48"/>
        <v>0</v>
      </c>
      <c r="AN348" s="255"/>
      <c r="AO348" s="254">
        <f t="shared" si="49"/>
        <v>0</v>
      </c>
      <c r="AP348" s="274"/>
      <c r="AQ348" s="254">
        <f t="shared" si="50"/>
        <v>0</v>
      </c>
      <c r="AR348" s="256"/>
      <c r="AS348" s="257">
        <f t="shared" si="51"/>
        <v>0</v>
      </c>
      <c r="AT348" s="382"/>
      <c r="AU348" s="257">
        <f t="shared" si="52"/>
        <v>0</v>
      </c>
      <c r="AV348" s="268"/>
      <c r="AW348" s="257">
        <f t="shared" si="53"/>
        <v>0</v>
      </c>
      <c r="AX348" s="270"/>
      <c r="AY348" s="257">
        <f t="shared" si="54"/>
        <v>0</v>
      </c>
      <c r="AZ348" s="270"/>
      <c r="BA348" s="257">
        <f t="shared" si="55"/>
        <v>0</v>
      </c>
      <c r="BB348" s="270"/>
      <c r="BC348" s="257">
        <f t="shared" si="56"/>
        <v>0</v>
      </c>
      <c r="BD348" s="270"/>
      <c r="BE348" s="257">
        <f t="shared" si="57"/>
        <v>0</v>
      </c>
      <c r="BF348" s="270"/>
      <c r="BG348" s="257">
        <f t="shared" si="58"/>
        <v>0</v>
      </c>
      <c r="BH348" s="270"/>
      <c r="BI348" s="257">
        <f t="shared" si="59"/>
        <v>0</v>
      </c>
    </row>
    <row r="349" spans="1:65" ht="15" customHeight="1">
      <c r="A349" s="250" t="s">
        <v>951</v>
      </c>
      <c r="B349" s="59" t="s">
        <v>404</v>
      </c>
      <c r="C349" s="354" t="s">
        <v>172</v>
      </c>
      <c r="D349" s="476"/>
      <c r="E349" s="359" t="s">
        <v>214</v>
      </c>
      <c r="F349" s="417" t="s">
        <v>215</v>
      </c>
      <c r="G349" s="317"/>
      <c r="H349" s="59"/>
      <c r="I349" s="315"/>
      <c r="J349" s="318"/>
      <c r="K349" s="59"/>
      <c r="L349" s="298"/>
      <c r="M349" s="303"/>
      <c r="N349" s="303"/>
      <c r="O349" s="303"/>
      <c r="P349" s="303"/>
      <c r="Q349" s="303"/>
      <c r="R349" s="303"/>
      <c r="S349" s="303"/>
      <c r="T349" s="303"/>
      <c r="U349" s="303"/>
      <c r="V349" s="303"/>
      <c r="W349" s="303"/>
      <c r="X349" s="303"/>
      <c r="Y349" s="303"/>
      <c r="Z349" s="304"/>
      <c r="AA349" s="304"/>
      <c r="AB349" s="304"/>
      <c r="AC349" s="304"/>
      <c r="AD349" s="304"/>
      <c r="AE349" s="304"/>
      <c r="AF349" s="304"/>
      <c r="AG349" s="304"/>
      <c r="AH349" s="304"/>
      <c r="AI349" s="304"/>
      <c r="AJ349" s="304"/>
      <c r="AK349" s="304"/>
      <c r="AL349" s="255"/>
      <c r="AM349" s="254">
        <f t="shared" si="48"/>
        <v>0</v>
      </c>
      <c r="AN349" s="255"/>
      <c r="AO349" s="254">
        <f t="shared" si="49"/>
        <v>0</v>
      </c>
      <c r="AP349" s="255"/>
      <c r="AQ349" s="254">
        <f t="shared" si="50"/>
        <v>0</v>
      </c>
      <c r="AR349" s="256"/>
      <c r="AS349" s="257">
        <f t="shared" si="51"/>
        <v>0</v>
      </c>
      <c r="AT349" s="382"/>
      <c r="AU349" s="257">
        <f t="shared" si="52"/>
        <v>0</v>
      </c>
      <c r="AV349" s="268"/>
      <c r="AW349" s="257">
        <f t="shared" si="53"/>
        <v>0</v>
      </c>
      <c r="AX349" s="268"/>
      <c r="AY349" s="257">
        <f t="shared" si="54"/>
        <v>0</v>
      </c>
      <c r="AZ349" s="268"/>
      <c r="BA349" s="257">
        <f t="shared" si="55"/>
        <v>0</v>
      </c>
      <c r="BB349" s="268"/>
      <c r="BC349" s="257">
        <f t="shared" si="56"/>
        <v>0</v>
      </c>
      <c r="BD349" s="59"/>
      <c r="BE349" s="257">
        <f t="shared" si="57"/>
        <v>0</v>
      </c>
      <c r="BF349" s="59"/>
      <c r="BG349" s="257">
        <f t="shared" si="58"/>
        <v>0</v>
      </c>
      <c r="BH349" s="59"/>
      <c r="BI349" s="257">
        <f t="shared" si="59"/>
        <v>0</v>
      </c>
    </row>
    <row r="350" spans="1:65" ht="15" customHeight="1">
      <c r="A350" s="250" t="s">
        <v>951</v>
      </c>
      <c r="C350" s="354"/>
      <c r="D350" s="476"/>
      <c r="E350" s="359"/>
      <c r="F350" s="417"/>
      <c r="G350" s="59"/>
      <c r="H350" s="59"/>
      <c r="I350" s="59"/>
      <c r="J350" s="302"/>
      <c r="K350" s="59"/>
      <c r="L350" s="59"/>
      <c r="M350" s="303"/>
      <c r="N350" s="303"/>
      <c r="O350" s="303"/>
      <c r="P350" s="303"/>
      <c r="Q350" s="303"/>
      <c r="R350" s="303"/>
      <c r="S350" s="303"/>
      <c r="T350" s="303"/>
      <c r="U350" s="303"/>
      <c r="V350" s="303"/>
      <c r="W350" s="303"/>
      <c r="X350" s="303"/>
      <c r="Y350" s="303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255"/>
      <c r="AM350" s="254">
        <f t="shared" si="48"/>
        <v>0</v>
      </c>
      <c r="AN350" s="255"/>
      <c r="AO350" s="254">
        <f t="shared" si="49"/>
        <v>0</v>
      </c>
      <c r="AP350" s="255"/>
      <c r="AQ350" s="254">
        <f t="shared" si="50"/>
        <v>0</v>
      </c>
      <c r="AR350" s="256"/>
      <c r="AS350" s="257">
        <f t="shared" si="51"/>
        <v>0</v>
      </c>
      <c r="AT350" s="382"/>
      <c r="AU350" s="257">
        <f t="shared" si="52"/>
        <v>0</v>
      </c>
      <c r="AV350" s="268"/>
      <c r="AW350" s="257">
        <f t="shared" si="53"/>
        <v>0</v>
      </c>
      <c r="AX350" s="268"/>
      <c r="AY350" s="257">
        <f t="shared" si="54"/>
        <v>0</v>
      </c>
      <c r="AZ350" s="268"/>
      <c r="BA350" s="257">
        <f t="shared" si="55"/>
        <v>0</v>
      </c>
      <c r="BB350" s="268"/>
      <c r="BC350" s="257">
        <f t="shared" si="56"/>
        <v>0</v>
      </c>
      <c r="BD350" s="59"/>
      <c r="BE350" s="257">
        <f t="shared" si="57"/>
        <v>0</v>
      </c>
      <c r="BF350" s="59"/>
      <c r="BG350" s="257">
        <f t="shared" si="58"/>
        <v>0</v>
      </c>
      <c r="BH350" s="59"/>
      <c r="BI350" s="257">
        <f t="shared" si="59"/>
        <v>0</v>
      </c>
    </row>
    <row r="351" spans="1:65" ht="15" customHeight="1">
      <c r="A351" s="250" t="s">
        <v>951</v>
      </c>
      <c r="C351" s="354"/>
      <c r="D351" s="476"/>
      <c r="E351" s="359"/>
      <c r="F351" s="417"/>
      <c r="G351" s="59"/>
      <c r="H351" s="59"/>
      <c r="I351" s="59"/>
      <c r="J351" s="302"/>
      <c r="K351" s="59"/>
      <c r="L351" s="59"/>
      <c r="M351" s="303"/>
      <c r="N351" s="303"/>
      <c r="O351" s="303"/>
      <c r="P351" s="303"/>
      <c r="Q351" s="303"/>
      <c r="R351" s="303"/>
      <c r="S351" s="303"/>
      <c r="T351" s="303"/>
      <c r="U351" s="303"/>
      <c r="V351" s="303"/>
      <c r="W351" s="303"/>
      <c r="X351" s="303"/>
      <c r="Y351" s="303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255"/>
      <c r="AM351" s="254">
        <f t="shared" si="48"/>
        <v>0</v>
      </c>
      <c r="AN351" s="255"/>
      <c r="AO351" s="254">
        <f t="shared" si="49"/>
        <v>0</v>
      </c>
      <c r="AP351" s="255"/>
      <c r="AQ351" s="254">
        <f t="shared" si="50"/>
        <v>0</v>
      </c>
      <c r="AR351" s="256"/>
      <c r="AS351" s="257">
        <f t="shared" si="51"/>
        <v>0</v>
      </c>
      <c r="AT351" s="382"/>
      <c r="AU351" s="257">
        <f t="shared" si="52"/>
        <v>0</v>
      </c>
      <c r="AV351" s="268"/>
      <c r="AW351" s="257">
        <f t="shared" si="53"/>
        <v>0</v>
      </c>
      <c r="AX351" s="268"/>
      <c r="AY351" s="257">
        <f t="shared" si="54"/>
        <v>0</v>
      </c>
      <c r="AZ351" s="268"/>
      <c r="BA351" s="257">
        <f t="shared" si="55"/>
        <v>0</v>
      </c>
      <c r="BB351" s="268"/>
      <c r="BC351" s="257">
        <f t="shared" si="56"/>
        <v>0</v>
      </c>
      <c r="BD351" s="59"/>
      <c r="BE351" s="257">
        <f t="shared" si="57"/>
        <v>0</v>
      </c>
      <c r="BF351" s="59"/>
      <c r="BG351" s="257">
        <f t="shared" si="58"/>
        <v>0</v>
      </c>
      <c r="BH351" s="59"/>
      <c r="BI351" s="257">
        <f t="shared" si="59"/>
        <v>0</v>
      </c>
    </row>
    <row r="352" spans="1:65" ht="15" customHeight="1">
      <c r="A352" s="250" t="s">
        <v>951</v>
      </c>
      <c r="C352" s="354"/>
      <c r="D352" s="476"/>
      <c r="E352" s="359"/>
      <c r="F352" s="417"/>
      <c r="G352" s="59"/>
      <c r="H352" s="59"/>
      <c r="I352" s="59"/>
      <c r="J352" s="302"/>
      <c r="K352" s="59"/>
      <c r="L352" s="59"/>
      <c r="M352" s="303"/>
      <c r="N352" s="303"/>
      <c r="O352" s="303"/>
      <c r="P352" s="303"/>
      <c r="Q352" s="303"/>
      <c r="R352" s="303"/>
      <c r="S352" s="303"/>
      <c r="T352" s="303"/>
      <c r="U352" s="303"/>
      <c r="V352" s="303"/>
      <c r="W352" s="303"/>
      <c r="X352" s="303"/>
      <c r="Y352" s="303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255"/>
      <c r="AM352" s="254">
        <f t="shared" si="48"/>
        <v>0</v>
      </c>
      <c r="AN352" s="255"/>
      <c r="AO352" s="254">
        <f t="shared" si="49"/>
        <v>0</v>
      </c>
      <c r="AP352" s="255"/>
      <c r="AQ352" s="254">
        <f t="shared" si="50"/>
        <v>0</v>
      </c>
      <c r="AR352" s="256"/>
      <c r="AS352" s="257">
        <f t="shared" si="51"/>
        <v>0</v>
      </c>
      <c r="AT352" s="382"/>
      <c r="AU352" s="257">
        <f t="shared" si="52"/>
        <v>0</v>
      </c>
      <c r="AV352" s="268"/>
      <c r="AW352" s="257">
        <f t="shared" si="53"/>
        <v>0</v>
      </c>
      <c r="AX352" s="268"/>
      <c r="AY352" s="257">
        <f t="shared" si="54"/>
        <v>0</v>
      </c>
      <c r="AZ352" s="268"/>
      <c r="BA352" s="257">
        <f t="shared" si="55"/>
        <v>0</v>
      </c>
      <c r="BB352" s="268"/>
      <c r="BC352" s="257">
        <f t="shared" si="56"/>
        <v>0</v>
      </c>
      <c r="BD352" s="59"/>
      <c r="BE352" s="257">
        <f t="shared" si="57"/>
        <v>0</v>
      </c>
      <c r="BF352" s="59"/>
      <c r="BG352" s="257">
        <f t="shared" si="58"/>
        <v>0</v>
      </c>
      <c r="BH352" s="59"/>
      <c r="BI352" s="257">
        <f t="shared" si="59"/>
        <v>0</v>
      </c>
    </row>
    <row r="353" spans="1:65" ht="15.75" customHeight="1">
      <c r="A353" s="250" t="s">
        <v>951</v>
      </c>
      <c r="C353" s="354"/>
      <c r="D353" s="476"/>
      <c r="E353" s="359"/>
      <c r="F353" s="417"/>
      <c r="G353" s="59"/>
      <c r="H353" s="59"/>
      <c r="I353" s="59"/>
      <c r="J353" s="302"/>
      <c r="K353" s="59"/>
      <c r="L353" s="59"/>
      <c r="M353" s="303"/>
      <c r="N353" s="303"/>
      <c r="O353" s="303"/>
      <c r="P353" s="303"/>
      <c r="Q353" s="303"/>
      <c r="R353" s="303"/>
      <c r="S353" s="303"/>
      <c r="T353" s="303"/>
      <c r="U353" s="303"/>
      <c r="V353" s="303"/>
      <c r="W353" s="303"/>
      <c r="X353" s="303"/>
      <c r="Y353" s="303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255"/>
      <c r="AM353" s="254">
        <f t="shared" si="48"/>
        <v>0</v>
      </c>
      <c r="AN353" s="255"/>
      <c r="AO353" s="254">
        <f t="shared" si="49"/>
        <v>0</v>
      </c>
      <c r="AP353" s="255"/>
      <c r="AQ353" s="254">
        <f t="shared" si="50"/>
        <v>0</v>
      </c>
      <c r="AR353" s="256"/>
      <c r="AS353" s="257">
        <f t="shared" si="51"/>
        <v>0</v>
      </c>
      <c r="AT353" s="382"/>
      <c r="AU353" s="257">
        <f t="shared" si="52"/>
        <v>0</v>
      </c>
      <c r="AV353" s="268"/>
      <c r="AW353" s="257">
        <f t="shared" si="53"/>
        <v>0</v>
      </c>
      <c r="AX353" s="268"/>
      <c r="AY353" s="257">
        <f t="shared" si="54"/>
        <v>0</v>
      </c>
      <c r="AZ353" s="268"/>
      <c r="BA353" s="257">
        <f t="shared" si="55"/>
        <v>0</v>
      </c>
      <c r="BB353" s="268"/>
      <c r="BC353" s="257">
        <f t="shared" si="56"/>
        <v>0</v>
      </c>
      <c r="BD353" s="59"/>
      <c r="BE353" s="257">
        <f t="shared" si="57"/>
        <v>0</v>
      </c>
      <c r="BF353" s="59"/>
      <c r="BG353" s="257">
        <f t="shared" si="58"/>
        <v>0</v>
      </c>
      <c r="BH353" s="59"/>
      <c r="BI353" s="257">
        <f t="shared" si="59"/>
        <v>0</v>
      </c>
    </row>
    <row r="354" spans="1:65" ht="15.75" customHeight="1">
      <c r="A354" s="250" t="s">
        <v>951</v>
      </c>
      <c r="C354" s="354"/>
      <c r="D354" s="476"/>
      <c r="E354" s="359"/>
      <c r="F354" s="417"/>
      <c r="G354" s="59"/>
      <c r="H354" s="312"/>
      <c r="I354" s="312"/>
      <c r="J354" s="344"/>
      <c r="K354" s="312"/>
      <c r="L354" s="312"/>
      <c r="M354" s="303"/>
      <c r="N354" s="303"/>
      <c r="O354" s="303"/>
      <c r="P354" s="303"/>
      <c r="Q354" s="303"/>
      <c r="R354" s="303"/>
      <c r="S354" s="303"/>
      <c r="T354" s="303"/>
      <c r="U354" s="303"/>
      <c r="V354" s="303"/>
      <c r="W354" s="303"/>
      <c r="X354" s="303"/>
      <c r="Y354" s="303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255"/>
      <c r="AM354" s="254">
        <f t="shared" si="48"/>
        <v>0</v>
      </c>
      <c r="AN354" s="255"/>
      <c r="AO354" s="254">
        <f t="shared" si="49"/>
        <v>0</v>
      </c>
      <c r="AP354" s="255"/>
      <c r="AQ354" s="254">
        <f t="shared" si="50"/>
        <v>0</v>
      </c>
      <c r="AR354" s="256"/>
      <c r="AS354" s="257">
        <f t="shared" si="51"/>
        <v>0</v>
      </c>
      <c r="AT354" s="382"/>
      <c r="AU354" s="257">
        <f t="shared" si="52"/>
        <v>0</v>
      </c>
      <c r="AV354" s="268"/>
      <c r="AW354" s="257">
        <f t="shared" si="53"/>
        <v>0</v>
      </c>
      <c r="AX354" s="268"/>
      <c r="AY354" s="257">
        <f t="shared" si="54"/>
        <v>0</v>
      </c>
      <c r="AZ354" s="268"/>
      <c r="BA354" s="257">
        <f t="shared" si="55"/>
        <v>0</v>
      </c>
      <c r="BB354" s="268"/>
      <c r="BC354" s="257">
        <f t="shared" si="56"/>
        <v>0</v>
      </c>
      <c r="BD354" s="59"/>
      <c r="BE354" s="257">
        <f t="shared" si="57"/>
        <v>0</v>
      </c>
      <c r="BF354" s="59"/>
      <c r="BG354" s="257">
        <f t="shared" si="58"/>
        <v>0</v>
      </c>
      <c r="BH354" s="59"/>
      <c r="BI354" s="257">
        <f t="shared" si="59"/>
        <v>0</v>
      </c>
    </row>
    <row r="355" spans="1:65" ht="15.75" customHeight="1" thickBot="1">
      <c r="A355" s="250" t="s">
        <v>951</v>
      </c>
      <c r="C355" s="354"/>
      <c r="D355" s="477"/>
      <c r="E355" s="359"/>
      <c r="F355" s="417"/>
      <c r="G355" s="59"/>
      <c r="H355" s="312"/>
      <c r="I355" s="312"/>
      <c r="J355" s="344"/>
      <c r="K355" s="312"/>
      <c r="L355" s="312"/>
      <c r="M355" s="303"/>
      <c r="N355" s="303"/>
      <c r="O355" s="303"/>
      <c r="P355" s="303"/>
      <c r="Q355" s="303"/>
      <c r="R355" s="303"/>
      <c r="S355" s="303"/>
      <c r="T355" s="303"/>
      <c r="U355" s="303"/>
      <c r="V355" s="303"/>
      <c r="W355" s="303"/>
      <c r="X355" s="303"/>
      <c r="Y355" s="303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255"/>
      <c r="AM355" s="254">
        <f t="shared" si="48"/>
        <v>0</v>
      </c>
      <c r="AN355" s="255"/>
      <c r="AO355" s="254">
        <f t="shared" si="49"/>
        <v>0</v>
      </c>
      <c r="AP355" s="255"/>
      <c r="AQ355" s="254">
        <f t="shared" si="50"/>
        <v>0</v>
      </c>
      <c r="AR355" s="256"/>
      <c r="AS355" s="257">
        <f t="shared" si="51"/>
        <v>0</v>
      </c>
      <c r="AT355" s="382"/>
      <c r="AU355" s="257">
        <f t="shared" si="52"/>
        <v>0</v>
      </c>
      <c r="AV355" s="268"/>
      <c r="AW355" s="257">
        <f t="shared" si="53"/>
        <v>0</v>
      </c>
      <c r="AX355" s="268"/>
      <c r="AY355" s="257">
        <f t="shared" si="54"/>
        <v>0</v>
      </c>
      <c r="AZ355" s="268"/>
      <c r="BA355" s="257">
        <f t="shared" si="55"/>
        <v>0</v>
      </c>
      <c r="BB355" s="268"/>
      <c r="BC355" s="257">
        <f t="shared" si="56"/>
        <v>0</v>
      </c>
      <c r="BD355" s="59"/>
      <c r="BE355" s="257">
        <f t="shared" si="57"/>
        <v>0</v>
      </c>
      <c r="BF355" s="59"/>
      <c r="BG355" s="257">
        <f t="shared" si="58"/>
        <v>0</v>
      </c>
      <c r="BH355" s="59"/>
      <c r="BI355" s="257">
        <f t="shared" si="59"/>
        <v>0</v>
      </c>
    </row>
    <row r="356" spans="1:65" ht="15.75" customHeight="1">
      <c r="A356" s="250" t="s">
        <v>951</v>
      </c>
      <c r="B356" s="59" t="s">
        <v>405</v>
      </c>
      <c r="C356" s="354" t="s">
        <v>172</v>
      </c>
      <c r="D356" s="411" t="s">
        <v>304</v>
      </c>
      <c r="E356" s="414" t="s">
        <v>304</v>
      </c>
      <c r="F356" s="417" t="s">
        <v>305</v>
      </c>
      <c r="G356" s="353">
        <v>2021</v>
      </c>
      <c r="H356" s="345" t="s">
        <v>306</v>
      </c>
      <c r="I356" s="346" t="s">
        <v>183</v>
      </c>
      <c r="J356" s="347" t="s">
        <v>217</v>
      </c>
      <c r="K356" s="345" t="s">
        <v>217</v>
      </c>
      <c r="L356" s="345" t="s">
        <v>177</v>
      </c>
      <c r="M356" s="303" t="s">
        <v>775</v>
      </c>
      <c r="N356" s="303">
        <v>43.15</v>
      </c>
      <c r="O356" s="303">
        <v>43.15</v>
      </c>
      <c r="P356" s="303">
        <v>43.15</v>
      </c>
      <c r="Q356" s="303">
        <v>43.15</v>
      </c>
      <c r="R356" s="303">
        <v>43.15</v>
      </c>
      <c r="S356" s="303">
        <v>43.15</v>
      </c>
      <c r="T356" s="303">
        <v>43.15</v>
      </c>
      <c r="U356" s="303">
        <v>43.15</v>
      </c>
      <c r="V356" s="303">
        <v>43.15</v>
      </c>
      <c r="W356" s="303">
        <v>43.15</v>
      </c>
      <c r="X356" s="303">
        <v>43.15</v>
      </c>
      <c r="Y356" s="303">
        <v>43.15</v>
      </c>
      <c r="Z356" s="304">
        <v>0</v>
      </c>
      <c r="AA356" s="304">
        <v>0</v>
      </c>
      <c r="AB356" s="304">
        <v>0</v>
      </c>
      <c r="AC356" s="304">
        <v>0</v>
      </c>
      <c r="AD356" s="304">
        <v>0</v>
      </c>
      <c r="AE356" s="304">
        <v>0</v>
      </c>
      <c r="AF356" s="304">
        <v>0</v>
      </c>
      <c r="AG356" s="304">
        <v>0</v>
      </c>
      <c r="AH356" s="304">
        <v>0</v>
      </c>
      <c r="AI356" s="304">
        <v>0</v>
      </c>
      <c r="AJ356" s="304">
        <v>0</v>
      </c>
      <c r="AK356" s="304">
        <v>0</v>
      </c>
      <c r="AL356" s="255"/>
      <c r="AM356" s="254">
        <f t="shared" si="48"/>
        <v>0</v>
      </c>
      <c r="AN356" s="255"/>
      <c r="AO356" s="254">
        <f t="shared" si="49"/>
        <v>0</v>
      </c>
      <c r="AP356" s="255"/>
      <c r="AQ356" s="254">
        <f t="shared" si="50"/>
        <v>0</v>
      </c>
      <c r="AR356" s="255"/>
      <c r="AS356" s="257">
        <f t="shared" si="51"/>
        <v>0</v>
      </c>
      <c r="AT356" s="381"/>
      <c r="AU356" s="257">
        <f t="shared" si="52"/>
        <v>0</v>
      </c>
      <c r="AV356" s="388">
        <v>0</v>
      </c>
      <c r="AW356" s="257">
        <f t="shared" si="53"/>
        <v>0</v>
      </c>
      <c r="AX356" s="270">
        <v>0</v>
      </c>
      <c r="AY356" s="257">
        <f t="shared" si="54"/>
        <v>0</v>
      </c>
      <c r="AZ356" s="255">
        <v>1200</v>
      </c>
      <c r="BA356" s="257">
        <f t="shared" si="55"/>
        <v>0</v>
      </c>
      <c r="BB356" s="255">
        <v>0</v>
      </c>
      <c r="BC356" s="257">
        <f t="shared" si="56"/>
        <v>0</v>
      </c>
      <c r="BD356" s="255">
        <v>0</v>
      </c>
      <c r="BE356" s="257">
        <f t="shared" si="57"/>
        <v>0</v>
      </c>
      <c r="BF356" s="255">
        <v>0</v>
      </c>
      <c r="BG356" s="257">
        <f t="shared" si="58"/>
        <v>0</v>
      </c>
      <c r="BH356" s="255">
        <v>0</v>
      </c>
      <c r="BI356" s="257">
        <f t="shared" si="59"/>
        <v>0</v>
      </c>
      <c r="BJ356" s="1" t="s">
        <v>776</v>
      </c>
      <c r="BK356" s="1" t="s">
        <v>777</v>
      </c>
      <c r="BL356" s="1" t="s">
        <v>406</v>
      </c>
      <c r="BM356" s="1" t="s">
        <v>778</v>
      </c>
    </row>
    <row r="357" spans="1:65" ht="15.75" customHeight="1">
      <c r="A357" s="250" t="s">
        <v>951</v>
      </c>
      <c r="B357" s="59" t="s">
        <v>405</v>
      </c>
      <c r="C357" s="354" t="s">
        <v>172</v>
      </c>
      <c r="D357" s="412"/>
      <c r="E357" s="415"/>
      <c r="F357" s="417"/>
      <c r="G357" s="353">
        <v>2021</v>
      </c>
      <c r="H357" s="345" t="s">
        <v>306</v>
      </c>
      <c r="I357" s="346" t="s">
        <v>183</v>
      </c>
      <c r="J357" s="347" t="s">
        <v>217</v>
      </c>
      <c r="K357" s="345" t="s">
        <v>217</v>
      </c>
      <c r="L357" s="345" t="s">
        <v>177</v>
      </c>
      <c r="M357" s="303" t="s">
        <v>779</v>
      </c>
      <c r="N357" s="303">
        <v>42.7</v>
      </c>
      <c r="O357" s="303">
        <v>42.7</v>
      </c>
      <c r="P357" s="303">
        <v>42.7</v>
      </c>
      <c r="Q357" s="303">
        <v>42.7</v>
      </c>
      <c r="R357" s="303">
        <v>42.7</v>
      </c>
      <c r="S357" s="303">
        <v>42.7</v>
      </c>
      <c r="T357" s="303">
        <v>42.7</v>
      </c>
      <c r="U357" s="303">
        <v>42.7</v>
      </c>
      <c r="V357" s="303">
        <v>42.7</v>
      </c>
      <c r="W357" s="303">
        <v>42.7</v>
      </c>
      <c r="X357" s="303">
        <v>42.7</v>
      </c>
      <c r="Y357" s="303">
        <v>42.7</v>
      </c>
      <c r="Z357" s="304">
        <v>0</v>
      </c>
      <c r="AA357" s="304">
        <v>0</v>
      </c>
      <c r="AB357" s="304">
        <v>0</v>
      </c>
      <c r="AC357" s="304">
        <v>0</v>
      </c>
      <c r="AD357" s="304">
        <v>0</v>
      </c>
      <c r="AE357" s="304">
        <v>0</v>
      </c>
      <c r="AF357" s="304">
        <v>0</v>
      </c>
      <c r="AG357" s="304">
        <v>0</v>
      </c>
      <c r="AH357" s="304">
        <v>0</v>
      </c>
      <c r="AI357" s="304">
        <v>0</v>
      </c>
      <c r="AJ357" s="304">
        <v>0</v>
      </c>
      <c r="AK357" s="304">
        <v>0</v>
      </c>
      <c r="AL357" s="255"/>
      <c r="AM357" s="254">
        <f t="shared" si="48"/>
        <v>0</v>
      </c>
      <c r="AN357" s="255"/>
      <c r="AO357" s="254">
        <f t="shared" si="49"/>
        <v>0</v>
      </c>
      <c r="AP357" s="255"/>
      <c r="AQ357" s="254">
        <f t="shared" si="50"/>
        <v>0</v>
      </c>
      <c r="AR357" s="255"/>
      <c r="AS357" s="257">
        <f t="shared" si="51"/>
        <v>0</v>
      </c>
      <c r="AT357" s="381"/>
      <c r="AU357" s="257">
        <f t="shared" si="52"/>
        <v>0</v>
      </c>
      <c r="AV357" s="388">
        <v>0</v>
      </c>
      <c r="AW357" s="257">
        <f t="shared" si="53"/>
        <v>0</v>
      </c>
      <c r="AX357" s="255">
        <v>0</v>
      </c>
      <c r="AY357" s="257">
        <f t="shared" si="54"/>
        <v>0</v>
      </c>
      <c r="AZ357" s="255">
        <v>0</v>
      </c>
      <c r="BA357" s="257">
        <f t="shared" si="55"/>
        <v>0</v>
      </c>
      <c r="BB357" s="255">
        <v>0</v>
      </c>
      <c r="BC357" s="257">
        <f t="shared" si="56"/>
        <v>0</v>
      </c>
      <c r="BD357" s="255">
        <v>1200</v>
      </c>
      <c r="BE357" s="257">
        <f t="shared" si="57"/>
        <v>0</v>
      </c>
      <c r="BF357" s="255">
        <v>0</v>
      </c>
      <c r="BG357" s="257">
        <f t="shared" si="58"/>
        <v>0</v>
      </c>
      <c r="BH357" s="255">
        <v>0</v>
      </c>
      <c r="BI357" s="257">
        <f t="shared" si="59"/>
        <v>0</v>
      </c>
      <c r="BJ357" s="1" t="s">
        <v>776</v>
      </c>
      <c r="BK357" s="1" t="s">
        <v>777</v>
      </c>
      <c r="BL357" s="1" t="s">
        <v>408</v>
      </c>
      <c r="BM357" s="1" t="s">
        <v>780</v>
      </c>
    </row>
    <row r="358" spans="1:65" ht="15.75" customHeight="1">
      <c r="A358" s="250" t="s">
        <v>951</v>
      </c>
      <c r="B358" s="59" t="s">
        <v>405</v>
      </c>
      <c r="C358" s="354" t="s">
        <v>172</v>
      </c>
      <c r="D358" s="412"/>
      <c r="E358" s="415"/>
      <c r="F358" s="417"/>
      <c r="G358" s="353">
        <v>2021</v>
      </c>
      <c r="H358" s="345" t="s">
        <v>306</v>
      </c>
      <c r="I358" s="346" t="s">
        <v>183</v>
      </c>
      <c r="J358" s="347" t="s">
        <v>217</v>
      </c>
      <c r="K358" s="345" t="s">
        <v>217</v>
      </c>
      <c r="L358" s="345" t="s">
        <v>177</v>
      </c>
      <c r="M358" s="303" t="s">
        <v>775</v>
      </c>
      <c r="N358" s="303">
        <v>43.15</v>
      </c>
      <c r="O358" s="303">
        <v>43.15</v>
      </c>
      <c r="P358" s="303">
        <v>43.15</v>
      </c>
      <c r="Q358" s="303">
        <v>43.15</v>
      </c>
      <c r="R358" s="303">
        <v>43.15</v>
      </c>
      <c r="S358" s="303">
        <v>43.15</v>
      </c>
      <c r="T358" s="303">
        <v>43.15</v>
      </c>
      <c r="U358" s="303">
        <v>43.15</v>
      </c>
      <c r="V358" s="303">
        <v>43.15</v>
      </c>
      <c r="W358" s="303">
        <v>43.15</v>
      </c>
      <c r="X358" s="303">
        <v>43.15</v>
      </c>
      <c r="Y358" s="303">
        <v>43.15</v>
      </c>
      <c r="Z358" s="304">
        <v>0</v>
      </c>
      <c r="AA358" s="304">
        <v>0</v>
      </c>
      <c r="AB358" s="304">
        <v>0</v>
      </c>
      <c r="AC358" s="304">
        <v>0</v>
      </c>
      <c r="AD358" s="304">
        <v>0</v>
      </c>
      <c r="AE358" s="304">
        <v>0</v>
      </c>
      <c r="AF358" s="304">
        <v>0</v>
      </c>
      <c r="AG358" s="304">
        <v>0</v>
      </c>
      <c r="AH358" s="304">
        <v>0</v>
      </c>
      <c r="AI358" s="304">
        <v>0</v>
      </c>
      <c r="AJ358" s="304">
        <v>0</v>
      </c>
      <c r="AK358" s="304">
        <v>0</v>
      </c>
      <c r="AL358" s="255"/>
      <c r="AM358" s="254">
        <f t="shared" si="48"/>
        <v>0</v>
      </c>
      <c r="AN358" s="255"/>
      <c r="AO358" s="254">
        <f t="shared" si="49"/>
        <v>0</v>
      </c>
      <c r="AP358" s="255"/>
      <c r="AQ358" s="254">
        <f t="shared" si="50"/>
        <v>0</v>
      </c>
      <c r="AR358" s="255"/>
      <c r="AS358" s="257">
        <f t="shared" si="51"/>
        <v>0</v>
      </c>
      <c r="AT358" s="381"/>
      <c r="AU358" s="257">
        <f t="shared" si="52"/>
        <v>0</v>
      </c>
      <c r="AV358" s="388">
        <v>0</v>
      </c>
      <c r="AW358" s="257">
        <f t="shared" si="53"/>
        <v>0</v>
      </c>
      <c r="AX358" s="363">
        <v>0</v>
      </c>
      <c r="AY358" s="257">
        <f t="shared" si="54"/>
        <v>0</v>
      </c>
      <c r="AZ358" s="255">
        <v>0</v>
      </c>
      <c r="BA358" s="257">
        <f t="shared" si="55"/>
        <v>0</v>
      </c>
      <c r="BB358" s="255">
        <v>0</v>
      </c>
      <c r="BC358" s="257">
        <f t="shared" si="56"/>
        <v>0</v>
      </c>
      <c r="BD358" s="255">
        <v>0</v>
      </c>
      <c r="BE358" s="257">
        <f t="shared" si="57"/>
        <v>0</v>
      </c>
      <c r="BF358" s="255">
        <v>0</v>
      </c>
      <c r="BG358" s="257">
        <f t="shared" si="58"/>
        <v>0</v>
      </c>
      <c r="BH358" s="255">
        <v>0</v>
      </c>
      <c r="BI358" s="257">
        <f t="shared" si="59"/>
        <v>0</v>
      </c>
      <c r="BJ358" s="1" t="s">
        <v>776</v>
      </c>
      <c r="BK358" s="1" t="s">
        <v>777</v>
      </c>
      <c r="BL358" s="1" t="s">
        <v>409</v>
      </c>
      <c r="BM358" s="1" t="s">
        <v>780</v>
      </c>
    </row>
    <row r="359" spans="1:65" ht="15.75" customHeight="1">
      <c r="A359" s="250" t="s">
        <v>951</v>
      </c>
      <c r="B359" s="59" t="s">
        <v>405</v>
      </c>
      <c r="C359" s="354" t="s">
        <v>172</v>
      </c>
      <c r="D359" s="412"/>
      <c r="E359" s="415"/>
      <c r="F359" s="417"/>
      <c r="G359" s="353">
        <v>2021</v>
      </c>
      <c r="H359" s="345" t="s">
        <v>306</v>
      </c>
      <c r="I359" s="346" t="s">
        <v>183</v>
      </c>
      <c r="J359" s="347" t="s">
        <v>217</v>
      </c>
      <c r="K359" s="345" t="s">
        <v>217</v>
      </c>
      <c r="L359" s="345" t="s">
        <v>177</v>
      </c>
      <c r="M359" s="303" t="s">
        <v>781</v>
      </c>
      <c r="N359" s="303">
        <v>42.7</v>
      </c>
      <c r="O359" s="303">
        <v>42.7</v>
      </c>
      <c r="P359" s="303">
        <v>42.7</v>
      </c>
      <c r="Q359" s="303">
        <v>42.7</v>
      </c>
      <c r="R359" s="303">
        <v>42.7</v>
      </c>
      <c r="S359" s="303">
        <v>42.7</v>
      </c>
      <c r="T359" s="303">
        <v>42.7</v>
      </c>
      <c r="U359" s="303">
        <v>42.7</v>
      </c>
      <c r="V359" s="303">
        <v>42.7</v>
      </c>
      <c r="W359" s="303">
        <v>42.7</v>
      </c>
      <c r="X359" s="303">
        <v>42.7</v>
      </c>
      <c r="Y359" s="303">
        <v>42.7</v>
      </c>
      <c r="Z359" s="304">
        <v>0</v>
      </c>
      <c r="AA359" s="304">
        <v>0</v>
      </c>
      <c r="AB359" s="304">
        <v>0</v>
      </c>
      <c r="AC359" s="304">
        <v>0</v>
      </c>
      <c r="AD359" s="304">
        <v>0</v>
      </c>
      <c r="AE359" s="304">
        <v>0</v>
      </c>
      <c r="AF359" s="304">
        <v>0</v>
      </c>
      <c r="AG359" s="304">
        <v>0</v>
      </c>
      <c r="AH359" s="304">
        <v>0</v>
      </c>
      <c r="AI359" s="304">
        <v>0</v>
      </c>
      <c r="AJ359" s="304">
        <v>0</v>
      </c>
      <c r="AK359" s="304">
        <v>0</v>
      </c>
      <c r="AL359" s="255"/>
      <c r="AM359" s="254">
        <f t="shared" si="48"/>
        <v>0</v>
      </c>
      <c r="AN359" s="255"/>
      <c r="AO359" s="254">
        <f t="shared" si="49"/>
        <v>0</v>
      </c>
      <c r="AP359" s="255">
        <v>200</v>
      </c>
      <c r="AQ359" s="254">
        <f t="shared" si="50"/>
        <v>0</v>
      </c>
      <c r="AR359" s="255"/>
      <c r="AS359" s="257">
        <f t="shared" si="51"/>
        <v>0</v>
      </c>
      <c r="AT359" s="381"/>
      <c r="AU359" s="257">
        <f t="shared" si="52"/>
        <v>0</v>
      </c>
      <c r="AV359" s="388">
        <v>0</v>
      </c>
      <c r="AW359" s="257">
        <f t="shared" si="53"/>
        <v>0</v>
      </c>
      <c r="AX359" s="363">
        <v>0</v>
      </c>
      <c r="AY359" s="257">
        <f t="shared" si="54"/>
        <v>0</v>
      </c>
      <c r="AZ359" s="255">
        <v>400</v>
      </c>
      <c r="BA359" s="257">
        <f t="shared" si="55"/>
        <v>0</v>
      </c>
      <c r="BB359" s="255">
        <v>0</v>
      </c>
      <c r="BC359" s="257">
        <f t="shared" si="56"/>
        <v>0</v>
      </c>
      <c r="BD359" s="255">
        <v>200</v>
      </c>
      <c r="BE359" s="257">
        <f t="shared" si="57"/>
        <v>0</v>
      </c>
      <c r="BF359" s="255">
        <v>800</v>
      </c>
      <c r="BG359" s="257">
        <f t="shared" si="58"/>
        <v>0</v>
      </c>
      <c r="BH359" s="255">
        <v>0</v>
      </c>
      <c r="BI359" s="257">
        <f t="shared" si="59"/>
        <v>0</v>
      </c>
      <c r="BJ359" s="1" t="s">
        <v>776</v>
      </c>
      <c r="BK359" s="1" t="s">
        <v>782</v>
      </c>
      <c r="BL359" s="1" t="s">
        <v>406</v>
      </c>
      <c r="BM359" s="1" t="s">
        <v>783</v>
      </c>
    </row>
    <row r="360" spans="1:65" ht="15.75" customHeight="1">
      <c r="A360" s="250" t="s">
        <v>951</v>
      </c>
      <c r="B360" s="59" t="s">
        <v>405</v>
      </c>
      <c r="C360" s="354" t="s">
        <v>172</v>
      </c>
      <c r="D360" s="412"/>
      <c r="E360" s="415"/>
      <c r="F360" s="417"/>
      <c r="G360" s="353">
        <v>2021</v>
      </c>
      <c r="H360" s="345" t="s">
        <v>306</v>
      </c>
      <c r="I360" s="346" t="s">
        <v>183</v>
      </c>
      <c r="J360" s="347" t="s">
        <v>217</v>
      </c>
      <c r="K360" s="345" t="s">
        <v>217</v>
      </c>
      <c r="L360" s="345" t="s">
        <v>177</v>
      </c>
      <c r="M360" s="303" t="s">
        <v>779</v>
      </c>
      <c r="N360" s="303">
        <v>42.7</v>
      </c>
      <c r="O360" s="303">
        <v>42.7</v>
      </c>
      <c r="P360" s="303">
        <v>42.7</v>
      </c>
      <c r="Q360" s="303">
        <v>42.7</v>
      </c>
      <c r="R360" s="303">
        <v>42.7</v>
      </c>
      <c r="S360" s="303">
        <v>42.7</v>
      </c>
      <c r="T360" s="303">
        <v>42.7</v>
      </c>
      <c r="U360" s="303">
        <v>42.7</v>
      </c>
      <c r="V360" s="303">
        <v>42.7</v>
      </c>
      <c r="W360" s="303">
        <v>42.7</v>
      </c>
      <c r="X360" s="303">
        <v>42.7</v>
      </c>
      <c r="Y360" s="303">
        <v>42.7</v>
      </c>
      <c r="Z360" s="304">
        <v>0</v>
      </c>
      <c r="AA360" s="304">
        <v>0</v>
      </c>
      <c r="AB360" s="304">
        <v>0</v>
      </c>
      <c r="AC360" s="304">
        <v>0</v>
      </c>
      <c r="AD360" s="304">
        <v>0</v>
      </c>
      <c r="AE360" s="304">
        <v>0</v>
      </c>
      <c r="AF360" s="304">
        <v>0</v>
      </c>
      <c r="AG360" s="304">
        <v>0</v>
      </c>
      <c r="AH360" s="304">
        <v>0</v>
      </c>
      <c r="AI360" s="304">
        <v>0</v>
      </c>
      <c r="AJ360" s="304">
        <v>0</v>
      </c>
      <c r="AK360" s="304">
        <v>0</v>
      </c>
      <c r="AL360" s="255">
        <v>400</v>
      </c>
      <c r="AM360" s="254">
        <f t="shared" si="48"/>
        <v>0</v>
      </c>
      <c r="AN360" s="255">
        <v>400</v>
      </c>
      <c r="AO360" s="254">
        <f t="shared" si="49"/>
        <v>0</v>
      </c>
      <c r="AP360" s="255">
        <v>600</v>
      </c>
      <c r="AQ360" s="254">
        <f t="shared" si="50"/>
        <v>0</v>
      </c>
      <c r="AR360" s="255">
        <v>400</v>
      </c>
      <c r="AS360" s="257">
        <f t="shared" si="51"/>
        <v>0</v>
      </c>
      <c r="AT360" s="381">
        <v>1000</v>
      </c>
      <c r="AU360" s="257">
        <f t="shared" si="52"/>
        <v>0</v>
      </c>
      <c r="AV360" s="388">
        <v>1200</v>
      </c>
      <c r="AW360" s="257">
        <f t="shared" si="53"/>
        <v>0</v>
      </c>
      <c r="AX360" s="270">
        <v>1200</v>
      </c>
      <c r="AY360" s="257">
        <f t="shared" si="54"/>
        <v>0</v>
      </c>
      <c r="AZ360" s="255">
        <v>1200</v>
      </c>
      <c r="BA360" s="257">
        <f t="shared" si="55"/>
        <v>0</v>
      </c>
      <c r="BB360" s="255">
        <v>1200</v>
      </c>
      <c r="BC360" s="257">
        <f t="shared" si="56"/>
        <v>0</v>
      </c>
      <c r="BD360" s="255">
        <v>1200</v>
      </c>
      <c r="BE360" s="257">
        <f t="shared" si="57"/>
        <v>0</v>
      </c>
      <c r="BF360" s="255">
        <v>1200</v>
      </c>
      <c r="BG360" s="257">
        <f t="shared" si="58"/>
        <v>0</v>
      </c>
      <c r="BH360" s="255">
        <v>1200</v>
      </c>
      <c r="BI360" s="257">
        <f t="shared" si="59"/>
        <v>0</v>
      </c>
      <c r="BJ360" s="1" t="s">
        <v>776</v>
      </c>
      <c r="BK360" s="1" t="s">
        <v>782</v>
      </c>
      <c r="BL360" s="1" t="s">
        <v>408</v>
      </c>
      <c r="BM360" s="1" t="s">
        <v>784</v>
      </c>
    </row>
    <row r="361" spans="1:65" ht="15.75" customHeight="1">
      <c r="A361" s="250" t="s">
        <v>951</v>
      </c>
      <c r="B361" s="59" t="s">
        <v>405</v>
      </c>
      <c r="C361" s="354" t="s">
        <v>172</v>
      </c>
      <c r="D361" s="412"/>
      <c r="E361" s="415"/>
      <c r="F361" s="417"/>
      <c r="G361" s="353">
        <v>2021</v>
      </c>
      <c r="H361" s="345" t="s">
        <v>306</v>
      </c>
      <c r="I361" s="346" t="s">
        <v>183</v>
      </c>
      <c r="J361" s="347" t="s">
        <v>217</v>
      </c>
      <c r="K361" s="345" t="s">
        <v>217</v>
      </c>
      <c r="L361" s="345" t="s">
        <v>177</v>
      </c>
      <c r="M361" s="303" t="s">
        <v>775</v>
      </c>
      <c r="N361" s="303">
        <v>43.15</v>
      </c>
      <c r="O361" s="303">
        <v>43.15</v>
      </c>
      <c r="P361" s="303">
        <v>43.15</v>
      </c>
      <c r="Q361" s="303">
        <v>43.15</v>
      </c>
      <c r="R361" s="303">
        <v>43.15</v>
      </c>
      <c r="S361" s="303">
        <v>43.15</v>
      </c>
      <c r="T361" s="303">
        <v>43.15</v>
      </c>
      <c r="U361" s="303">
        <v>43.15</v>
      </c>
      <c r="V361" s="303">
        <v>43.15</v>
      </c>
      <c r="W361" s="303">
        <v>43.15</v>
      </c>
      <c r="X361" s="303">
        <v>43.15</v>
      </c>
      <c r="Y361" s="303">
        <v>43.15</v>
      </c>
      <c r="Z361" s="304">
        <v>0</v>
      </c>
      <c r="AA361" s="304">
        <v>0</v>
      </c>
      <c r="AB361" s="304">
        <v>0</v>
      </c>
      <c r="AC361" s="304">
        <v>0</v>
      </c>
      <c r="AD361" s="304">
        <v>0</v>
      </c>
      <c r="AE361" s="304">
        <v>0</v>
      </c>
      <c r="AF361" s="304">
        <v>0</v>
      </c>
      <c r="AG361" s="304">
        <v>0</v>
      </c>
      <c r="AH361" s="304">
        <v>0</v>
      </c>
      <c r="AI361" s="304">
        <v>0</v>
      </c>
      <c r="AJ361" s="304">
        <v>0</v>
      </c>
      <c r="AK361" s="304">
        <v>0</v>
      </c>
      <c r="AL361" s="255"/>
      <c r="AM361" s="254">
        <f t="shared" si="48"/>
        <v>0</v>
      </c>
      <c r="AN361" s="255">
        <v>200</v>
      </c>
      <c r="AO361" s="254">
        <f t="shared" si="49"/>
        <v>0</v>
      </c>
      <c r="AP361" s="255"/>
      <c r="AQ361" s="254">
        <f t="shared" si="50"/>
        <v>0</v>
      </c>
      <c r="AR361" s="255"/>
      <c r="AS361" s="257">
        <f t="shared" si="51"/>
        <v>0</v>
      </c>
      <c r="AT361" s="381"/>
      <c r="AU361" s="257">
        <f t="shared" si="52"/>
        <v>0</v>
      </c>
      <c r="AV361" s="388">
        <v>0</v>
      </c>
      <c r="AW361" s="257">
        <f t="shared" si="53"/>
        <v>0</v>
      </c>
      <c r="AX361" s="270">
        <v>0</v>
      </c>
      <c r="AY361" s="257">
        <f t="shared" si="54"/>
        <v>0</v>
      </c>
      <c r="AZ361" s="255">
        <v>0</v>
      </c>
      <c r="BA361" s="257">
        <f t="shared" si="55"/>
        <v>0</v>
      </c>
      <c r="BB361" s="255">
        <v>0</v>
      </c>
      <c r="BC361" s="257">
        <f t="shared" si="56"/>
        <v>0</v>
      </c>
      <c r="BD361" s="255">
        <v>0</v>
      </c>
      <c r="BE361" s="257">
        <f t="shared" si="57"/>
        <v>0</v>
      </c>
      <c r="BF361" s="255">
        <v>0</v>
      </c>
      <c r="BG361" s="257">
        <f t="shared" si="58"/>
        <v>0</v>
      </c>
      <c r="BH361" s="255">
        <v>0</v>
      </c>
      <c r="BI361" s="257">
        <f t="shared" si="59"/>
        <v>0</v>
      </c>
      <c r="BJ361" s="1" t="s">
        <v>776</v>
      </c>
      <c r="BK361" s="1" t="s">
        <v>782</v>
      </c>
      <c r="BL361" s="1" t="s">
        <v>409</v>
      </c>
      <c r="BM361" s="1" t="s">
        <v>784</v>
      </c>
    </row>
    <row r="362" spans="1:65" ht="15.75" customHeight="1">
      <c r="A362" s="250" t="s">
        <v>951</v>
      </c>
      <c r="B362" s="59" t="s">
        <v>404</v>
      </c>
      <c r="C362" s="354" t="s">
        <v>172</v>
      </c>
      <c r="D362" s="412"/>
      <c r="E362" s="415"/>
      <c r="F362" s="417"/>
      <c r="G362" s="317">
        <v>2023</v>
      </c>
      <c r="H362" s="345" t="s">
        <v>307</v>
      </c>
      <c r="I362" s="346" t="s">
        <v>220</v>
      </c>
      <c r="J362" s="347" t="s">
        <v>308</v>
      </c>
      <c r="K362" s="348" t="s">
        <v>308</v>
      </c>
      <c r="L362" s="345" t="s">
        <v>185</v>
      </c>
      <c r="M362" s="303" t="s">
        <v>775</v>
      </c>
      <c r="N362" s="303">
        <v>33.85</v>
      </c>
      <c r="O362" s="303">
        <v>33.85</v>
      </c>
      <c r="P362" s="303">
        <v>33.85</v>
      </c>
      <c r="Q362" s="303">
        <v>33.85</v>
      </c>
      <c r="R362" s="303">
        <v>33.85</v>
      </c>
      <c r="S362" s="303">
        <v>33.85</v>
      </c>
      <c r="T362" s="303">
        <v>33.85</v>
      </c>
      <c r="U362" s="303">
        <v>33.85</v>
      </c>
      <c r="V362" s="303">
        <v>33.85</v>
      </c>
      <c r="W362" s="303">
        <v>33.85</v>
      </c>
      <c r="X362" s="303">
        <v>33.85</v>
      </c>
      <c r="Y362" s="303">
        <v>33.85</v>
      </c>
      <c r="Z362" s="304">
        <v>0.39</v>
      </c>
      <c r="AA362" s="304">
        <v>0.39</v>
      </c>
      <c r="AB362" s="304">
        <v>0.39</v>
      </c>
      <c r="AC362" s="304">
        <v>0.39</v>
      </c>
      <c r="AD362" s="304">
        <v>0.39</v>
      </c>
      <c r="AE362" s="304">
        <v>0.39</v>
      </c>
      <c r="AF362" s="304">
        <v>0.39</v>
      </c>
      <c r="AG362" s="304">
        <v>0.39</v>
      </c>
      <c r="AH362" s="304">
        <v>0.39</v>
      </c>
      <c r="AI362" s="304">
        <v>0.39</v>
      </c>
      <c r="AJ362" s="304">
        <v>0.39</v>
      </c>
      <c r="AK362" s="304">
        <v>0.39</v>
      </c>
      <c r="AL362" s="255"/>
      <c r="AM362" s="254">
        <f t="shared" si="48"/>
        <v>0</v>
      </c>
      <c r="AN362" s="255"/>
      <c r="AO362" s="254">
        <f t="shared" si="49"/>
        <v>0</v>
      </c>
      <c r="AP362" s="255"/>
      <c r="AQ362" s="254">
        <f t="shared" si="50"/>
        <v>0</v>
      </c>
      <c r="AR362" s="255"/>
      <c r="AS362" s="257">
        <f t="shared" si="51"/>
        <v>0</v>
      </c>
      <c r="AT362" s="381"/>
      <c r="AU362" s="257">
        <f t="shared" si="52"/>
        <v>0</v>
      </c>
      <c r="AV362" s="388">
        <v>0</v>
      </c>
      <c r="AW362" s="257">
        <f t="shared" si="53"/>
        <v>0</v>
      </c>
      <c r="AX362" s="270">
        <v>0</v>
      </c>
      <c r="AY362" s="257">
        <f t="shared" si="54"/>
        <v>0</v>
      </c>
      <c r="AZ362" s="255">
        <v>1152</v>
      </c>
      <c r="BA362" s="257">
        <f t="shared" si="55"/>
        <v>449.28000000000003</v>
      </c>
      <c r="BB362" s="255">
        <v>0</v>
      </c>
      <c r="BC362" s="257">
        <f t="shared" si="56"/>
        <v>0</v>
      </c>
      <c r="BD362" s="255">
        <v>0</v>
      </c>
      <c r="BE362" s="257">
        <f t="shared" si="57"/>
        <v>0</v>
      </c>
      <c r="BF362" s="255">
        <v>0</v>
      </c>
      <c r="BG362" s="257">
        <f t="shared" si="58"/>
        <v>0</v>
      </c>
      <c r="BH362" s="255">
        <v>0</v>
      </c>
      <c r="BI362" s="257">
        <f t="shared" si="59"/>
        <v>0</v>
      </c>
      <c r="BJ362" s="1" t="s">
        <v>786</v>
      </c>
      <c r="BK362" s="1" t="s">
        <v>787</v>
      </c>
      <c r="BL362" s="1" t="s">
        <v>406</v>
      </c>
      <c r="BM362" s="1" t="s">
        <v>788</v>
      </c>
    </row>
    <row r="363" spans="1:65" ht="15.75" customHeight="1">
      <c r="A363" s="250" t="s">
        <v>951</v>
      </c>
      <c r="B363" s="59" t="s">
        <v>404</v>
      </c>
      <c r="C363" s="354" t="s">
        <v>172</v>
      </c>
      <c r="D363" s="412"/>
      <c r="E363" s="415"/>
      <c r="F363" s="417"/>
      <c r="G363" s="317">
        <v>2023</v>
      </c>
      <c r="H363" s="345" t="s">
        <v>307</v>
      </c>
      <c r="I363" s="346" t="s">
        <v>220</v>
      </c>
      <c r="J363" s="347" t="s">
        <v>308</v>
      </c>
      <c r="K363" s="348" t="s">
        <v>308</v>
      </c>
      <c r="L363" s="345" t="s">
        <v>185</v>
      </c>
      <c r="M363" s="303" t="s">
        <v>779</v>
      </c>
      <c r="N363" s="303">
        <v>32.74</v>
      </c>
      <c r="O363" s="303">
        <v>32.74</v>
      </c>
      <c r="P363" s="303">
        <v>32.74</v>
      </c>
      <c r="Q363" s="303">
        <v>32.74</v>
      </c>
      <c r="R363" s="303">
        <v>32.74</v>
      </c>
      <c r="S363" s="303">
        <v>32.74</v>
      </c>
      <c r="T363" s="303">
        <v>32.74</v>
      </c>
      <c r="U363" s="303">
        <v>32.74</v>
      </c>
      <c r="V363" s="303">
        <v>32.74</v>
      </c>
      <c r="W363" s="303">
        <v>32.74</v>
      </c>
      <c r="X363" s="303">
        <v>32.74</v>
      </c>
      <c r="Y363" s="303">
        <v>32.74</v>
      </c>
      <c r="Z363" s="304">
        <v>0.39</v>
      </c>
      <c r="AA363" s="304">
        <v>0.39</v>
      </c>
      <c r="AB363" s="304">
        <v>0.39</v>
      </c>
      <c r="AC363" s="304">
        <v>0.39</v>
      </c>
      <c r="AD363" s="304">
        <v>0.39</v>
      </c>
      <c r="AE363" s="304">
        <v>0.39</v>
      </c>
      <c r="AF363" s="304">
        <v>0.39</v>
      </c>
      <c r="AG363" s="304">
        <v>0.39</v>
      </c>
      <c r="AH363" s="304">
        <v>0.39</v>
      </c>
      <c r="AI363" s="304">
        <v>0.39</v>
      </c>
      <c r="AJ363" s="304">
        <v>0.39</v>
      </c>
      <c r="AK363" s="304">
        <v>0.39</v>
      </c>
      <c r="AL363" s="255"/>
      <c r="AM363" s="254">
        <f t="shared" si="48"/>
        <v>0</v>
      </c>
      <c r="AN363" s="255"/>
      <c r="AO363" s="254">
        <f t="shared" si="49"/>
        <v>0</v>
      </c>
      <c r="AP363" s="255"/>
      <c r="AQ363" s="254">
        <f t="shared" si="50"/>
        <v>0</v>
      </c>
      <c r="AR363" s="255">
        <v>288</v>
      </c>
      <c r="AS363" s="257">
        <f t="shared" si="51"/>
        <v>112.32000000000001</v>
      </c>
      <c r="AT363" s="381"/>
      <c r="AU363" s="257">
        <f t="shared" si="52"/>
        <v>0</v>
      </c>
      <c r="AV363" s="388">
        <v>0</v>
      </c>
      <c r="AW363" s="257">
        <f t="shared" si="53"/>
        <v>0</v>
      </c>
      <c r="AX363" s="270">
        <v>0</v>
      </c>
      <c r="AY363" s="257">
        <f t="shared" si="54"/>
        <v>0</v>
      </c>
      <c r="AZ363" s="255">
        <v>576</v>
      </c>
      <c r="BA363" s="257">
        <f t="shared" si="55"/>
        <v>224.64000000000001</v>
      </c>
      <c r="BB363" s="255">
        <v>0</v>
      </c>
      <c r="BC363" s="257">
        <f t="shared" si="56"/>
        <v>0</v>
      </c>
      <c r="BD363" s="255">
        <v>288</v>
      </c>
      <c r="BE363" s="257">
        <f t="shared" si="57"/>
        <v>112.32000000000001</v>
      </c>
      <c r="BF363" s="255">
        <v>576</v>
      </c>
      <c r="BG363" s="257">
        <f t="shared" si="58"/>
        <v>224.64000000000001</v>
      </c>
      <c r="BH363" s="255">
        <v>0</v>
      </c>
      <c r="BI363" s="257">
        <f t="shared" si="59"/>
        <v>0</v>
      </c>
      <c r="BJ363" s="1" t="s">
        <v>789</v>
      </c>
      <c r="BK363" s="1" t="s">
        <v>790</v>
      </c>
      <c r="BL363" s="1" t="s">
        <v>408</v>
      </c>
      <c r="BM363" s="1" t="s">
        <v>791</v>
      </c>
    </row>
    <row r="364" spans="1:65" ht="15.75" customHeight="1">
      <c r="A364" s="250" t="s">
        <v>951</v>
      </c>
      <c r="B364" s="59" t="s">
        <v>404</v>
      </c>
      <c r="C364" s="354" t="s">
        <v>172</v>
      </c>
      <c r="D364" s="412"/>
      <c r="E364" s="415"/>
      <c r="F364" s="417"/>
      <c r="G364" s="317">
        <v>2023</v>
      </c>
      <c r="H364" s="345" t="s">
        <v>307</v>
      </c>
      <c r="I364" s="346" t="s">
        <v>220</v>
      </c>
      <c r="J364" s="347" t="s">
        <v>308</v>
      </c>
      <c r="K364" s="348" t="s">
        <v>308</v>
      </c>
      <c r="L364" s="345" t="s">
        <v>185</v>
      </c>
      <c r="M364" s="303" t="s">
        <v>775</v>
      </c>
      <c r="N364" s="303">
        <v>33.85</v>
      </c>
      <c r="O364" s="303">
        <v>33.85</v>
      </c>
      <c r="P364" s="303">
        <v>33.85</v>
      </c>
      <c r="Q364" s="303">
        <v>33.85</v>
      </c>
      <c r="R364" s="303">
        <v>33.85</v>
      </c>
      <c r="S364" s="303">
        <v>33.85</v>
      </c>
      <c r="T364" s="303">
        <v>33.85</v>
      </c>
      <c r="U364" s="303">
        <v>33.85</v>
      </c>
      <c r="V364" s="303">
        <v>33.85</v>
      </c>
      <c r="W364" s="303">
        <v>33.85</v>
      </c>
      <c r="X364" s="303">
        <v>33.85</v>
      </c>
      <c r="Y364" s="303">
        <v>33.85</v>
      </c>
      <c r="Z364" s="304">
        <v>0.39</v>
      </c>
      <c r="AA364" s="304">
        <v>0.39</v>
      </c>
      <c r="AB364" s="304">
        <v>0.39</v>
      </c>
      <c r="AC364" s="304">
        <v>0.39</v>
      </c>
      <c r="AD364" s="304">
        <v>0.39</v>
      </c>
      <c r="AE364" s="304">
        <v>0.39</v>
      </c>
      <c r="AF364" s="304">
        <v>0.39</v>
      </c>
      <c r="AG364" s="304">
        <v>0.39</v>
      </c>
      <c r="AH364" s="304">
        <v>0.39</v>
      </c>
      <c r="AI364" s="304">
        <v>0.39</v>
      </c>
      <c r="AJ364" s="304">
        <v>0.39</v>
      </c>
      <c r="AK364" s="304">
        <v>0.39</v>
      </c>
      <c r="AL364" s="255">
        <v>288</v>
      </c>
      <c r="AM364" s="254">
        <f t="shared" si="48"/>
        <v>112.32000000000001</v>
      </c>
      <c r="AN364" s="255"/>
      <c r="AO364" s="254">
        <f t="shared" si="49"/>
        <v>0</v>
      </c>
      <c r="AP364" s="255"/>
      <c r="AQ364" s="254">
        <f t="shared" si="50"/>
        <v>0</v>
      </c>
      <c r="AR364" s="255"/>
      <c r="AS364" s="257">
        <f t="shared" si="51"/>
        <v>0</v>
      </c>
      <c r="AT364" s="381"/>
      <c r="AU364" s="257">
        <f t="shared" si="52"/>
        <v>0</v>
      </c>
      <c r="AV364" s="388">
        <v>0</v>
      </c>
      <c r="AW364" s="257">
        <f t="shared" si="53"/>
        <v>0</v>
      </c>
      <c r="AX364" s="270">
        <v>0</v>
      </c>
      <c r="AY364" s="257">
        <f t="shared" si="54"/>
        <v>0</v>
      </c>
      <c r="AZ364" s="255">
        <v>0</v>
      </c>
      <c r="BA364" s="257">
        <f t="shared" si="55"/>
        <v>0</v>
      </c>
      <c r="BB364" s="255">
        <v>864</v>
      </c>
      <c r="BC364" s="257">
        <f t="shared" si="56"/>
        <v>336.96000000000004</v>
      </c>
      <c r="BD364" s="255"/>
      <c r="BE364" s="257">
        <f t="shared" si="57"/>
        <v>0</v>
      </c>
      <c r="BF364" s="255">
        <v>0</v>
      </c>
      <c r="BG364" s="257">
        <f t="shared" si="58"/>
        <v>0</v>
      </c>
      <c r="BH364" s="255">
        <v>0</v>
      </c>
      <c r="BI364" s="257">
        <f t="shared" si="59"/>
        <v>0</v>
      </c>
      <c r="BJ364" s="1" t="s">
        <v>792</v>
      </c>
      <c r="BK364" s="1" t="s">
        <v>793</v>
      </c>
      <c r="BL364" s="1" t="s">
        <v>409</v>
      </c>
      <c r="BM364" s="1" t="s">
        <v>794</v>
      </c>
    </row>
    <row r="365" spans="1:65" ht="15.75" customHeight="1">
      <c r="A365" s="250" t="s">
        <v>951</v>
      </c>
      <c r="B365" s="59" t="s">
        <v>404</v>
      </c>
      <c r="C365" s="354" t="s">
        <v>172</v>
      </c>
      <c r="D365" s="412"/>
      <c r="E365" s="415"/>
      <c r="F365" s="417"/>
      <c r="G365" s="317">
        <v>2023</v>
      </c>
      <c r="H365" s="345" t="s">
        <v>307</v>
      </c>
      <c r="I365" s="346" t="s">
        <v>220</v>
      </c>
      <c r="J365" s="347" t="s">
        <v>308</v>
      </c>
      <c r="K365" s="348" t="s">
        <v>308</v>
      </c>
      <c r="L365" s="345" t="s">
        <v>185</v>
      </c>
      <c r="M365" s="303" t="s">
        <v>775</v>
      </c>
      <c r="N365" s="303">
        <v>33.85</v>
      </c>
      <c r="O365" s="303">
        <v>33.85</v>
      </c>
      <c r="P365" s="303">
        <v>33.85</v>
      </c>
      <c r="Q365" s="303">
        <v>33.85</v>
      </c>
      <c r="R365" s="303">
        <v>33.85</v>
      </c>
      <c r="S365" s="303">
        <v>33.85</v>
      </c>
      <c r="T365" s="303">
        <v>33.85</v>
      </c>
      <c r="U365" s="303">
        <v>33.85</v>
      </c>
      <c r="V365" s="303">
        <v>33.85</v>
      </c>
      <c r="W365" s="303">
        <v>33.85</v>
      </c>
      <c r="X365" s="303">
        <v>33.85</v>
      </c>
      <c r="Y365" s="303">
        <v>33.85</v>
      </c>
      <c r="Z365" s="304">
        <v>0.39</v>
      </c>
      <c r="AA365" s="304">
        <v>0.39</v>
      </c>
      <c r="AB365" s="304">
        <v>0.39</v>
      </c>
      <c r="AC365" s="304">
        <v>0.39</v>
      </c>
      <c r="AD365" s="304">
        <v>0.39</v>
      </c>
      <c r="AE365" s="304">
        <v>0.39</v>
      </c>
      <c r="AF365" s="304">
        <v>0.39</v>
      </c>
      <c r="AG365" s="304">
        <v>0.39</v>
      </c>
      <c r="AH365" s="304">
        <v>0.39</v>
      </c>
      <c r="AI365" s="304">
        <v>0.39</v>
      </c>
      <c r="AJ365" s="304">
        <v>0.39</v>
      </c>
      <c r="AK365" s="304">
        <v>0.39</v>
      </c>
      <c r="AL365" s="255"/>
      <c r="AM365" s="254">
        <f t="shared" si="48"/>
        <v>0</v>
      </c>
      <c r="AN365" s="255">
        <v>288</v>
      </c>
      <c r="AO365" s="254">
        <f t="shared" si="49"/>
        <v>112.32000000000001</v>
      </c>
      <c r="AP365" s="255"/>
      <c r="AQ365" s="254">
        <f t="shared" si="50"/>
        <v>0</v>
      </c>
      <c r="AR365" s="255">
        <v>288</v>
      </c>
      <c r="AS365" s="257">
        <f t="shared" si="51"/>
        <v>112.32000000000001</v>
      </c>
      <c r="AT365" s="381"/>
      <c r="AU365" s="257">
        <f t="shared" si="52"/>
        <v>0</v>
      </c>
      <c r="AV365" s="388">
        <v>1152</v>
      </c>
      <c r="AW365" s="257">
        <f t="shared" si="53"/>
        <v>449.28000000000003</v>
      </c>
      <c r="AX365" s="270">
        <v>0</v>
      </c>
      <c r="AY365" s="257">
        <f t="shared" si="54"/>
        <v>0</v>
      </c>
      <c r="AZ365" s="255">
        <v>0</v>
      </c>
      <c r="BA365" s="257">
        <f t="shared" si="55"/>
        <v>0</v>
      </c>
      <c r="BB365" s="255">
        <v>0</v>
      </c>
      <c r="BC365" s="257">
        <f t="shared" si="56"/>
        <v>0</v>
      </c>
      <c r="BD365" s="255">
        <v>0</v>
      </c>
      <c r="BE365" s="257">
        <f t="shared" si="57"/>
        <v>0</v>
      </c>
      <c r="BF365" s="255">
        <v>0</v>
      </c>
      <c r="BG365" s="257">
        <f t="shared" si="58"/>
        <v>0</v>
      </c>
      <c r="BH365" s="255">
        <v>0</v>
      </c>
      <c r="BI365" s="257">
        <f t="shared" si="59"/>
        <v>0</v>
      </c>
      <c r="BJ365" s="1" t="s">
        <v>795</v>
      </c>
      <c r="BK365" s="1" t="s">
        <v>796</v>
      </c>
      <c r="BL365" s="1" t="s">
        <v>406</v>
      </c>
      <c r="BM365" s="1" t="s">
        <v>797</v>
      </c>
    </row>
    <row r="366" spans="1:65" ht="15.75" customHeight="1">
      <c r="A366" s="250" t="s">
        <v>951</v>
      </c>
      <c r="B366" s="59" t="s">
        <v>404</v>
      </c>
      <c r="C366" s="354" t="s">
        <v>172</v>
      </c>
      <c r="D366" s="412"/>
      <c r="E366" s="415"/>
      <c r="F366" s="417"/>
      <c r="G366" s="317">
        <v>2023</v>
      </c>
      <c r="H366" s="345" t="s">
        <v>307</v>
      </c>
      <c r="I366" s="346" t="s">
        <v>220</v>
      </c>
      <c r="J366" s="347" t="s">
        <v>308</v>
      </c>
      <c r="K366" s="348" t="s">
        <v>308</v>
      </c>
      <c r="L366" s="345" t="s">
        <v>185</v>
      </c>
      <c r="M366" s="303" t="s">
        <v>779</v>
      </c>
      <c r="N366" s="303">
        <v>32.74</v>
      </c>
      <c r="O366" s="303">
        <v>32.74</v>
      </c>
      <c r="P366" s="303">
        <v>32.74</v>
      </c>
      <c r="Q366" s="303">
        <v>32.74</v>
      </c>
      <c r="R366" s="303">
        <v>32.74</v>
      </c>
      <c r="S366" s="303">
        <v>32.74</v>
      </c>
      <c r="T366" s="303">
        <v>32.74</v>
      </c>
      <c r="U366" s="303">
        <v>32.74</v>
      </c>
      <c r="V366" s="303">
        <v>32.74</v>
      </c>
      <c r="W366" s="303">
        <v>32.74</v>
      </c>
      <c r="X366" s="303">
        <v>32.74</v>
      </c>
      <c r="Y366" s="303">
        <v>32.74</v>
      </c>
      <c r="Z366" s="304">
        <v>0.39</v>
      </c>
      <c r="AA366" s="304">
        <v>0.39</v>
      </c>
      <c r="AB366" s="304">
        <v>0.39</v>
      </c>
      <c r="AC366" s="304">
        <v>0.39</v>
      </c>
      <c r="AD366" s="304">
        <v>0.39</v>
      </c>
      <c r="AE366" s="304">
        <v>0.39</v>
      </c>
      <c r="AF366" s="304">
        <v>0.39</v>
      </c>
      <c r="AG366" s="304">
        <v>0.39</v>
      </c>
      <c r="AH366" s="304">
        <v>0.39</v>
      </c>
      <c r="AI366" s="304">
        <v>0.39</v>
      </c>
      <c r="AJ366" s="304">
        <v>0.39</v>
      </c>
      <c r="AK366" s="304">
        <v>0.39</v>
      </c>
      <c r="AL366" s="255"/>
      <c r="AM366" s="254">
        <f t="shared" si="48"/>
        <v>0</v>
      </c>
      <c r="AN366" s="255">
        <v>864</v>
      </c>
      <c r="AO366" s="254">
        <f t="shared" si="49"/>
        <v>336.96000000000004</v>
      </c>
      <c r="AP366" s="255">
        <v>576</v>
      </c>
      <c r="AQ366" s="254">
        <f t="shared" si="50"/>
        <v>224.64000000000001</v>
      </c>
      <c r="AR366" s="255">
        <v>1728</v>
      </c>
      <c r="AS366" s="257">
        <f t="shared" si="51"/>
        <v>673.92000000000007</v>
      </c>
      <c r="AT366" s="381"/>
      <c r="AU366" s="257">
        <f t="shared" si="52"/>
        <v>0</v>
      </c>
      <c r="AV366" s="388">
        <v>0</v>
      </c>
      <c r="AW366" s="257">
        <f t="shared" si="53"/>
        <v>0</v>
      </c>
      <c r="AX366" s="270">
        <v>0</v>
      </c>
      <c r="AY366" s="257">
        <f t="shared" si="54"/>
        <v>0</v>
      </c>
      <c r="AZ366" s="255">
        <v>576</v>
      </c>
      <c r="BA366" s="257">
        <f t="shared" si="55"/>
        <v>224.64000000000001</v>
      </c>
      <c r="BB366" s="255">
        <v>0</v>
      </c>
      <c r="BC366" s="257">
        <f t="shared" si="56"/>
        <v>0</v>
      </c>
      <c r="BD366" s="255">
        <v>0</v>
      </c>
      <c r="BE366" s="257">
        <f t="shared" si="57"/>
        <v>0</v>
      </c>
      <c r="BF366" s="255">
        <v>864</v>
      </c>
      <c r="BG366" s="257">
        <f t="shared" si="58"/>
        <v>336.96000000000004</v>
      </c>
      <c r="BH366" s="255">
        <v>0</v>
      </c>
      <c r="BI366" s="257">
        <f t="shared" si="59"/>
        <v>0</v>
      </c>
      <c r="BJ366" s="1" t="s">
        <v>798</v>
      </c>
      <c r="BK366" s="1" t="s">
        <v>799</v>
      </c>
      <c r="BL366" s="1" t="s">
        <v>408</v>
      </c>
      <c r="BM366" s="1" t="s">
        <v>800</v>
      </c>
    </row>
    <row r="367" spans="1:65" ht="15.75" customHeight="1">
      <c r="A367" s="250" t="s">
        <v>951</v>
      </c>
      <c r="B367" s="59" t="s">
        <v>404</v>
      </c>
      <c r="C367" s="354" t="s">
        <v>172</v>
      </c>
      <c r="D367" s="412"/>
      <c r="E367" s="415"/>
      <c r="F367" s="417"/>
      <c r="G367" s="317">
        <v>2023</v>
      </c>
      <c r="H367" s="345" t="s">
        <v>307</v>
      </c>
      <c r="I367" s="346" t="s">
        <v>220</v>
      </c>
      <c r="J367" s="347" t="s">
        <v>308</v>
      </c>
      <c r="K367" s="348" t="s">
        <v>308</v>
      </c>
      <c r="L367" s="345" t="s">
        <v>185</v>
      </c>
      <c r="M367" s="303" t="s">
        <v>775</v>
      </c>
      <c r="N367" s="303">
        <v>33.85</v>
      </c>
      <c r="O367" s="303">
        <v>33.85</v>
      </c>
      <c r="P367" s="303">
        <v>33.85</v>
      </c>
      <c r="Q367" s="303">
        <v>33.85</v>
      </c>
      <c r="R367" s="303">
        <v>33.85</v>
      </c>
      <c r="S367" s="303">
        <v>33.85</v>
      </c>
      <c r="T367" s="303">
        <v>33.85</v>
      </c>
      <c r="U367" s="303">
        <v>33.85</v>
      </c>
      <c r="V367" s="303">
        <v>33.85</v>
      </c>
      <c r="W367" s="303">
        <v>33.85</v>
      </c>
      <c r="X367" s="303">
        <v>33.85</v>
      </c>
      <c r="Y367" s="303">
        <v>33.85</v>
      </c>
      <c r="Z367" s="304">
        <v>0.39</v>
      </c>
      <c r="AA367" s="304">
        <v>0.39</v>
      </c>
      <c r="AB367" s="304">
        <v>0.39</v>
      </c>
      <c r="AC367" s="304">
        <v>0.39</v>
      </c>
      <c r="AD367" s="304">
        <v>0.39</v>
      </c>
      <c r="AE367" s="304">
        <v>0.39</v>
      </c>
      <c r="AF367" s="304">
        <v>0.39</v>
      </c>
      <c r="AG367" s="304">
        <v>0.39</v>
      </c>
      <c r="AH367" s="304">
        <v>0.39</v>
      </c>
      <c r="AI367" s="304">
        <v>0.39</v>
      </c>
      <c r="AJ367" s="304">
        <v>0.39</v>
      </c>
      <c r="AK367" s="304">
        <v>0.39</v>
      </c>
      <c r="AL367" s="255"/>
      <c r="AM367" s="254">
        <f t="shared" si="48"/>
        <v>0</v>
      </c>
      <c r="AN367" s="255"/>
      <c r="AO367" s="254">
        <f t="shared" si="49"/>
        <v>0</v>
      </c>
      <c r="AP367" s="255">
        <v>288</v>
      </c>
      <c r="AQ367" s="254">
        <f t="shared" si="50"/>
        <v>112.32000000000001</v>
      </c>
      <c r="AR367" s="255"/>
      <c r="AS367" s="257">
        <f t="shared" si="51"/>
        <v>0</v>
      </c>
      <c r="AT367" s="381"/>
      <c r="AU367" s="257">
        <f t="shared" si="52"/>
        <v>0</v>
      </c>
      <c r="AV367" s="388">
        <v>0</v>
      </c>
      <c r="AW367" s="257">
        <f t="shared" si="53"/>
        <v>0</v>
      </c>
      <c r="AX367" s="270">
        <v>0</v>
      </c>
      <c r="AY367" s="257">
        <f t="shared" si="54"/>
        <v>0</v>
      </c>
      <c r="AZ367" s="255">
        <v>0</v>
      </c>
      <c r="BA367" s="257">
        <f t="shared" si="55"/>
        <v>0</v>
      </c>
      <c r="BB367" s="255">
        <v>0</v>
      </c>
      <c r="BC367" s="257">
        <f t="shared" si="56"/>
        <v>0</v>
      </c>
      <c r="BD367" s="255">
        <v>0</v>
      </c>
      <c r="BE367" s="257">
        <f t="shared" si="57"/>
        <v>0</v>
      </c>
      <c r="BF367" s="255">
        <v>0</v>
      </c>
      <c r="BG367" s="257">
        <f t="shared" si="58"/>
        <v>0</v>
      </c>
      <c r="BH367" s="255">
        <v>0</v>
      </c>
      <c r="BI367" s="257">
        <f t="shared" si="59"/>
        <v>0</v>
      </c>
      <c r="BJ367" s="1" t="s">
        <v>801</v>
      </c>
      <c r="BK367" s="1" t="s">
        <v>802</v>
      </c>
      <c r="BL367" s="1" t="s">
        <v>409</v>
      </c>
      <c r="BM367" s="1" t="s">
        <v>803</v>
      </c>
    </row>
    <row r="368" spans="1:65" ht="15.75" customHeight="1">
      <c r="A368" s="250" t="s">
        <v>951</v>
      </c>
      <c r="B368" s="59" t="s">
        <v>405</v>
      </c>
      <c r="C368" s="354" t="s">
        <v>172</v>
      </c>
      <c r="D368" s="412"/>
      <c r="E368" s="415"/>
      <c r="F368" s="417"/>
      <c r="G368" s="317">
        <v>2024</v>
      </c>
      <c r="H368" s="349" t="s">
        <v>410</v>
      </c>
      <c r="I368" s="346" t="s">
        <v>190</v>
      </c>
      <c r="J368" s="347" t="s">
        <v>308</v>
      </c>
      <c r="K368" s="348" t="s">
        <v>308</v>
      </c>
      <c r="L368" s="345" t="s">
        <v>185</v>
      </c>
      <c r="M368" s="303" t="s">
        <v>775</v>
      </c>
      <c r="N368" s="303">
        <v>50.27</v>
      </c>
      <c r="O368" s="303">
        <v>50.27</v>
      </c>
      <c r="P368" s="303">
        <v>50.27</v>
      </c>
      <c r="Q368" s="303">
        <v>50.27</v>
      </c>
      <c r="R368" s="303">
        <v>50.27</v>
      </c>
      <c r="S368" s="303">
        <v>50.27</v>
      </c>
      <c r="T368" s="303">
        <v>50.27</v>
      </c>
      <c r="U368" s="303">
        <v>50.27</v>
      </c>
      <c r="V368" s="303">
        <v>50.27</v>
      </c>
      <c r="W368" s="303">
        <v>50.27</v>
      </c>
      <c r="X368" s="303">
        <v>50.27</v>
      </c>
      <c r="Y368" s="303">
        <v>50.27</v>
      </c>
      <c r="Z368" s="362">
        <v>0.04</v>
      </c>
      <c r="AA368" s="362">
        <v>0.04</v>
      </c>
      <c r="AB368" s="362">
        <v>0.04</v>
      </c>
      <c r="AC368" s="362">
        <v>0.04</v>
      </c>
      <c r="AD368" s="362">
        <v>0.04</v>
      </c>
      <c r="AE368" s="362">
        <v>0.04</v>
      </c>
      <c r="AF368" s="362">
        <v>0.04</v>
      </c>
      <c r="AG368" s="362">
        <v>0.04</v>
      </c>
      <c r="AH368" s="362">
        <v>0.04</v>
      </c>
      <c r="AI368" s="362">
        <v>0.04</v>
      </c>
      <c r="AJ368" s="362">
        <v>0.04</v>
      </c>
      <c r="AK368" s="362">
        <v>0.04</v>
      </c>
      <c r="AL368" s="255"/>
      <c r="AM368" s="254">
        <f t="shared" si="48"/>
        <v>0</v>
      </c>
      <c r="AN368" s="255"/>
      <c r="AO368" s="254">
        <f t="shared" si="49"/>
        <v>0</v>
      </c>
      <c r="AP368" s="255"/>
      <c r="AQ368" s="254">
        <f t="shared" si="50"/>
        <v>0</v>
      </c>
      <c r="AR368" s="256"/>
      <c r="AS368" s="257">
        <f t="shared" si="51"/>
        <v>0</v>
      </c>
      <c r="AT368" s="382"/>
      <c r="AU368" s="257">
        <f t="shared" si="52"/>
        <v>0</v>
      </c>
      <c r="AV368" s="268">
        <v>0</v>
      </c>
      <c r="AW368" s="257">
        <f t="shared" si="53"/>
        <v>0</v>
      </c>
      <c r="AX368" s="268">
        <v>576</v>
      </c>
      <c r="AY368" s="257">
        <f t="shared" si="54"/>
        <v>23.04</v>
      </c>
      <c r="AZ368" s="268">
        <v>0</v>
      </c>
      <c r="BA368" s="257">
        <f t="shared" si="55"/>
        <v>0</v>
      </c>
      <c r="BB368" s="268">
        <v>0</v>
      </c>
      <c r="BC368" s="257">
        <f t="shared" si="56"/>
        <v>0</v>
      </c>
      <c r="BD368" s="268">
        <v>1152</v>
      </c>
      <c r="BE368" s="257">
        <f t="shared" si="57"/>
        <v>46.08</v>
      </c>
      <c r="BF368" s="268">
        <v>576</v>
      </c>
      <c r="BG368" s="257">
        <f t="shared" si="58"/>
        <v>23.04</v>
      </c>
      <c r="BH368" s="268">
        <v>0</v>
      </c>
      <c r="BI368" s="257">
        <f t="shared" si="59"/>
        <v>0</v>
      </c>
      <c r="BJ368" s="1" t="s">
        <v>804</v>
      </c>
      <c r="BK368" s="1" t="s">
        <v>805</v>
      </c>
      <c r="BL368" s="1" t="s">
        <v>406</v>
      </c>
      <c r="BM368" s="1" t="s">
        <v>806</v>
      </c>
    </row>
    <row r="369" spans="1:65" s="14" customFormat="1" ht="14.85" customHeight="1">
      <c r="A369" s="250" t="s">
        <v>951</v>
      </c>
      <c r="B369" s="59" t="s">
        <v>405</v>
      </c>
      <c r="C369" s="354" t="s">
        <v>172</v>
      </c>
      <c r="D369" s="412"/>
      <c r="E369" s="415"/>
      <c r="F369" s="417"/>
      <c r="G369" s="317">
        <v>2024</v>
      </c>
      <c r="H369" s="349" t="s">
        <v>410</v>
      </c>
      <c r="I369" s="346" t="s">
        <v>190</v>
      </c>
      <c r="J369" s="347" t="s">
        <v>308</v>
      </c>
      <c r="K369" s="348" t="s">
        <v>308</v>
      </c>
      <c r="L369" s="345" t="s">
        <v>185</v>
      </c>
      <c r="M369" s="303" t="s">
        <v>779</v>
      </c>
      <c r="N369" s="303">
        <v>49.03</v>
      </c>
      <c r="O369" s="303">
        <v>49.03</v>
      </c>
      <c r="P369" s="303">
        <v>49.03</v>
      </c>
      <c r="Q369" s="303">
        <v>49.03</v>
      </c>
      <c r="R369" s="303">
        <v>49.03</v>
      </c>
      <c r="S369" s="303">
        <v>49.03</v>
      </c>
      <c r="T369" s="303">
        <v>49.03</v>
      </c>
      <c r="U369" s="303">
        <v>49.03</v>
      </c>
      <c r="V369" s="303">
        <v>49.03</v>
      </c>
      <c r="W369" s="303">
        <v>49.03</v>
      </c>
      <c r="X369" s="303">
        <v>49.03</v>
      </c>
      <c r="Y369" s="303">
        <v>49.03</v>
      </c>
      <c r="Z369" s="362">
        <v>0.04</v>
      </c>
      <c r="AA369" s="362">
        <v>0.04</v>
      </c>
      <c r="AB369" s="362">
        <v>0.04</v>
      </c>
      <c r="AC369" s="362">
        <v>0.04</v>
      </c>
      <c r="AD369" s="362">
        <v>0.04</v>
      </c>
      <c r="AE369" s="362">
        <v>0.04</v>
      </c>
      <c r="AF369" s="362">
        <v>0.04</v>
      </c>
      <c r="AG369" s="362">
        <v>0.04</v>
      </c>
      <c r="AH369" s="362">
        <v>0.04</v>
      </c>
      <c r="AI369" s="362">
        <v>0.04</v>
      </c>
      <c r="AJ369" s="362">
        <v>0.04</v>
      </c>
      <c r="AK369" s="362">
        <v>0.04</v>
      </c>
      <c r="AL369" s="255"/>
      <c r="AM369" s="254">
        <f t="shared" si="48"/>
        <v>0</v>
      </c>
      <c r="AN369" s="255">
        <v>192</v>
      </c>
      <c r="AO369" s="254">
        <f t="shared" si="49"/>
        <v>7.68</v>
      </c>
      <c r="AP369" s="255">
        <v>192</v>
      </c>
      <c r="AQ369" s="254">
        <f t="shared" si="50"/>
        <v>7.68</v>
      </c>
      <c r="AR369" s="255"/>
      <c r="AS369" s="257">
        <f t="shared" si="51"/>
        <v>0</v>
      </c>
      <c r="AT369" s="381"/>
      <c r="AU369" s="257">
        <f t="shared" si="52"/>
        <v>0</v>
      </c>
      <c r="AV369" s="388">
        <v>0</v>
      </c>
      <c r="AW369" s="257">
        <f t="shared" si="53"/>
        <v>0</v>
      </c>
      <c r="AX369" s="270">
        <v>576</v>
      </c>
      <c r="AY369" s="257">
        <f t="shared" si="54"/>
        <v>23.04</v>
      </c>
      <c r="AZ369" s="255">
        <v>0</v>
      </c>
      <c r="BA369" s="257">
        <f t="shared" si="55"/>
        <v>0</v>
      </c>
      <c r="BB369" s="255">
        <v>0</v>
      </c>
      <c r="BC369" s="257">
        <f t="shared" si="56"/>
        <v>0</v>
      </c>
      <c r="BD369" s="255">
        <v>192</v>
      </c>
      <c r="BE369" s="257">
        <f t="shared" si="57"/>
        <v>7.68</v>
      </c>
      <c r="BF369" s="255">
        <v>0</v>
      </c>
      <c r="BG369" s="257">
        <f t="shared" si="58"/>
        <v>0</v>
      </c>
      <c r="BH369" s="255">
        <v>0</v>
      </c>
      <c r="BI369" s="257">
        <f t="shared" si="59"/>
        <v>0</v>
      </c>
      <c r="BJ369" s="1" t="s">
        <v>804</v>
      </c>
      <c r="BK369" s="1" t="s">
        <v>805</v>
      </c>
      <c r="BL369" s="1" t="s">
        <v>408</v>
      </c>
      <c r="BM369" s="1" t="s">
        <v>807</v>
      </c>
    </row>
    <row r="370" spans="1:65" s="14" customFormat="1" ht="15.75" customHeight="1">
      <c r="A370" s="250" t="s">
        <v>951</v>
      </c>
      <c r="B370" s="59" t="s">
        <v>405</v>
      </c>
      <c r="C370" s="354" t="s">
        <v>172</v>
      </c>
      <c r="D370" s="412"/>
      <c r="E370" s="415"/>
      <c r="F370" s="417"/>
      <c r="G370" s="317">
        <v>2024</v>
      </c>
      <c r="H370" s="349" t="s">
        <v>410</v>
      </c>
      <c r="I370" s="346" t="s">
        <v>190</v>
      </c>
      <c r="J370" s="347" t="s">
        <v>308</v>
      </c>
      <c r="K370" s="348" t="s">
        <v>308</v>
      </c>
      <c r="L370" s="345" t="s">
        <v>185</v>
      </c>
      <c r="M370" s="303" t="s">
        <v>775</v>
      </c>
      <c r="N370" s="303">
        <v>50.27</v>
      </c>
      <c r="O370" s="303">
        <v>50.27</v>
      </c>
      <c r="P370" s="303">
        <v>50.27</v>
      </c>
      <c r="Q370" s="303">
        <v>50.27</v>
      </c>
      <c r="R370" s="303">
        <v>50.27</v>
      </c>
      <c r="S370" s="303">
        <v>50.27</v>
      </c>
      <c r="T370" s="303">
        <v>50.27</v>
      </c>
      <c r="U370" s="303">
        <v>50.27</v>
      </c>
      <c r="V370" s="303">
        <v>50.27</v>
      </c>
      <c r="W370" s="303">
        <v>50.27</v>
      </c>
      <c r="X370" s="303">
        <v>50.27</v>
      </c>
      <c r="Y370" s="303">
        <v>50.27</v>
      </c>
      <c r="Z370" s="362">
        <v>0.04</v>
      </c>
      <c r="AA370" s="362">
        <v>0.04</v>
      </c>
      <c r="AB370" s="362">
        <v>0.04</v>
      </c>
      <c r="AC370" s="362">
        <v>0.04</v>
      </c>
      <c r="AD370" s="362">
        <v>0.04</v>
      </c>
      <c r="AE370" s="362">
        <v>0.04</v>
      </c>
      <c r="AF370" s="362">
        <v>0.04</v>
      </c>
      <c r="AG370" s="362">
        <v>0.04</v>
      </c>
      <c r="AH370" s="362">
        <v>0.04</v>
      </c>
      <c r="AI370" s="362">
        <v>0.04</v>
      </c>
      <c r="AJ370" s="362">
        <v>0.04</v>
      </c>
      <c r="AK370" s="362">
        <v>0.04</v>
      </c>
      <c r="AL370" s="255"/>
      <c r="AM370" s="254">
        <f t="shared" si="48"/>
        <v>0</v>
      </c>
      <c r="AN370" s="255"/>
      <c r="AO370" s="254">
        <f t="shared" si="49"/>
        <v>0</v>
      </c>
      <c r="AP370" s="255">
        <v>160</v>
      </c>
      <c r="AQ370" s="254">
        <f t="shared" si="50"/>
        <v>6.4</v>
      </c>
      <c r="AR370" s="256"/>
      <c r="AS370" s="257">
        <f t="shared" si="51"/>
        <v>0</v>
      </c>
      <c r="AT370" s="382"/>
      <c r="AU370" s="257">
        <f t="shared" si="52"/>
        <v>0</v>
      </c>
      <c r="AV370" s="268">
        <v>0</v>
      </c>
      <c r="AW370" s="257">
        <f t="shared" si="53"/>
        <v>0</v>
      </c>
      <c r="AX370" s="268">
        <v>0</v>
      </c>
      <c r="AY370" s="257">
        <f t="shared" si="54"/>
        <v>0</v>
      </c>
      <c r="AZ370" s="268">
        <v>0</v>
      </c>
      <c r="BA370" s="257">
        <f t="shared" si="55"/>
        <v>0</v>
      </c>
      <c r="BB370" s="268">
        <v>0</v>
      </c>
      <c r="BC370" s="257">
        <f t="shared" si="56"/>
        <v>0</v>
      </c>
      <c r="BD370" s="268">
        <v>0</v>
      </c>
      <c r="BE370" s="257">
        <f t="shared" si="57"/>
        <v>0</v>
      </c>
      <c r="BF370" s="268">
        <v>0</v>
      </c>
      <c r="BG370" s="257">
        <f t="shared" si="58"/>
        <v>0</v>
      </c>
      <c r="BH370" s="268">
        <v>0</v>
      </c>
      <c r="BI370" s="257">
        <f t="shared" si="59"/>
        <v>0</v>
      </c>
      <c r="BJ370" s="1" t="s">
        <v>804</v>
      </c>
      <c r="BK370" s="1" t="s">
        <v>805</v>
      </c>
      <c r="BL370" s="1" t="s">
        <v>409</v>
      </c>
      <c r="BM370" s="1" t="s">
        <v>807</v>
      </c>
    </row>
    <row r="371" spans="1:65" s="14" customFormat="1" ht="15.75" customHeight="1">
      <c r="A371" s="250" t="s">
        <v>951</v>
      </c>
      <c r="B371" s="59" t="s">
        <v>405</v>
      </c>
      <c r="C371" s="354" t="s">
        <v>172</v>
      </c>
      <c r="D371" s="412"/>
      <c r="E371" s="415"/>
      <c r="F371" s="417"/>
      <c r="G371" s="317">
        <v>2024</v>
      </c>
      <c r="H371" s="349" t="s">
        <v>410</v>
      </c>
      <c r="I371" s="346" t="s">
        <v>190</v>
      </c>
      <c r="J371" s="347" t="s">
        <v>308</v>
      </c>
      <c r="K371" s="348" t="s">
        <v>308</v>
      </c>
      <c r="L371" s="345" t="s">
        <v>185</v>
      </c>
      <c r="M371" s="303" t="s">
        <v>775</v>
      </c>
      <c r="N371" s="303">
        <v>50.27</v>
      </c>
      <c r="O371" s="303">
        <v>50.27</v>
      </c>
      <c r="P371" s="303">
        <v>50.27</v>
      </c>
      <c r="Q371" s="303">
        <v>50.27</v>
      </c>
      <c r="R371" s="303">
        <v>50.27</v>
      </c>
      <c r="S371" s="303">
        <v>50.27</v>
      </c>
      <c r="T371" s="303">
        <v>50.27</v>
      </c>
      <c r="U371" s="303">
        <v>50.27</v>
      </c>
      <c r="V371" s="303">
        <v>50.27</v>
      </c>
      <c r="W371" s="303">
        <v>50.27</v>
      </c>
      <c r="X371" s="303">
        <v>50.27</v>
      </c>
      <c r="Y371" s="303">
        <v>50.27</v>
      </c>
      <c r="Z371" s="362">
        <v>0.04</v>
      </c>
      <c r="AA371" s="362">
        <v>0.04</v>
      </c>
      <c r="AB371" s="362">
        <v>0.04</v>
      </c>
      <c r="AC371" s="362">
        <v>0.04</v>
      </c>
      <c r="AD371" s="362">
        <v>0.04</v>
      </c>
      <c r="AE371" s="362">
        <v>0.04</v>
      </c>
      <c r="AF371" s="362">
        <v>0.04</v>
      </c>
      <c r="AG371" s="362">
        <v>0.04</v>
      </c>
      <c r="AH371" s="362">
        <v>0.04</v>
      </c>
      <c r="AI371" s="362">
        <v>0.04</v>
      </c>
      <c r="AJ371" s="362">
        <v>0.04</v>
      </c>
      <c r="AK371" s="362">
        <v>0.04</v>
      </c>
      <c r="AL371" s="255"/>
      <c r="AM371" s="254">
        <f t="shared" si="48"/>
        <v>0</v>
      </c>
      <c r="AN371" s="255"/>
      <c r="AO371" s="254">
        <f t="shared" si="49"/>
        <v>0</v>
      </c>
      <c r="AP371" s="255">
        <v>160</v>
      </c>
      <c r="AQ371" s="254">
        <f t="shared" si="50"/>
        <v>6.4</v>
      </c>
      <c r="AR371" s="256"/>
      <c r="AS371" s="257">
        <f t="shared" si="51"/>
        <v>0</v>
      </c>
      <c r="AT371" s="382">
        <v>160</v>
      </c>
      <c r="AU371" s="257">
        <f t="shared" si="52"/>
        <v>6.4</v>
      </c>
      <c r="AV371" s="268">
        <v>0</v>
      </c>
      <c r="AW371" s="257">
        <f t="shared" si="53"/>
        <v>0</v>
      </c>
      <c r="AX371" s="268">
        <v>0</v>
      </c>
      <c r="AY371" s="257">
        <f t="shared" si="54"/>
        <v>0</v>
      </c>
      <c r="AZ371" s="268">
        <v>576</v>
      </c>
      <c r="BA371" s="257">
        <f t="shared" si="55"/>
        <v>23.04</v>
      </c>
      <c r="BB371" s="268">
        <v>0</v>
      </c>
      <c r="BC371" s="257">
        <f t="shared" si="56"/>
        <v>0</v>
      </c>
      <c r="BD371" s="268">
        <v>0</v>
      </c>
      <c r="BE371" s="257">
        <f t="shared" si="57"/>
        <v>0</v>
      </c>
      <c r="BF371" s="268">
        <v>0</v>
      </c>
      <c r="BG371" s="257">
        <f t="shared" si="58"/>
        <v>0</v>
      </c>
      <c r="BH371" s="268">
        <v>0</v>
      </c>
      <c r="BI371" s="257">
        <f t="shared" si="59"/>
        <v>0</v>
      </c>
      <c r="BJ371" s="1" t="s">
        <v>804</v>
      </c>
      <c r="BK371" s="1" t="s">
        <v>808</v>
      </c>
      <c r="BL371" s="1" t="s">
        <v>406</v>
      </c>
      <c r="BM371" s="1" t="s">
        <v>809</v>
      </c>
    </row>
    <row r="372" spans="1:65" s="14" customFormat="1" ht="15.75" customHeight="1">
      <c r="A372" s="250" t="s">
        <v>951</v>
      </c>
      <c r="B372" s="59" t="s">
        <v>405</v>
      </c>
      <c r="C372" s="354" t="s">
        <v>172</v>
      </c>
      <c r="D372" s="412"/>
      <c r="E372" s="415"/>
      <c r="F372" s="417"/>
      <c r="G372" s="317">
        <v>2024</v>
      </c>
      <c r="H372" s="349" t="s">
        <v>410</v>
      </c>
      <c r="I372" s="346" t="s">
        <v>190</v>
      </c>
      <c r="J372" s="347" t="s">
        <v>308</v>
      </c>
      <c r="K372" s="348" t="s">
        <v>308</v>
      </c>
      <c r="L372" s="345" t="s">
        <v>185</v>
      </c>
      <c r="M372" s="303" t="s">
        <v>779</v>
      </c>
      <c r="N372" s="303">
        <v>49.03</v>
      </c>
      <c r="O372" s="303">
        <v>49.03</v>
      </c>
      <c r="P372" s="303">
        <v>49.03</v>
      </c>
      <c r="Q372" s="303">
        <v>49.03</v>
      </c>
      <c r="R372" s="303">
        <v>49.03</v>
      </c>
      <c r="S372" s="303">
        <v>49.03</v>
      </c>
      <c r="T372" s="303">
        <v>49.03</v>
      </c>
      <c r="U372" s="303">
        <v>49.03</v>
      </c>
      <c r="V372" s="303">
        <v>49.03</v>
      </c>
      <c r="W372" s="303">
        <v>49.03</v>
      </c>
      <c r="X372" s="303">
        <v>49.03</v>
      </c>
      <c r="Y372" s="303">
        <v>49.03</v>
      </c>
      <c r="Z372" s="362">
        <v>0.04</v>
      </c>
      <c r="AA372" s="362">
        <v>0.04</v>
      </c>
      <c r="AB372" s="362">
        <v>0.04</v>
      </c>
      <c r="AC372" s="362">
        <v>0.04</v>
      </c>
      <c r="AD372" s="362">
        <v>0.04</v>
      </c>
      <c r="AE372" s="362">
        <v>0.04</v>
      </c>
      <c r="AF372" s="362">
        <v>0.04</v>
      </c>
      <c r="AG372" s="362">
        <v>0.04</v>
      </c>
      <c r="AH372" s="362">
        <v>0.04</v>
      </c>
      <c r="AI372" s="362">
        <v>0.04</v>
      </c>
      <c r="AJ372" s="362">
        <v>0.04</v>
      </c>
      <c r="AK372" s="362">
        <v>0.04</v>
      </c>
      <c r="AL372" s="255"/>
      <c r="AM372" s="254">
        <f t="shared" si="48"/>
        <v>0</v>
      </c>
      <c r="AN372" s="255">
        <v>192</v>
      </c>
      <c r="AO372" s="254">
        <f t="shared" si="49"/>
        <v>7.68</v>
      </c>
      <c r="AP372" s="255"/>
      <c r="AQ372" s="254">
        <f t="shared" si="50"/>
        <v>0</v>
      </c>
      <c r="AR372" s="256"/>
      <c r="AS372" s="257">
        <f t="shared" si="51"/>
        <v>0</v>
      </c>
      <c r="AT372" s="382"/>
      <c r="AU372" s="257">
        <f t="shared" si="52"/>
        <v>0</v>
      </c>
      <c r="AV372" s="268">
        <v>288</v>
      </c>
      <c r="AW372" s="257">
        <f t="shared" si="53"/>
        <v>11.52</v>
      </c>
      <c r="AX372" s="268">
        <v>0</v>
      </c>
      <c r="AY372" s="257">
        <f t="shared" si="54"/>
        <v>0</v>
      </c>
      <c r="AZ372" s="268">
        <v>0</v>
      </c>
      <c r="BA372" s="257">
        <f t="shared" si="55"/>
        <v>0</v>
      </c>
      <c r="BB372" s="268">
        <v>0</v>
      </c>
      <c r="BC372" s="257">
        <f t="shared" si="56"/>
        <v>0</v>
      </c>
      <c r="BD372" s="268">
        <v>864</v>
      </c>
      <c r="BE372" s="257">
        <f t="shared" si="57"/>
        <v>34.56</v>
      </c>
      <c r="BF372" s="268">
        <v>0</v>
      </c>
      <c r="BG372" s="257">
        <f t="shared" si="58"/>
        <v>0</v>
      </c>
      <c r="BH372" s="268">
        <v>0</v>
      </c>
      <c r="BI372" s="257">
        <f t="shared" si="59"/>
        <v>0</v>
      </c>
      <c r="BJ372" s="1" t="s">
        <v>804</v>
      </c>
      <c r="BK372" s="1" t="s">
        <v>808</v>
      </c>
      <c r="BL372" s="1" t="s">
        <v>408</v>
      </c>
      <c r="BM372" s="1" t="s">
        <v>810</v>
      </c>
    </row>
    <row r="373" spans="1:65" ht="15" customHeight="1">
      <c r="A373" s="250" t="s">
        <v>951</v>
      </c>
      <c r="B373" s="59" t="s">
        <v>405</v>
      </c>
      <c r="C373" s="354" t="s">
        <v>172</v>
      </c>
      <c r="D373" s="412"/>
      <c r="E373" s="415"/>
      <c r="F373" s="417"/>
      <c r="G373" s="317">
        <v>2024</v>
      </c>
      <c r="H373" s="349" t="s">
        <v>410</v>
      </c>
      <c r="I373" s="346" t="s">
        <v>190</v>
      </c>
      <c r="J373" s="347" t="s">
        <v>308</v>
      </c>
      <c r="K373" s="348" t="s">
        <v>308</v>
      </c>
      <c r="L373" s="345" t="s">
        <v>185</v>
      </c>
      <c r="M373" s="303" t="s">
        <v>775</v>
      </c>
      <c r="N373" s="303">
        <v>50.27</v>
      </c>
      <c r="O373" s="303">
        <v>50.27</v>
      </c>
      <c r="P373" s="303">
        <v>50.27</v>
      </c>
      <c r="Q373" s="303">
        <v>50.27</v>
      </c>
      <c r="R373" s="303">
        <v>50.27</v>
      </c>
      <c r="S373" s="303">
        <v>50.27</v>
      </c>
      <c r="T373" s="303">
        <v>50.27</v>
      </c>
      <c r="U373" s="303">
        <v>50.27</v>
      </c>
      <c r="V373" s="303">
        <v>50.27</v>
      </c>
      <c r="W373" s="303">
        <v>50.27</v>
      </c>
      <c r="X373" s="303">
        <v>50.27</v>
      </c>
      <c r="Y373" s="303">
        <v>50.27</v>
      </c>
      <c r="Z373" s="362">
        <v>0.04</v>
      </c>
      <c r="AA373" s="362">
        <v>0.04</v>
      </c>
      <c r="AB373" s="362">
        <v>0.04</v>
      </c>
      <c r="AC373" s="362">
        <v>0.04</v>
      </c>
      <c r="AD373" s="362">
        <v>0.04</v>
      </c>
      <c r="AE373" s="362">
        <v>0.04</v>
      </c>
      <c r="AF373" s="362">
        <v>0.04</v>
      </c>
      <c r="AG373" s="362">
        <v>0.04</v>
      </c>
      <c r="AH373" s="362">
        <v>0.04</v>
      </c>
      <c r="AI373" s="362">
        <v>0.04</v>
      </c>
      <c r="AJ373" s="362">
        <v>0.04</v>
      </c>
      <c r="AK373" s="362">
        <v>0.04</v>
      </c>
      <c r="AL373" s="255"/>
      <c r="AM373" s="254">
        <f t="shared" si="48"/>
        <v>0</v>
      </c>
      <c r="AN373" s="255"/>
      <c r="AO373" s="254">
        <f t="shared" si="49"/>
        <v>0</v>
      </c>
      <c r="AP373" s="255"/>
      <c r="AQ373" s="254">
        <f t="shared" si="50"/>
        <v>0</v>
      </c>
      <c r="AR373" s="256"/>
      <c r="AS373" s="257">
        <f t="shared" si="51"/>
        <v>0</v>
      </c>
      <c r="AT373" s="382"/>
      <c r="AU373" s="257">
        <f t="shared" si="52"/>
        <v>0</v>
      </c>
      <c r="AV373" s="268">
        <v>0</v>
      </c>
      <c r="AW373" s="257">
        <f t="shared" si="53"/>
        <v>0</v>
      </c>
      <c r="AX373" s="268">
        <v>0</v>
      </c>
      <c r="AY373" s="257">
        <f t="shared" si="54"/>
        <v>0</v>
      </c>
      <c r="AZ373" s="268">
        <v>0</v>
      </c>
      <c r="BA373" s="257">
        <f t="shared" si="55"/>
        <v>0</v>
      </c>
      <c r="BB373" s="268">
        <v>0</v>
      </c>
      <c r="BC373" s="257">
        <f t="shared" si="56"/>
        <v>0</v>
      </c>
      <c r="BD373" s="268">
        <v>0</v>
      </c>
      <c r="BE373" s="257">
        <f t="shared" si="57"/>
        <v>0</v>
      </c>
      <c r="BF373" s="268">
        <v>0</v>
      </c>
      <c r="BG373" s="257">
        <f t="shared" si="58"/>
        <v>0</v>
      </c>
      <c r="BH373" s="268">
        <v>0</v>
      </c>
      <c r="BI373" s="257">
        <f t="shared" si="59"/>
        <v>0</v>
      </c>
      <c r="BJ373" s="1" t="s">
        <v>804</v>
      </c>
      <c r="BK373" s="1" t="s">
        <v>808</v>
      </c>
      <c r="BL373" s="1" t="s">
        <v>409</v>
      </c>
      <c r="BM373" s="1" t="s">
        <v>810</v>
      </c>
    </row>
    <row r="374" spans="1:65" ht="15.75" customHeight="1" thickBot="1">
      <c r="A374" s="250" t="s">
        <v>951</v>
      </c>
      <c r="C374" s="354"/>
      <c r="D374" s="413"/>
      <c r="E374" s="416"/>
      <c r="F374" s="417"/>
      <c r="G374" s="321"/>
      <c r="H374" s="321"/>
      <c r="I374" s="321"/>
      <c r="J374" s="322"/>
      <c r="K374" s="321"/>
      <c r="L374" s="321"/>
      <c r="M374" s="303"/>
      <c r="N374" s="303"/>
      <c r="O374" s="303"/>
      <c r="P374" s="303"/>
      <c r="Q374" s="303"/>
      <c r="R374" s="303"/>
      <c r="S374" s="303"/>
      <c r="T374" s="303"/>
      <c r="U374" s="303"/>
      <c r="V374" s="303"/>
      <c r="W374" s="303"/>
      <c r="X374" s="303"/>
      <c r="Y374" s="303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255"/>
      <c r="AM374" s="254">
        <f t="shared" si="48"/>
        <v>0</v>
      </c>
      <c r="AN374" s="255"/>
      <c r="AO374" s="254">
        <f t="shared" si="49"/>
        <v>0</v>
      </c>
      <c r="AP374" s="255"/>
      <c r="AQ374" s="254">
        <f t="shared" si="50"/>
        <v>0</v>
      </c>
      <c r="AR374" s="256"/>
      <c r="AS374" s="257">
        <f t="shared" si="51"/>
        <v>0</v>
      </c>
      <c r="AT374" s="382"/>
      <c r="AU374" s="257">
        <f t="shared" si="52"/>
        <v>0</v>
      </c>
      <c r="AV374" s="268"/>
      <c r="AW374" s="257">
        <f t="shared" si="53"/>
        <v>0</v>
      </c>
      <c r="AX374" s="59"/>
      <c r="AY374" s="257">
        <f t="shared" si="54"/>
        <v>0</v>
      </c>
      <c r="AZ374" s="268"/>
      <c r="BA374" s="257">
        <f t="shared" si="55"/>
        <v>0</v>
      </c>
      <c r="BB374" s="268"/>
      <c r="BC374" s="257">
        <f t="shared" si="56"/>
        <v>0</v>
      </c>
      <c r="BD374" s="59"/>
      <c r="BE374" s="257">
        <f t="shared" si="57"/>
        <v>0</v>
      </c>
      <c r="BF374" s="59"/>
      <c r="BG374" s="257">
        <f t="shared" si="58"/>
        <v>0</v>
      </c>
      <c r="BH374" s="59"/>
      <c r="BI374" s="257">
        <f t="shared" si="59"/>
        <v>0</v>
      </c>
    </row>
    <row r="375" spans="1:65" ht="15" customHeight="1">
      <c r="A375" s="250" t="s">
        <v>951</v>
      </c>
      <c r="B375" s="59" t="s">
        <v>221</v>
      </c>
      <c r="C375" s="354" t="s">
        <v>172</v>
      </c>
      <c r="D375" s="418" t="s">
        <v>411</v>
      </c>
      <c r="E375" s="281" t="s">
        <v>332</v>
      </c>
      <c r="F375" s="421" t="s">
        <v>412</v>
      </c>
      <c r="G375" s="317" t="s">
        <v>223</v>
      </c>
      <c r="H375" s="323" t="s">
        <v>413</v>
      </c>
      <c r="I375" s="324" t="s">
        <v>183</v>
      </c>
      <c r="J375" s="325" t="s">
        <v>225</v>
      </c>
      <c r="K375" s="323" t="s">
        <v>227</v>
      </c>
      <c r="L375" s="326" t="s">
        <v>177</v>
      </c>
      <c r="M375" s="303" t="s">
        <v>474</v>
      </c>
      <c r="N375" s="303">
        <v>10</v>
      </c>
      <c r="O375" s="303">
        <v>10</v>
      </c>
      <c r="P375" s="303">
        <v>10</v>
      </c>
      <c r="Q375" s="303">
        <v>10</v>
      </c>
      <c r="R375" s="303">
        <v>10</v>
      </c>
      <c r="S375" s="303">
        <v>10</v>
      </c>
      <c r="T375" s="303">
        <v>10</v>
      </c>
      <c r="U375" s="303">
        <v>10</v>
      </c>
      <c r="V375" s="303">
        <v>10</v>
      </c>
      <c r="W375" s="303">
        <v>10</v>
      </c>
      <c r="X375" s="303">
        <v>10</v>
      </c>
      <c r="Y375" s="303">
        <v>10</v>
      </c>
      <c r="Z375" s="304">
        <v>0</v>
      </c>
      <c r="AA375" s="304">
        <v>0</v>
      </c>
      <c r="AB375" s="304">
        <v>0</v>
      </c>
      <c r="AC375" s="304">
        <v>0</v>
      </c>
      <c r="AD375" s="304">
        <v>0</v>
      </c>
      <c r="AE375" s="304">
        <v>0</v>
      </c>
      <c r="AF375" s="304">
        <v>0</v>
      </c>
      <c r="AG375" s="304">
        <v>0</v>
      </c>
      <c r="AH375" s="304">
        <v>0</v>
      </c>
      <c r="AI375" s="304">
        <v>0</v>
      </c>
      <c r="AJ375" s="304">
        <v>0</v>
      </c>
      <c r="AK375" s="304">
        <v>0</v>
      </c>
      <c r="AL375" s="260"/>
      <c r="AM375" s="254">
        <f t="shared" si="48"/>
        <v>0</v>
      </c>
      <c r="AN375" s="260"/>
      <c r="AO375" s="254">
        <f t="shared" si="49"/>
        <v>0</v>
      </c>
      <c r="AP375" s="260"/>
      <c r="AQ375" s="254">
        <f t="shared" si="50"/>
        <v>0</v>
      </c>
      <c r="AR375" s="260"/>
      <c r="AS375" s="257">
        <f t="shared" si="51"/>
        <v>0</v>
      </c>
      <c r="AT375" s="383"/>
      <c r="AU375" s="257">
        <f t="shared" si="52"/>
        <v>0</v>
      </c>
      <c r="AV375" s="389"/>
      <c r="AW375" s="257">
        <f t="shared" si="53"/>
        <v>0</v>
      </c>
      <c r="AX375" s="261"/>
      <c r="AY375" s="257">
        <f t="shared" si="54"/>
        <v>0</v>
      </c>
      <c r="AZ375" s="271"/>
      <c r="BA375" s="257">
        <f t="shared" si="55"/>
        <v>0</v>
      </c>
      <c r="BB375" s="274"/>
      <c r="BC375" s="257">
        <f t="shared" si="56"/>
        <v>0</v>
      </c>
      <c r="BD375" s="260"/>
      <c r="BE375" s="257">
        <f t="shared" si="57"/>
        <v>0</v>
      </c>
      <c r="BF375" s="260"/>
      <c r="BG375" s="257">
        <f t="shared" si="58"/>
        <v>0</v>
      </c>
      <c r="BH375" s="260"/>
      <c r="BI375" s="257">
        <f t="shared" si="59"/>
        <v>0</v>
      </c>
      <c r="BJ375" s="1" t="s">
        <v>811</v>
      </c>
      <c r="BL375" s="1" t="s">
        <v>457</v>
      </c>
      <c r="BM375" s="1" t="s">
        <v>812</v>
      </c>
    </row>
    <row r="376" spans="1:65" ht="15.6">
      <c r="A376" s="250" t="s">
        <v>951</v>
      </c>
      <c r="B376" s="59" t="s">
        <v>221</v>
      </c>
      <c r="C376" s="354" t="s">
        <v>172</v>
      </c>
      <c r="D376" s="419"/>
      <c r="E376" s="281" t="s">
        <v>332</v>
      </c>
      <c r="F376" s="422"/>
      <c r="G376" s="317" t="s">
        <v>223</v>
      </c>
      <c r="H376" s="323" t="s">
        <v>413</v>
      </c>
      <c r="I376" s="327" t="s">
        <v>190</v>
      </c>
      <c r="J376" s="325" t="s">
        <v>225</v>
      </c>
      <c r="K376" s="323" t="s">
        <v>227</v>
      </c>
      <c r="L376" s="328" t="s">
        <v>177</v>
      </c>
      <c r="M376" s="303" t="s">
        <v>474</v>
      </c>
      <c r="N376" s="303">
        <v>3.5</v>
      </c>
      <c r="O376" s="303">
        <v>3.5</v>
      </c>
      <c r="P376" s="303">
        <v>3.5</v>
      </c>
      <c r="Q376" s="303">
        <v>3.5</v>
      </c>
      <c r="R376" s="303">
        <v>3.5</v>
      </c>
      <c r="S376" s="303">
        <v>3.5</v>
      </c>
      <c r="T376" s="303">
        <v>3.5</v>
      </c>
      <c r="U376" s="303">
        <v>3.5</v>
      </c>
      <c r="V376" s="303">
        <v>3.5</v>
      </c>
      <c r="W376" s="303">
        <v>3.5</v>
      </c>
      <c r="X376" s="303">
        <v>3.5</v>
      </c>
      <c r="Y376" s="303">
        <v>3.5</v>
      </c>
      <c r="Z376" s="304">
        <v>0.4</v>
      </c>
      <c r="AA376" s="304">
        <v>0.4</v>
      </c>
      <c r="AB376" s="304">
        <v>0.4</v>
      </c>
      <c r="AC376" s="304">
        <v>0</v>
      </c>
      <c r="AD376" s="304">
        <v>0.4</v>
      </c>
      <c r="AE376" s="304">
        <v>0.4</v>
      </c>
      <c r="AF376" s="304">
        <v>0.4</v>
      </c>
      <c r="AG376" s="304">
        <v>0.4</v>
      </c>
      <c r="AH376" s="304">
        <v>0.4</v>
      </c>
      <c r="AI376" s="304">
        <v>0.4</v>
      </c>
      <c r="AJ376" s="304">
        <v>0.4</v>
      </c>
      <c r="AK376" s="304">
        <v>0.4</v>
      </c>
      <c r="AL376" s="260">
        <v>40</v>
      </c>
      <c r="AM376" s="254">
        <f t="shared" si="48"/>
        <v>16</v>
      </c>
      <c r="AN376" s="260">
        <v>320</v>
      </c>
      <c r="AO376" s="254">
        <f t="shared" si="49"/>
        <v>128</v>
      </c>
      <c r="AP376" s="260"/>
      <c r="AQ376" s="254">
        <f t="shared" si="50"/>
        <v>0</v>
      </c>
      <c r="AR376" s="260"/>
      <c r="AS376" s="257">
        <f t="shared" si="51"/>
        <v>0</v>
      </c>
      <c r="AT376" s="383"/>
      <c r="AU376" s="257">
        <f t="shared" si="52"/>
        <v>0</v>
      </c>
      <c r="AV376" s="389"/>
      <c r="AW376" s="257">
        <f t="shared" si="53"/>
        <v>0</v>
      </c>
      <c r="AX376" s="261"/>
      <c r="AY376" s="257">
        <f t="shared" si="54"/>
        <v>0</v>
      </c>
      <c r="AZ376" s="271"/>
      <c r="BA376" s="257">
        <f t="shared" si="55"/>
        <v>0</v>
      </c>
      <c r="BB376" s="274"/>
      <c r="BC376" s="257">
        <f t="shared" si="56"/>
        <v>0</v>
      </c>
      <c r="BD376" s="260"/>
      <c r="BE376" s="257">
        <f t="shared" si="57"/>
        <v>0</v>
      </c>
      <c r="BF376" s="260"/>
      <c r="BG376" s="257">
        <f t="shared" si="58"/>
        <v>0</v>
      </c>
      <c r="BH376" s="261"/>
      <c r="BI376" s="257">
        <f t="shared" si="59"/>
        <v>0</v>
      </c>
      <c r="BJ376" s="1" t="s">
        <v>813</v>
      </c>
      <c r="BL376" s="1" t="s">
        <v>457</v>
      </c>
      <c r="BM376" s="1" t="s">
        <v>814</v>
      </c>
    </row>
    <row r="377" spans="1:65" ht="15.6">
      <c r="A377" s="250" t="s">
        <v>951</v>
      </c>
      <c r="B377" s="59" t="s">
        <v>221</v>
      </c>
      <c r="C377" s="354" t="s">
        <v>172</v>
      </c>
      <c r="D377" s="419"/>
      <c r="E377" s="281" t="s">
        <v>332</v>
      </c>
      <c r="F377" s="422"/>
      <c r="G377" s="351" t="s">
        <v>228</v>
      </c>
      <c r="H377" s="323" t="s">
        <v>414</v>
      </c>
      <c r="I377" s="324" t="s">
        <v>190</v>
      </c>
      <c r="J377" s="325" t="s">
        <v>230</v>
      </c>
      <c r="K377" s="329" t="s">
        <v>227</v>
      </c>
      <c r="L377" s="323" t="s">
        <v>185</v>
      </c>
      <c r="M377" s="303" t="s">
        <v>815</v>
      </c>
      <c r="N377" s="303">
        <v>2.98</v>
      </c>
      <c r="O377" s="303">
        <v>2.98</v>
      </c>
      <c r="P377" s="303">
        <v>2.98</v>
      </c>
      <c r="Q377" s="303">
        <v>2.98</v>
      </c>
      <c r="R377" s="401">
        <v>3.6</v>
      </c>
      <c r="S377" s="401">
        <v>3.6</v>
      </c>
      <c r="T377" s="401">
        <v>3.6</v>
      </c>
      <c r="U377" s="401">
        <v>3.6</v>
      </c>
      <c r="V377" s="401">
        <v>3.6</v>
      </c>
      <c r="W377" s="401">
        <v>3.6</v>
      </c>
      <c r="X377" s="401">
        <v>3.6</v>
      </c>
      <c r="Y377" s="401">
        <v>3.6</v>
      </c>
      <c r="Z377" s="304">
        <v>0.18</v>
      </c>
      <c r="AA377" s="304">
        <v>0.18</v>
      </c>
      <c r="AB377" s="304">
        <v>0.18</v>
      </c>
      <c r="AC377" s="304">
        <v>0</v>
      </c>
      <c r="AD377" s="403">
        <v>0.2</v>
      </c>
      <c r="AE377" s="403">
        <v>0.2</v>
      </c>
      <c r="AF377" s="403">
        <v>0.2</v>
      </c>
      <c r="AG377" s="403">
        <v>0.2</v>
      </c>
      <c r="AH377" s="403">
        <v>0.2</v>
      </c>
      <c r="AI377" s="403">
        <v>0.2</v>
      </c>
      <c r="AJ377" s="403">
        <v>0.2</v>
      </c>
      <c r="AK377" s="403">
        <v>0.2</v>
      </c>
      <c r="AL377" s="260">
        <v>360</v>
      </c>
      <c r="AM377" s="254">
        <f t="shared" si="48"/>
        <v>64.8</v>
      </c>
      <c r="AN377" s="260">
        <v>400</v>
      </c>
      <c r="AO377" s="254">
        <f t="shared" si="49"/>
        <v>72</v>
      </c>
      <c r="AP377" s="271">
        <v>200</v>
      </c>
      <c r="AQ377" s="254">
        <f t="shared" si="50"/>
        <v>36</v>
      </c>
      <c r="AR377" s="261">
        <v>40</v>
      </c>
      <c r="AS377" s="257">
        <f t="shared" si="51"/>
        <v>0</v>
      </c>
      <c r="AT377" s="387">
        <v>120</v>
      </c>
      <c r="AU377" s="257">
        <f t="shared" si="52"/>
        <v>24</v>
      </c>
      <c r="AV377" s="389"/>
      <c r="AW377" s="257">
        <f t="shared" si="53"/>
        <v>0</v>
      </c>
      <c r="AX377" s="261"/>
      <c r="AY377" s="257">
        <f t="shared" si="54"/>
        <v>0</v>
      </c>
      <c r="AZ377" s="271"/>
      <c r="BA377" s="257">
        <f t="shared" si="55"/>
        <v>0</v>
      </c>
      <c r="BB377" s="274"/>
      <c r="BC377" s="257">
        <f t="shared" si="56"/>
        <v>0</v>
      </c>
      <c r="BD377" s="260"/>
      <c r="BE377" s="257">
        <f t="shared" si="57"/>
        <v>0</v>
      </c>
      <c r="BF377" s="260"/>
      <c r="BG377" s="257">
        <f t="shared" si="58"/>
        <v>0</v>
      </c>
      <c r="BH377" s="261"/>
      <c r="BI377" s="257">
        <f t="shared" si="59"/>
        <v>0</v>
      </c>
      <c r="BJ377" s="1" t="s">
        <v>816</v>
      </c>
      <c r="BL377" s="1" t="s">
        <v>457</v>
      </c>
      <c r="BM377" s="1" t="s">
        <v>817</v>
      </c>
    </row>
    <row r="378" spans="1:65" ht="15.6">
      <c r="A378" s="250" t="s">
        <v>951</v>
      </c>
      <c r="B378" s="59" t="s">
        <v>221</v>
      </c>
      <c r="C378" s="354" t="s">
        <v>172</v>
      </c>
      <c r="D378" s="419"/>
      <c r="E378" s="281" t="s">
        <v>332</v>
      </c>
      <c r="F378" s="422"/>
      <c r="G378" s="351" t="s">
        <v>228</v>
      </c>
      <c r="H378" s="323" t="s">
        <v>414</v>
      </c>
      <c r="I378" s="324" t="s">
        <v>190</v>
      </c>
      <c r="J378" s="325" t="s">
        <v>230</v>
      </c>
      <c r="K378" s="323" t="s">
        <v>208</v>
      </c>
      <c r="L378" s="59" t="s">
        <v>185</v>
      </c>
      <c r="M378" s="303" t="s">
        <v>815</v>
      </c>
      <c r="N378" s="303">
        <v>6.2</v>
      </c>
      <c r="O378" s="303">
        <v>6.2</v>
      </c>
      <c r="P378" s="303">
        <v>6.2</v>
      </c>
      <c r="Q378" s="303">
        <v>6.2</v>
      </c>
      <c r="R378" s="303">
        <v>6.2</v>
      </c>
      <c r="S378" s="303">
        <v>6.2</v>
      </c>
      <c r="T378" s="303">
        <v>6.2</v>
      </c>
      <c r="U378" s="303">
        <v>6.2</v>
      </c>
      <c r="V378" s="303">
        <v>6.2</v>
      </c>
      <c r="W378" s="303">
        <v>6.2</v>
      </c>
      <c r="X378" s="303">
        <v>6.2</v>
      </c>
      <c r="Y378" s="303">
        <v>6.2</v>
      </c>
      <c r="Z378" s="304">
        <v>1.2</v>
      </c>
      <c r="AA378" s="304">
        <v>1.2</v>
      </c>
      <c r="AB378" s="304">
        <v>1.2</v>
      </c>
      <c r="AC378" s="304">
        <v>0</v>
      </c>
      <c r="AD378" s="304">
        <v>1.2</v>
      </c>
      <c r="AE378" s="304">
        <v>1.2</v>
      </c>
      <c r="AF378" s="304">
        <v>1.2</v>
      </c>
      <c r="AG378" s="304">
        <v>1.2</v>
      </c>
      <c r="AH378" s="304">
        <v>1.2</v>
      </c>
      <c r="AI378" s="304">
        <v>1.2</v>
      </c>
      <c r="AJ378" s="304">
        <v>1.2</v>
      </c>
      <c r="AK378" s="304">
        <v>1.2</v>
      </c>
      <c r="AL378" s="260"/>
      <c r="AM378" s="254">
        <f t="shared" si="48"/>
        <v>0</v>
      </c>
      <c r="AN378" s="262"/>
      <c r="AO378" s="254">
        <f t="shared" si="49"/>
        <v>0</v>
      </c>
      <c r="AP378" s="274"/>
      <c r="AQ378" s="254">
        <f t="shared" si="50"/>
        <v>0</v>
      </c>
      <c r="AR378" s="256"/>
      <c r="AS378" s="257">
        <f t="shared" si="51"/>
        <v>0</v>
      </c>
      <c r="AT378" s="383"/>
      <c r="AU378" s="257">
        <f t="shared" si="52"/>
        <v>0</v>
      </c>
      <c r="AV378" s="389"/>
      <c r="AW378" s="257">
        <f t="shared" si="53"/>
        <v>0</v>
      </c>
      <c r="AX378" s="260"/>
      <c r="AY378" s="257">
        <f t="shared" si="54"/>
        <v>0</v>
      </c>
      <c r="AZ378" s="260"/>
      <c r="BA378" s="257">
        <f t="shared" si="55"/>
        <v>0</v>
      </c>
      <c r="BB378" s="274"/>
      <c r="BC378" s="257">
        <f t="shared" si="56"/>
        <v>0</v>
      </c>
      <c r="BD378" s="260"/>
      <c r="BE378" s="257">
        <f t="shared" si="57"/>
        <v>0</v>
      </c>
      <c r="BF378" s="262"/>
      <c r="BG378" s="257">
        <f t="shared" si="58"/>
        <v>0</v>
      </c>
      <c r="BH378" s="261"/>
      <c r="BI378" s="257">
        <f t="shared" si="59"/>
        <v>0</v>
      </c>
      <c r="BJ378" s="1" t="s">
        <v>818</v>
      </c>
      <c r="BL378" s="1" t="s">
        <v>457</v>
      </c>
      <c r="BM378" s="1" t="s">
        <v>819</v>
      </c>
    </row>
    <row r="379" spans="1:65" ht="15.6">
      <c r="A379" s="250" t="s">
        <v>951</v>
      </c>
      <c r="B379" s="59" t="s">
        <v>221</v>
      </c>
      <c r="C379" s="354" t="s">
        <v>172</v>
      </c>
      <c r="D379" s="419"/>
      <c r="E379" s="281" t="s">
        <v>332</v>
      </c>
      <c r="F379" s="422"/>
      <c r="G379" s="351" t="s">
        <v>236</v>
      </c>
      <c r="H379" s="323" t="s">
        <v>237</v>
      </c>
      <c r="I379" s="324" t="s">
        <v>183</v>
      </c>
      <c r="J379" s="325" t="s">
        <v>238</v>
      </c>
      <c r="K379" s="323" t="s">
        <v>234</v>
      </c>
      <c r="L379" s="323" t="s">
        <v>177</v>
      </c>
      <c r="M379" s="303" t="s">
        <v>474</v>
      </c>
      <c r="N379" s="303">
        <v>10.5</v>
      </c>
      <c r="O379" s="303">
        <v>10.5</v>
      </c>
      <c r="P379" s="303">
        <v>10.5</v>
      </c>
      <c r="Q379" s="303">
        <v>10.5</v>
      </c>
      <c r="R379" s="303">
        <v>10.5</v>
      </c>
      <c r="S379" s="303">
        <v>10.5</v>
      </c>
      <c r="T379" s="303">
        <v>10.5</v>
      </c>
      <c r="U379" s="303">
        <v>10.5</v>
      </c>
      <c r="V379" s="303">
        <v>10.5</v>
      </c>
      <c r="W379" s="303">
        <v>10.5</v>
      </c>
      <c r="X379" s="303">
        <v>10.5</v>
      </c>
      <c r="Y379" s="303">
        <v>10.5</v>
      </c>
      <c r="Z379" s="304">
        <v>0</v>
      </c>
      <c r="AA379" s="304">
        <v>0</v>
      </c>
      <c r="AB379" s="304">
        <v>0</v>
      </c>
      <c r="AC379" s="304">
        <v>0</v>
      </c>
      <c r="AD379" s="304">
        <v>0</v>
      </c>
      <c r="AE379" s="304">
        <v>0</v>
      </c>
      <c r="AF379" s="304">
        <v>0</v>
      </c>
      <c r="AG379" s="304">
        <v>0</v>
      </c>
      <c r="AH379" s="304">
        <v>0</v>
      </c>
      <c r="AI379" s="304">
        <v>0</v>
      </c>
      <c r="AJ379" s="304">
        <v>0</v>
      </c>
      <c r="AK379" s="304">
        <v>0</v>
      </c>
      <c r="AL379" s="260"/>
      <c r="AM379" s="254">
        <f t="shared" si="48"/>
        <v>0</v>
      </c>
      <c r="AN379" s="260"/>
      <c r="AO379" s="254">
        <f t="shared" si="49"/>
        <v>0</v>
      </c>
      <c r="AP379" s="274"/>
      <c r="AQ379" s="254">
        <f t="shared" si="50"/>
        <v>0</v>
      </c>
      <c r="AR379" s="256"/>
      <c r="AS379" s="257">
        <f t="shared" si="51"/>
        <v>0</v>
      </c>
      <c r="AT379" s="383"/>
      <c r="AU379" s="257">
        <f t="shared" si="52"/>
        <v>0</v>
      </c>
      <c r="AV379" s="389"/>
      <c r="AW379" s="257">
        <f t="shared" si="53"/>
        <v>0</v>
      </c>
      <c r="AX379" s="260"/>
      <c r="AY379" s="257">
        <f t="shared" si="54"/>
        <v>0</v>
      </c>
      <c r="AZ379" s="260"/>
      <c r="BA379" s="257">
        <f t="shared" si="55"/>
        <v>0</v>
      </c>
      <c r="BB379" s="274"/>
      <c r="BC379" s="257">
        <f t="shared" si="56"/>
        <v>0</v>
      </c>
      <c r="BD379" s="260"/>
      <c r="BE379" s="257">
        <f t="shared" si="57"/>
        <v>0</v>
      </c>
      <c r="BF379" s="260"/>
      <c r="BG379" s="257">
        <f t="shared" si="58"/>
        <v>0</v>
      </c>
      <c r="BH379" s="261"/>
      <c r="BI379" s="257">
        <f t="shared" si="59"/>
        <v>0</v>
      </c>
      <c r="BJ379" s="1" t="s">
        <v>820</v>
      </c>
      <c r="BL379" s="1" t="s">
        <v>457</v>
      </c>
      <c r="BM379" s="1" t="s">
        <v>821</v>
      </c>
    </row>
    <row r="380" spans="1:65" ht="15.6">
      <c r="A380" s="250" t="s">
        <v>951</v>
      </c>
      <c r="B380" s="59" t="s">
        <v>221</v>
      </c>
      <c r="C380" s="354" t="s">
        <v>172</v>
      </c>
      <c r="D380" s="419"/>
      <c r="E380" s="281" t="s">
        <v>332</v>
      </c>
      <c r="F380" s="422"/>
      <c r="G380" s="351" t="s">
        <v>236</v>
      </c>
      <c r="H380" s="323" t="s">
        <v>237</v>
      </c>
      <c r="I380" s="330" t="s">
        <v>190</v>
      </c>
      <c r="J380" s="325" t="s">
        <v>238</v>
      </c>
      <c r="K380" s="323" t="s">
        <v>234</v>
      </c>
      <c r="L380" s="323" t="s">
        <v>177</v>
      </c>
      <c r="M380" s="303" t="s">
        <v>474</v>
      </c>
      <c r="N380" s="303">
        <v>3.1</v>
      </c>
      <c r="O380" s="303">
        <v>3.1</v>
      </c>
      <c r="P380" s="303">
        <v>3.1</v>
      </c>
      <c r="Q380" s="303">
        <v>3.1</v>
      </c>
      <c r="R380" s="401">
        <v>3.6</v>
      </c>
      <c r="S380" s="401">
        <v>3.6</v>
      </c>
      <c r="T380" s="401">
        <v>3.6</v>
      </c>
      <c r="U380" s="401">
        <v>3.6</v>
      </c>
      <c r="V380" s="401">
        <v>3.6</v>
      </c>
      <c r="W380" s="401">
        <v>3.6</v>
      </c>
      <c r="X380" s="401">
        <v>3.6</v>
      </c>
      <c r="Y380" s="401">
        <v>3.6</v>
      </c>
      <c r="Z380" s="304">
        <v>0.25</v>
      </c>
      <c r="AA380" s="304">
        <v>0.25</v>
      </c>
      <c r="AB380" s="304">
        <v>0.25</v>
      </c>
      <c r="AC380" s="304">
        <v>0</v>
      </c>
      <c r="AD380" s="403">
        <v>0.15</v>
      </c>
      <c r="AE380" s="403">
        <v>0.15</v>
      </c>
      <c r="AF380" s="403">
        <v>0.15</v>
      </c>
      <c r="AG380" s="403">
        <v>0.15</v>
      </c>
      <c r="AH380" s="403">
        <v>0.15</v>
      </c>
      <c r="AI380" s="403">
        <v>0.15</v>
      </c>
      <c r="AJ380" s="403">
        <v>0.15</v>
      </c>
      <c r="AK380" s="403">
        <v>0.15</v>
      </c>
      <c r="AL380" s="260"/>
      <c r="AM380" s="254">
        <f t="shared" si="48"/>
        <v>0</v>
      </c>
      <c r="AN380" s="260"/>
      <c r="AO380" s="254">
        <f t="shared" si="49"/>
        <v>0</v>
      </c>
      <c r="AP380" s="274"/>
      <c r="AQ380" s="254">
        <f t="shared" si="50"/>
        <v>0</v>
      </c>
      <c r="AR380" s="256"/>
      <c r="AS380" s="257">
        <f t="shared" si="51"/>
        <v>0</v>
      </c>
      <c r="AT380" s="383"/>
      <c r="AU380" s="257">
        <f t="shared" si="52"/>
        <v>0</v>
      </c>
      <c r="AV380" s="389"/>
      <c r="AW380" s="257">
        <f t="shared" si="53"/>
        <v>0</v>
      </c>
      <c r="AX380" s="260"/>
      <c r="AY380" s="257">
        <f t="shared" si="54"/>
        <v>0</v>
      </c>
      <c r="AZ380" s="260"/>
      <c r="BA380" s="257">
        <f t="shared" si="55"/>
        <v>0</v>
      </c>
      <c r="BB380" s="274"/>
      <c r="BC380" s="257">
        <f t="shared" si="56"/>
        <v>0</v>
      </c>
      <c r="BD380" s="260"/>
      <c r="BE380" s="257">
        <f t="shared" si="57"/>
        <v>0</v>
      </c>
      <c r="BF380" s="260"/>
      <c r="BG380" s="257">
        <f t="shared" si="58"/>
        <v>0</v>
      </c>
      <c r="BH380" s="261"/>
      <c r="BI380" s="257">
        <f t="shared" si="59"/>
        <v>0</v>
      </c>
      <c r="BJ380" s="1" t="s">
        <v>822</v>
      </c>
      <c r="BL380" s="1" t="s">
        <v>457</v>
      </c>
      <c r="BM380" s="1" t="s">
        <v>823</v>
      </c>
    </row>
    <row r="381" spans="1:65" ht="15.6">
      <c r="A381" s="250" t="s">
        <v>951</v>
      </c>
      <c r="B381" s="59" t="s">
        <v>221</v>
      </c>
      <c r="C381" s="354" t="s">
        <v>172</v>
      </c>
      <c r="D381" s="419"/>
      <c r="E381" s="281" t="s">
        <v>332</v>
      </c>
      <c r="F381" s="422"/>
      <c r="G381" s="351" t="s">
        <v>239</v>
      </c>
      <c r="H381" s="323" t="s">
        <v>240</v>
      </c>
      <c r="I381" s="330" t="s">
        <v>190</v>
      </c>
      <c r="J381" s="325" t="s">
        <v>241</v>
      </c>
      <c r="K381" s="323" t="s">
        <v>637</v>
      </c>
      <c r="L381" s="323" t="s">
        <v>177</v>
      </c>
      <c r="M381" s="303" t="s">
        <v>474</v>
      </c>
      <c r="N381" s="303">
        <v>3.1</v>
      </c>
      <c r="O381" s="303">
        <v>3.1</v>
      </c>
      <c r="P381" s="303">
        <v>3.1</v>
      </c>
      <c r="Q381" s="303">
        <v>3.1</v>
      </c>
      <c r="R381" s="401">
        <v>3.6</v>
      </c>
      <c r="S381" s="401">
        <v>3.6</v>
      </c>
      <c r="T381" s="401">
        <v>3.6</v>
      </c>
      <c r="U381" s="401">
        <v>3.6</v>
      </c>
      <c r="V381" s="401">
        <v>3.6</v>
      </c>
      <c r="W381" s="401">
        <v>3.6</v>
      </c>
      <c r="X381" s="401">
        <v>3.6</v>
      </c>
      <c r="Y381" s="401">
        <v>3.6</v>
      </c>
      <c r="Z381" s="304">
        <v>0.25</v>
      </c>
      <c r="AA381" s="304">
        <v>0.25</v>
      </c>
      <c r="AB381" s="304">
        <v>0.25</v>
      </c>
      <c r="AC381" s="304">
        <v>0</v>
      </c>
      <c r="AD381" s="403">
        <v>0.15</v>
      </c>
      <c r="AE381" s="403">
        <v>0.15</v>
      </c>
      <c r="AF381" s="403">
        <v>0.15</v>
      </c>
      <c r="AG381" s="403">
        <v>0.15</v>
      </c>
      <c r="AH381" s="403">
        <v>0.15</v>
      </c>
      <c r="AI381" s="403">
        <v>0.15</v>
      </c>
      <c r="AJ381" s="403">
        <v>0.15</v>
      </c>
      <c r="AK381" s="403">
        <v>0.15</v>
      </c>
      <c r="AL381" s="260"/>
      <c r="AM381" s="254">
        <f t="shared" si="48"/>
        <v>0</v>
      </c>
      <c r="AN381" s="260"/>
      <c r="AO381" s="254">
        <f t="shared" si="49"/>
        <v>0</v>
      </c>
      <c r="AP381" s="274"/>
      <c r="AQ381" s="254">
        <f t="shared" si="50"/>
        <v>0</v>
      </c>
      <c r="AR381" s="256"/>
      <c r="AS381" s="257">
        <f t="shared" si="51"/>
        <v>0</v>
      </c>
      <c r="AT381" s="383"/>
      <c r="AU381" s="257">
        <f t="shared" si="52"/>
        <v>0</v>
      </c>
      <c r="AV381" s="389"/>
      <c r="AW381" s="257">
        <f t="shared" si="53"/>
        <v>0</v>
      </c>
      <c r="AX381" s="260"/>
      <c r="AY381" s="257">
        <f t="shared" si="54"/>
        <v>0</v>
      </c>
      <c r="AZ381" s="260"/>
      <c r="BA381" s="257">
        <f t="shared" si="55"/>
        <v>0</v>
      </c>
      <c r="BB381" s="274"/>
      <c r="BC381" s="257">
        <f t="shared" si="56"/>
        <v>0</v>
      </c>
      <c r="BD381" s="260"/>
      <c r="BE381" s="257">
        <f t="shared" si="57"/>
        <v>0</v>
      </c>
      <c r="BF381" s="260"/>
      <c r="BG381" s="257">
        <f t="shared" si="58"/>
        <v>0</v>
      </c>
      <c r="BH381" s="261"/>
      <c r="BI381" s="257">
        <f t="shared" si="59"/>
        <v>0</v>
      </c>
      <c r="BJ381" s="1" t="s">
        <v>824</v>
      </c>
      <c r="BL381" s="1" t="s">
        <v>457</v>
      </c>
      <c r="BM381" s="1" t="s">
        <v>825</v>
      </c>
    </row>
    <row r="382" spans="1:65" ht="15.6">
      <c r="A382" s="250" t="s">
        <v>951</v>
      </c>
      <c r="B382" s="59" t="s">
        <v>221</v>
      </c>
      <c r="C382" s="354" t="s">
        <v>172</v>
      </c>
      <c r="D382" s="419"/>
      <c r="E382" s="281" t="s">
        <v>332</v>
      </c>
      <c r="F382" s="422"/>
      <c r="G382" s="351" t="s">
        <v>239</v>
      </c>
      <c r="H382" s="323" t="s">
        <v>240</v>
      </c>
      <c r="I382" s="330" t="s">
        <v>190</v>
      </c>
      <c r="J382" s="325" t="s">
        <v>241</v>
      </c>
      <c r="K382" s="323" t="s">
        <v>637</v>
      </c>
      <c r="L382" s="323" t="s">
        <v>177</v>
      </c>
      <c r="M382" s="303" t="s">
        <v>474</v>
      </c>
      <c r="N382" s="303">
        <v>3.1</v>
      </c>
      <c r="O382" s="303">
        <v>3.1</v>
      </c>
      <c r="P382" s="303">
        <v>3.1</v>
      </c>
      <c r="Q382" s="303">
        <v>3.1</v>
      </c>
      <c r="R382" s="401">
        <v>3.6</v>
      </c>
      <c r="S382" s="401">
        <v>3.6</v>
      </c>
      <c r="T382" s="401">
        <v>3.6</v>
      </c>
      <c r="U382" s="401">
        <v>3.6</v>
      </c>
      <c r="V382" s="401">
        <v>3.6</v>
      </c>
      <c r="W382" s="401">
        <v>3.6</v>
      </c>
      <c r="X382" s="401">
        <v>3.6</v>
      </c>
      <c r="Y382" s="401">
        <v>3.6</v>
      </c>
      <c r="Z382" s="304">
        <v>0.25</v>
      </c>
      <c r="AA382" s="304">
        <v>0.25</v>
      </c>
      <c r="AB382" s="304">
        <v>0.25</v>
      </c>
      <c r="AC382" s="304">
        <v>0</v>
      </c>
      <c r="AD382" s="403">
        <v>0.15</v>
      </c>
      <c r="AE382" s="403">
        <v>0.15</v>
      </c>
      <c r="AF382" s="403">
        <v>0.15</v>
      </c>
      <c r="AG382" s="403">
        <v>0.15</v>
      </c>
      <c r="AH382" s="403">
        <v>0.15</v>
      </c>
      <c r="AI382" s="403">
        <v>0.15</v>
      </c>
      <c r="AJ382" s="403">
        <v>0.15</v>
      </c>
      <c r="AK382" s="403">
        <v>0.15</v>
      </c>
      <c r="AL382" s="260"/>
      <c r="AM382" s="254">
        <f t="shared" si="48"/>
        <v>0</v>
      </c>
      <c r="AN382" s="260"/>
      <c r="AO382" s="254">
        <f t="shared" si="49"/>
        <v>0</v>
      </c>
      <c r="AP382" s="274"/>
      <c r="AQ382" s="254">
        <f t="shared" si="50"/>
        <v>0</v>
      </c>
      <c r="AR382" s="256"/>
      <c r="AS382" s="257">
        <f t="shared" si="51"/>
        <v>0</v>
      </c>
      <c r="AT382" s="383"/>
      <c r="AU382" s="257">
        <f t="shared" si="52"/>
        <v>0</v>
      </c>
      <c r="AV382" s="389"/>
      <c r="AW382" s="257">
        <f t="shared" si="53"/>
        <v>0</v>
      </c>
      <c r="AX382" s="260"/>
      <c r="AY382" s="257">
        <f t="shared" si="54"/>
        <v>0</v>
      </c>
      <c r="AZ382" s="260"/>
      <c r="BA382" s="257">
        <f t="shared" si="55"/>
        <v>0</v>
      </c>
      <c r="BB382" s="274"/>
      <c r="BC382" s="257">
        <f t="shared" si="56"/>
        <v>0</v>
      </c>
      <c r="BD382" s="260"/>
      <c r="BE382" s="257">
        <f t="shared" si="57"/>
        <v>0</v>
      </c>
      <c r="BF382" s="260"/>
      <c r="BG382" s="257">
        <f t="shared" si="58"/>
        <v>0</v>
      </c>
      <c r="BH382" s="261"/>
      <c r="BI382" s="257">
        <f t="shared" si="59"/>
        <v>0</v>
      </c>
      <c r="BJ382" s="1" t="s">
        <v>826</v>
      </c>
      <c r="BK382" s="1" t="s">
        <v>532</v>
      </c>
      <c r="BL382" s="1" t="s">
        <v>457</v>
      </c>
      <c r="BM382" s="1" t="s">
        <v>827</v>
      </c>
    </row>
    <row r="383" spans="1:65" ht="15.6">
      <c r="A383" s="250" t="s">
        <v>951</v>
      </c>
      <c r="B383" s="59" t="s">
        <v>221</v>
      </c>
      <c r="C383" s="354" t="s">
        <v>172</v>
      </c>
      <c r="D383" s="419"/>
      <c r="E383" s="281" t="s">
        <v>332</v>
      </c>
      <c r="F383" s="422"/>
      <c r="G383" s="351" t="s">
        <v>239</v>
      </c>
      <c r="H383" s="323" t="s">
        <v>240</v>
      </c>
      <c r="I383" s="330" t="s">
        <v>190</v>
      </c>
      <c r="J383" s="325" t="s">
        <v>241</v>
      </c>
      <c r="K383" s="323" t="s">
        <v>227</v>
      </c>
      <c r="L383" s="323" t="s">
        <v>177</v>
      </c>
      <c r="M383" s="303" t="s">
        <v>474</v>
      </c>
      <c r="N383" s="303">
        <v>3.1</v>
      </c>
      <c r="O383" s="303">
        <v>3.1</v>
      </c>
      <c r="P383" s="303">
        <v>3.1</v>
      </c>
      <c r="Q383" s="303">
        <v>3.1</v>
      </c>
      <c r="R383" s="401">
        <v>3.6</v>
      </c>
      <c r="S383" s="401">
        <v>3.6</v>
      </c>
      <c r="T383" s="401">
        <v>3.6</v>
      </c>
      <c r="U383" s="401">
        <v>3.6</v>
      </c>
      <c r="V383" s="401">
        <v>3.6</v>
      </c>
      <c r="W383" s="401">
        <v>3.6</v>
      </c>
      <c r="X383" s="401">
        <v>3.6</v>
      </c>
      <c r="Y383" s="401">
        <v>3.6</v>
      </c>
      <c r="Z383" s="304">
        <v>0.25</v>
      </c>
      <c r="AA383" s="304">
        <v>0.25</v>
      </c>
      <c r="AB383" s="304">
        <v>0.25</v>
      </c>
      <c r="AC383" s="304">
        <v>0</v>
      </c>
      <c r="AD383" s="403">
        <v>0.15</v>
      </c>
      <c r="AE383" s="403">
        <v>0.15</v>
      </c>
      <c r="AF383" s="403">
        <v>0.15</v>
      </c>
      <c r="AG383" s="403">
        <v>0.15</v>
      </c>
      <c r="AH383" s="403">
        <v>0.15</v>
      </c>
      <c r="AI383" s="403">
        <v>0.15</v>
      </c>
      <c r="AJ383" s="403">
        <v>0.15</v>
      </c>
      <c r="AK383" s="403">
        <v>0.15</v>
      </c>
      <c r="AL383" s="260"/>
      <c r="AM383" s="254">
        <f t="shared" si="48"/>
        <v>0</v>
      </c>
      <c r="AN383" s="260"/>
      <c r="AO383" s="254">
        <f t="shared" si="49"/>
        <v>0</v>
      </c>
      <c r="AP383" s="274"/>
      <c r="AQ383" s="254">
        <f t="shared" si="50"/>
        <v>0</v>
      </c>
      <c r="AR383" s="256"/>
      <c r="AS383" s="257">
        <f t="shared" si="51"/>
        <v>0</v>
      </c>
      <c r="AT383" s="383"/>
      <c r="AU383" s="257">
        <f t="shared" si="52"/>
        <v>0</v>
      </c>
      <c r="AV383" s="389"/>
      <c r="AW383" s="257">
        <f t="shared" si="53"/>
        <v>0</v>
      </c>
      <c r="AX383" s="260"/>
      <c r="AY383" s="257">
        <f t="shared" si="54"/>
        <v>0</v>
      </c>
      <c r="AZ383" s="260"/>
      <c r="BA383" s="257">
        <f t="shared" si="55"/>
        <v>0</v>
      </c>
      <c r="BB383" s="274"/>
      <c r="BC383" s="257">
        <f t="shared" si="56"/>
        <v>0</v>
      </c>
      <c r="BD383" s="260"/>
      <c r="BE383" s="257">
        <f t="shared" si="57"/>
        <v>0</v>
      </c>
      <c r="BF383" s="260"/>
      <c r="BG383" s="257">
        <f t="shared" si="58"/>
        <v>0</v>
      </c>
      <c r="BH383" s="261"/>
      <c r="BI383" s="257">
        <f t="shared" si="59"/>
        <v>0</v>
      </c>
      <c r="BJ383" s="1" t="s">
        <v>828</v>
      </c>
      <c r="BL383" s="1" t="s">
        <v>457</v>
      </c>
      <c r="BM383" s="1" t="s">
        <v>829</v>
      </c>
    </row>
    <row r="384" spans="1:65" ht="15.6">
      <c r="A384" s="250" t="s">
        <v>951</v>
      </c>
      <c r="B384" s="59" t="s">
        <v>221</v>
      </c>
      <c r="C384" s="354" t="s">
        <v>172</v>
      </c>
      <c r="D384" s="419"/>
      <c r="E384" s="281" t="s">
        <v>332</v>
      </c>
      <c r="F384" s="422"/>
      <c r="G384" s="351" t="s">
        <v>239</v>
      </c>
      <c r="H384" s="323" t="s">
        <v>240</v>
      </c>
      <c r="I384" s="324" t="s">
        <v>183</v>
      </c>
      <c r="J384" s="325" t="s">
        <v>241</v>
      </c>
      <c r="K384" s="323" t="s">
        <v>227</v>
      </c>
      <c r="L384" s="323" t="s">
        <v>177</v>
      </c>
      <c r="M384" s="303" t="s">
        <v>474</v>
      </c>
      <c r="N384" s="303">
        <v>9.8000000000000007</v>
      </c>
      <c r="O384" s="303">
        <v>9.8000000000000007</v>
      </c>
      <c r="P384" s="303">
        <v>9.8000000000000007</v>
      </c>
      <c r="Q384" s="303">
        <v>9.8000000000000007</v>
      </c>
      <c r="R384" s="303">
        <v>9.8000000000000007</v>
      </c>
      <c r="S384" s="303">
        <v>9.8000000000000007</v>
      </c>
      <c r="T384" s="303">
        <v>9.8000000000000007</v>
      </c>
      <c r="U384" s="303">
        <v>9.8000000000000007</v>
      </c>
      <c r="V384" s="303">
        <v>9.8000000000000007</v>
      </c>
      <c r="W384" s="303">
        <v>9.8000000000000007</v>
      </c>
      <c r="X384" s="303">
        <v>9.8000000000000007</v>
      </c>
      <c r="Y384" s="303">
        <v>9.8000000000000007</v>
      </c>
      <c r="Z384" s="304">
        <v>1.35</v>
      </c>
      <c r="AA384" s="304">
        <v>1.35</v>
      </c>
      <c r="AB384" s="304">
        <v>1.35</v>
      </c>
      <c r="AC384" s="304">
        <v>0</v>
      </c>
      <c r="AD384" s="304">
        <v>1.35</v>
      </c>
      <c r="AE384" s="304">
        <v>1.35</v>
      </c>
      <c r="AF384" s="304">
        <v>1.35</v>
      </c>
      <c r="AG384" s="304">
        <v>1.35</v>
      </c>
      <c r="AH384" s="304">
        <v>1.35</v>
      </c>
      <c r="AI384" s="304">
        <v>1.35</v>
      </c>
      <c r="AJ384" s="304">
        <v>1.35</v>
      </c>
      <c r="AK384" s="304">
        <v>1.35</v>
      </c>
      <c r="AL384" s="260"/>
      <c r="AM384" s="254">
        <f t="shared" si="48"/>
        <v>0</v>
      </c>
      <c r="AN384" s="260"/>
      <c r="AO384" s="254">
        <f t="shared" si="49"/>
        <v>0</v>
      </c>
      <c r="AP384" s="274"/>
      <c r="AQ384" s="254">
        <f t="shared" si="50"/>
        <v>0</v>
      </c>
      <c r="AR384" s="256"/>
      <c r="AS384" s="257">
        <f t="shared" si="51"/>
        <v>0</v>
      </c>
      <c r="AT384" s="383"/>
      <c r="AU384" s="257">
        <f t="shared" si="52"/>
        <v>0</v>
      </c>
      <c r="AV384" s="389"/>
      <c r="AW384" s="257">
        <f t="shared" si="53"/>
        <v>0</v>
      </c>
      <c r="AX384" s="260"/>
      <c r="AY384" s="257">
        <f t="shared" si="54"/>
        <v>0</v>
      </c>
      <c r="AZ384" s="260"/>
      <c r="BA384" s="257">
        <f t="shared" si="55"/>
        <v>0</v>
      </c>
      <c r="BB384" s="274"/>
      <c r="BC384" s="257">
        <f t="shared" si="56"/>
        <v>0</v>
      </c>
      <c r="BD384" s="260"/>
      <c r="BE384" s="257">
        <f t="shared" si="57"/>
        <v>0</v>
      </c>
      <c r="BF384" s="260"/>
      <c r="BG384" s="257">
        <f t="shared" si="58"/>
        <v>0</v>
      </c>
      <c r="BH384" s="261"/>
      <c r="BI384" s="257">
        <f t="shared" si="59"/>
        <v>0</v>
      </c>
      <c r="BJ384" s="1" t="s">
        <v>830</v>
      </c>
      <c r="BL384" s="1" t="s">
        <v>457</v>
      </c>
      <c r="BM384" s="1" t="s">
        <v>831</v>
      </c>
    </row>
    <row r="385" spans="1:65" ht="15.6">
      <c r="A385" s="250" t="s">
        <v>951</v>
      </c>
      <c r="B385" s="59" t="s">
        <v>221</v>
      </c>
      <c r="C385" s="354" t="s">
        <v>172</v>
      </c>
      <c r="D385" s="419"/>
      <c r="E385" s="281" t="s">
        <v>332</v>
      </c>
      <c r="F385" s="422"/>
      <c r="G385" s="351" t="s">
        <v>239</v>
      </c>
      <c r="H385" s="323" t="s">
        <v>240</v>
      </c>
      <c r="I385" s="324" t="s">
        <v>183</v>
      </c>
      <c r="J385" s="325" t="s">
        <v>241</v>
      </c>
      <c r="K385" s="323" t="s">
        <v>208</v>
      </c>
      <c r="L385" s="323" t="s">
        <v>177</v>
      </c>
      <c r="M385" s="303" t="s">
        <v>474</v>
      </c>
      <c r="N385" s="303">
        <v>9.8000000000000007</v>
      </c>
      <c r="O385" s="303">
        <v>9.8000000000000007</v>
      </c>
      <c r="P385" s="303">
        <v>9.8000000000000007</v>
      </c>
      <c r="Q385" s="303">
        <v>9.8000000000000007</v>
      </c>
      <c r="R385" s="303">
        <v>9.8000000000000007</v>
      </c>
      <c r="S385" s="303">
        <v>9.8000000000000007</v>
      </c>
      <c r="T385" s="303">
        <v>9.8000000000000007</v>
      </c>
      <c r="U385" s="303">
        <v>9.8000000000000007</v>
      </c>
      <c r="V385" s="303">
        <v>9.8000000000000007</v>
      </c>
      <c r="W385" s="303">
        <v>9.8000000000000007</v>
      </c>
      <c r="X385" s="303">
        <v>9.8000000000000007</v>
      </c>
      <c r="Y385" s="303">
        <v>9.8000000000000007</v>
      </c>
      <c r="Z385" s="304">
        <v>1.35</v>
      </c>
      <c r="AA385" s="304">
        <v>1.35</v>
      </c>
      <c r="AB385" s="304">
        <v>1.35</v>
      </c>
      <c r="AC385" s="304">
        <v>0</v>
      </c>
      <c r="AD385" s="304">
        <v>1.35</v>
      </c>
      <c r="AE385" s="304">
        <v>1.35</v>
      </c>
      <c r="AF385" s="304">
        <v>1.35</v>
      </c>
      <c r="AG385" s="304">
        <v>1.35</v>
      </c>
      <c r="AH385" s="304">
        <v>1.35</v>
      </c>
      <c r="AI385" s="304">
        <v>1.35</v>
      </c>
      <c r="AJ385" s="304">
        <v>1.35</v>
      </c>
      <c r="AK385" s="304">
        <v>1.35</v>
      </c>
      <c r="AL385" s="260"/>
      <c r="AM385" s="254">
        <f t="shared" si="48"/>
        <v>0</v>
      </c>
      <c r="AN385" s="260"/>
      <c r="AO385" s="254">
        <f t="shared" si="49"/>
        <v>0</v>
      </c>
      <c r="AP385" s="274"/>
      <c r="AQ385" s="254">
        <f t="shared" si="50"/>
        <v>0</v>
      </c>
      <c r="AR385" s="261"/>
      <c r="AS385" s="257">
        <f t="shared" si="51"/>
        <v>0</v>
      </c>
      <c r="AT385" s="386"/>
      <c r="AU385" s="257">
        <f t="shared" si="52"/>
        <v>0</v>
      </c>
      <c r="AV385" s="389"/>
      <c r="AW385" s="257">
        <f t="shared" si="53"/>
        <v>0</v>
      </c>
      <c r="AX385" s="261"/>
      <c r="AY385" s="257">
        <f t="shared" si="54"/>
        <v>0</v>
      </c>
      <c r="AZ385" s="274"/>
      <c r="BA385" s="257">
        <f t="shared" si="55"/>
        <v>0</v>
      </c>
      <c r="BB385" s="274"/>
      <c r="BC385" s="257">
        <f t="shared" si="56"/>
        <v>0</v>
      </c>
      <c r="BD385" s="261"/>
      <c r="BE385" s="257">
        <f t="shared" si="57"/>
        <v>0</v>
      </c>
      <c r="BF385" s="261"/>
      <c r="BG385" s="257">
        <f t="shared" si="58"/>
        <v>0</v>
      </c>
      <c r="BH385" s="261"/>
      <c r="BI385" s="257">
        <f t="shared" si="59"/>
        <v>0</v>
      </c>
      <c r="BJ385" s="1" t="s">
        <v>832</v>
      </c>
      <c r="BL385" s="1" t="s">
        <v>457</v>
      </c>
      <c r="BM385" s="1" t="s">
        <v>833</v>
      </c>
    </row>
    <row r="386" spans="1:65" ht="15.6">
      <c r="A386" s="250" t="s">
        <v>951</v>
      </c>
      <c r="B386" s="59" t="s">
        <v>221</v>
      </c>
      <c r="C386" s="354" t="s">
        <v>172</v>
      </c>
      <c r="D386" s="419"/>
      <c r="E386" s="281" t="s">
        <v>332</v>
      </c>
      <c r="F386" s="422"/>
      <c r="G386" s="351" t="s">
        <v>239</v>
      </c>
      <c r="H386" s="323" t="s">
        <v>240</v>
      </c>
      <c r="I386" s="330" t="s">
        <v>190</v>
      </c>
      <c r="J386" s="325" t="s">
        <v>241</v>
      </c>
      <c r="K386" s="323" t="s">
        <v>208</v>
      </c>
      <c r="L386" s="323" t="s">
        <v>177</v>
      </c>
      <c r="M386" s="303" t="s">
        <v>474</v>
      </c>
      <c r="N386" s="303">
        <v>5.6</v>
      </c>
      <c r="O386" s="303">
        <v>5.6</v>
      </c>
      <c r="P386" s="303">
        <v>5.6</v>
      </c>
      <c r="Q386" s="303">
        <v>5.6</v>
      </c>
      <c r="R386" s="303">
        <v>5.6</v>
      </c>
      <c r="S386" s="303">
        <v>5.6</v>
      </c>
      <c r="T386" s="303">
        <v>5.6</v>
      </c>
      <c r="U386" s="303">
        <v>5.6</v>
      </c>
      <c r="V386" s="303">
        <v>5.6</v>
      </c>
      <c r="W386" s="303">
        <v>5.6</v>
      </c>
      <c r="X386" s="303">
        <v>5.6</v>
      </c>
      <c r="Y386" s="303">
        <v>5.6</v>
      </c>
      <c r="Z386" s="304">
        <v>1</v>
      </c>
      <c r="AA386" s="304">
        <v>1</v>
      </c>
      <c r="AB386" s="304">
        <v>1</v>
      </c>
      <c r="AC386" s="304">
        <v>0</v>
      </c>
      <c r="AD386" s="304">
        <v>1</v>
      </c>
      <c r="AE386" s="304">
        <v>1</v>
      </c>
      <c r="AF386" s="304">
        <v>1</v>
      </c>
      <c r="AG386" s="304">
        <v>1</v>
      </c>
      <c r="AH386" s="304">
        <v>1</v>
      </c>
      <c r="AI386" s="304">
        <v>1</v>
      </c>
      <c r="AJ386" s="304">
        <v>1</v>
      </c>
      <c r="AK386" s="304">
        <v>1</v>
      </c>
      <c r="AL386" s="260"/>
      <c r="AM386" s="254">
        <f t="shared" si="48"/>
        <v>0</v>
      </c>
      <c r="AN386" s="260"/>
      <c r="AO386" s="254">
        <f t="shared" si="49"/>
        <v>0</v>
      </c>
      <c r="AP386" s="260"/>
      <c r="AQ386" s="254">
        <f t="shared" si="50"/>
        <v>0</v>
      </c>
      <c r="AR386" s="260"/>
      <c r="AS386" s="257">
        <f t="shared" si="51"/>
        <v>0</v>
      </c>
      <c r="AT386" s="383"/>
      <c r="AU386" s="257">
        <f t="shared" si="52"/>
        <v>0</v>
      </c>
      <c r="AV386" s="392"/>
      <c r="AW386" s="257">
        <f t="shared" si="53"/>
        <v>0</v>
      </c>
      <c r="AX386" s="260"/>
      <c r="AY386" s="257">
        <f t="shared" si="54"/>
        <v>0</v>
      </c>
      <c r="AZ386" s="260"/>
      <c r="BA386" s="257">
        <f t="shared" si="55"/>
        <v>0</v>
      </c>
      <c r="BB386" s="274"/>
      <c r="BC386" s="257">
        <f t="shared" si="56"/>
        <v>0</v>
      </c>
      <c r="BD386" s="261"/>
      <c r="BE386" s="257">
        <f t="shared" si="57"/>
        <v>0</v>
      </c>
      <c r="BF386" s="261"/>
      <c r="BG386" s="257">
        <f t="shared" si="58"/>
        <v>0</v>
      </c>
      <c r="BH386" s="260"/>
      <c r="BI386" s="257">
        <f t="shared" si="59"/>
        <v>0</v>
      </c>
      <c r="BJ386" s="1" t="s">
        <v>834</v>
      </c>
      <c r="BL386" s="1" t="s">
        <v>457</v>
      </c>
      <c r="BM386" s="1" t="s">
        <v>835</v>
      </c>
    </row>
    <row r="387" spans="1:65" ht="15.6">
      <c r="A387" s="250" t="s">
        <v>951</v>
      </c>
      <c r="B387" s="59" t="s">
        <v>221</v>
      </c>
      <c r="C387" s="354" t="s">
        <v>172</v>
      </c>
      <c r="D387" s="419"/>
      <c r="E387" s="281" t="s">
        <v>332</v>
      </c>
      <c r="F387" s="422"/>
      <c r="G387" s="351" t="s">
        <v>239</v>
      </c>
      <c r="H387" s="323" t="s">
        <v>240</v>
      </c>
      <c r="I387" s="324" t="s">
        <v>183</v>
      </c>
      <c r="J387" s="325" t="s">
        <v>241</v>
      </c>
      <c r="K387" s="323" t="s">
        <v>243</v>
      </c>
      <c r="L387" s="323" t="s">
        <v>177</v>
      </c>
      <c r="M387" s="303" t="s">
        <v>474</v>
      </c>
      <c r="N387" s="303">
        <v>8</v>
      </c>
      <c r="O387" s="303">
        <v>8</v>
      </c>
      <c r="P387" s="303">
        <v>8</v>
      </c>
      <c r="Q387" s="303">
        <v>8</v>
      </c>
      <c r="R387" s="303">
        <v>8</v>
      </c>
      <c r="S387" s="303">
        <v>8</v>
      </c>
      <c r="T387" s="303">
        <v>8</v>
      </c>
      <c r="U387" s="303">
        <v>8</v>
      </c>
      <c r="V387" s="303">
        <v>8</v>
      </c>
      <c r="W387" s="303">
        <v>8</v>
      </c>
      <c r="X387" s="303">
        <v>8</v>
      </c>
      <c r="Y387" s="303">
        <v>8</v>
      </c>
      <c r="Z387" s="304">
        <v>0.8</v>
      </c>
      <c r="AA387" s="304">
        <v>0.8</v>
      </c>
      <c r="AB387" s="304">
        <v>0.8</v>
      </c>
      <c r="AC387" s="304">
        <v>0</v>
      </c>
      <c r="AD387" s="304">
        <v>0.8</v>
      </c>
      <c r="AE387" s="304">
        <v>0.8</v>
      </c>
      <c r="AF387" s="304">
        <v>0.8</v>
      </c>
      <c r="AG387" s="304">
        <v>0.8</v>
      </c>
      <c r="AH387" s="304">
        <v>0.8</v>
      </c>
      <c r="AI387" s="304">
        <v>0.8</v>
      </c>
      <c r="AJ387" s="304">
        <v>0.8</v>
      </c>
      <c r="AK387" s="304">
        <v>0.8</v>
      </c>
      <c r="AL387" s="260"/>
      <c r="AM387" s="254">
        <f t="shared" si="48"/>
        <v>0</v>
      </c>
      <c r="AN387" s="260"/>
      <c r="AO387" s="254">
        <f t="shared" si="49"/>
        <v>0</v>
      </c>
      <c r="AP387" s="260"/>
      <c r="AQ387" s="254">
        <f t="shared" si="50"/>
        <v>0</v>
      </c>
      <c r="AR387" s="260"/>
      <c r="AS387" s="257">
        <f t="shared" si="51"/>
        <v>0</v>
      </c>
      <c r="AT387" s="383"/>
      <c r="AU387" s="257">
        <f t="shared" si="52"/>
        <v>0</v>
      </c>
      <c r="AV387" s="392"/>
      <c r="AW387" s="257">
        <f t="shared" si="53"/>
        <v>0</v>
      </c>
      <c r="AX387" s="260"/>
      <c r="AY387" s="257">
        <f t="shared" si="54"/>
        <v>0</v>
      </c>
      <c r="AZ387" s="260"/>
      <c r="BA387" s="257">
        <f t="shared" si="55"/>
        <v>0</v>
      </c>
      <c r="BB387" s="260"/>
      <c r="BC387" s="257">
        <f t="shared" si="56"/>
        <v>0</v>
      </c>
      <c r="BD387" s="260"/>
      <c r="BE387" s="257">
        <f t="shared" si="57"/>
        <v>0</v>
      </c>
      <c r="BF387" s="256"/>
      <c r="BG387" s="257">
        <f t="shared" si="58"/>
        <v>0</v>
      </c>
      <c r="BH387" s="256"/>
      <c r="BI387" s="257">
        <f t="shared" si="59"/>
        <v>0</v>
      </c>
      <c r="BJ387" s="1" t="s">
        <v>836</v>
      </c>
      <c r="BL387" s="1" t="s">
        <v>457</v>
      </c>
      <c r="BM387" s="1" t="s">
        <v>837</v>
      </c>
    </row>
    <row r="388" spans="1:65" ht="15.6">
      <c r="A388" s="250" t="s">
        <v>951</v>
      </c>
      <c r="B388" s="59" t="s">
        <v>221</v>
      </c>
      <c r="C388" s="354" t="s">
        <v>172</v>
      </c>
      <c r="D388" s="419"/>
      <c r="E388" s="281" t="s">
        <v>332</v>
      </c>
      <c r="F388" s="422"/>
      <c r="G388" s="351" t="s">
        <v>239</v>
      </c>
      <c r="H388" s="323" t="s">
        <v>240</v>
      </c>
      <c r="I388" s="324" t="s">
        <v>183</v>
      </c>
      <c r="J388" s="325" t="s">
        <v>241</v>
      </c>
      <c r="K388" s="323" t="s">
        <v>243</v>
      </c>
      <c r="L388" s="323" t="s">
        <v>177</v>
      </c>
      <c r="M388" s="303" t="s">
        <v>474</v>
      </c>
      <c r="N388" s="303">
        <v>8</v>
      </c>
      <c r="O388" s="303">
        <v>8</v>
      </c>
      <c r="P388" s="303">
        <v>8</v>
      </c>
      <c r="Q388" s="303">
        <v>8</v>
      </c>
      <c r="R388" s="303">
        <v>8</v>
      </c>
      <c r="S388" s="303">
        <v>8</v>
      </c>
      <c r="T388" s="303">
        <v>8</v>
      </c>
      <c r="U388" s="303">
        <v>8</v>
      </c>
      <c r="V388" s="303">
        <v>8</v>
      </c>
      <c r="W388" s="303">
        <v>8</v>
      </c>
      <c r="X388" s="303">
        <v>8</v>
      </c>
      <c r="Y388" s="303">
        <v>8</v>
      </c>
      <c r="Z388" s="304">
        <v>0.8</v>
      </c>
      <c r="AA388" s="304">
        <v>0.8</v>
      </c>
      <c r="AB388" s="304">
        <v>0.8</v>
      </c>
      <c r="AC388" s="304">
        <v>0</v>
      </c>
      <c r="AD388" s="304">
        <v>0.8</v>
      </c>
      <c r="AE388" s="304">
        <v>0.8</v>
      </c>
      <c r="AF388" s="304">
        <v>0.8</v>
      </c>
      <c r="AG388" s="304">
        <v>0.8</v>
      </c>
      <c r="AH388" s="304">
        <v>0.8</v>
      </c>
      <c r="AI388" s="304">
        <v>0.8</v>
      </c>
      <c r="AJ388" s="304">
        <v>0.8</v>
      </c>
      <c r="AK388" s="304">
        <v>0.8</v>
      </c>
      <c r="AL388" s="260">
        <v>2929</v>
      </c>
      <c r="AM388" s="254">
        <f t="shared" si="48"/>
        <v>2343.2000000000003</v>
      </c>
      <c r="AN388" s="260">
        <v>1440</v>
      </c>
      <c r="AO388" s="254">
        <f t="shared" si="49"/>
        <v>1152</v>
      </c>
      <c r="AP388" s="260">
        <v>200</v>
      </c>
      <c r="AQ388" s="254">
        <f t="shared" si="50"/>
        <v>160</v>
      </c>
      <c r="AR388" s="260">
        <v>489</v>
      </c>
      <c r="AS388" s="257">
        <f t="shared" si="51"/>
        <v>0</v>
      </c>
      <c r="AT388" s="383"/>
      <c r="AU388" s="257">
        <f t="shared" si="52"/>
        <v>0</v>
      </c>
      <c r="AV388" s="392">
        <v>5000</v>
      </c>
      <c r="AW388" s="257">
        <f t="shared" si="53"/>
        <v>4000</v>
      </c>
      <c r="AX388" s="392">
        <v>5000</v>
      </c>
      <c r="AY388" s="257">
        <f t="shared" si="54"/>
        <v>4000</v>
      </c>
      <c r="AZ388" s="392">
        <v>5000</v>
      </c>
      <c r="BA388" s="257">
        <f t="shared" si="55"/>
        <v>4000</v>
      </c>
      <c r="BB388" s="392">
        <v>5000</v>
      </c>
      <c r="BC388" s="257">
        <f t="shared" si="56"/>
        <v>4000</v>
      </c>
      <c r="BD388" s="392">
        <v>5000</v>
      </c>
      <c r="BE388" s="257">
        <f t="shared" si="57"/>
        <v>4000</v>
      </c>
      <c r="BF388" s="256">
        <v>6000</v>
      </c>
      <c r="BG388" s="257">
        <f t="shared" si="58"/>
        <v>4800</v>
      </c>
      <c r="BH388" s="256">
        <v>5000</v>
      </c>
      <c r="BI388" s="257">
        <f t="shared" si="59"/>
        <v>4000</v>
      </c>
      <c r="BJ388" s="1" t="s">
        <v>838</v>
      </c>
      <c r="BK388" s="1" t="s">
        <v>532</v>
      </c>
      <c r="BL388" s="1" t="s">
        <v>457</v>
      </c>
      <c r="BM388" s="1" t="s">
        <v>839</v>
      </c>
    </row>
    <row r="389" spans="1:65" ht="15.6">
      <c r="A389" s="250" t="s">
        <v>951</v>
      </c>
      <c r="B389" s="59" t="s">
        <v>221</v>
      </c>
      <c r="C389" s="354" t="s">
        <v>172</v>
      </c>
      <c r="D389" s="419"/>
      <c r="E389" s="281" t="s">
        <v>332</v>
      </c>
      <c r="F389" s="422"/>
      <c r="G389" s="351" t="s">
        <v>239</v>
      </c>
      <c r="H389" s="323" t="s">
        <v>240</v>
      </c>
      <c r="I389" s="330" t="s">
        <v>190</v>
      </c>
      <c r="J389" s="325" t="s">
        <v>241</v>
      </c>
      <c r="K389" s="323" t="s">
        <v>243</v>
      </c>
      <c r="L389" s="323" t="s">
        <v>177</v>
      </c>
      <c r="M389" s="303" t="s">
        <v>474</v>
      </c>
      <c r="N389" s="303">
        <v>3.1</v>
      </c>
      <c r="O389" s="303">
        <v>3.1</v>
      </c>
      <c r="P389" s="303">
        <v>3.1</v>
      </c>
      <c r="Q389" s="303">
        <v>3.1</v>
      </c>
      <c r="R389" s="401">
        <v>3.6</v>
      </c>
      <c r="S389" s="401">
        <v>3.6</v>
      </c>
      <c r="T389" s="401">
        <v>3.6</v>
      </c>
      <c r="U389" s="401">
        <v>3.6</v>
      </c>
      <c r="V389" s="401">
        <v>3.6</v>
      </c>
      <c r="W389" s="401">
        <v>3.6</v>
      </c>
      <c r="X389" s="401">
        <v>3.6</v>
      </c>
      <c r="Y389" s="401">
        <v>3.6</v>
      </c>
      <c r="Z389" s="304">
        <v>0.25</v>
      </c>
      <c r="AA389" s="304">
        <v>0.25</v>
      </c>
      <c r="AB389" s="304">
        <v>0.25</v>
      </c>
      <c r="AC389" s="304">
        <v>0</v>
      </c>
      <c r="AD389" s="403">
        <v>0.15</v>
      </c>
      <c r="AE389" s="403">
        <v>0.15</v>
      </c>
      <c r="AF389" s="403">
        <v>0.15</v>
      </c>
      <c r="AG389" s="403">
        <v>0.15</v>
      </c>
      <c r="AH389" s="403">
        <v>0.15</v>
      </c>
      <c r="AI389" s="403">
        <v>0.15</v>
      </c>
      <c r="AJ389" s="403">
        <v>0.15</v>
      </c>
      <c r="AK389" s="403">
        <v>0.15</v>
      </c>
      <c r="AL389" s="260">
        <v>800</v>
      </c>
      <c r="AM389" s="254">
        <f t="shared" si="48"/>
        <v>200</v>
      </c>
      <c r="AN389" s="260">
        <v>1840</v>
      </c>
      <c r="AO389" s="254">
        <f t="shared" si="49"/>
        <v>460</v>
      </c>
      <c r="AP389" s="260"/>
      <c r="AQ389" s="254">
        <f t="shared" si="50"/>
        <v>0</v>
      </c>
      <c r="AR389" s="260"/>
      <c r="AS389" s="257">
        <f t="shared" si="51"/>
        <v>0</v>
      </c>
      <c r="AT389" s="383"/>
      <c r="AU389" s="257">
        <f t="shared" si="52"/>
        <v>0</v>
      </c>
      <c r="AV389" s="392"/>
      <c r="AW389" s="257">
        <f t="shared" si="53"/>
        <v>0</v>
      </c>
      <c r="AX389" s="260"/>
      <c r="AY389" s="257">
        <f t="shared" si="54"/>
        <v>0</v>
      </c>
      <c r="AZ389" s="260"/>
      <c r="BA389" s="257">
        <f t="shared" si="55"/>
        <v>0</v>
      </c>
      <c r="BB389" s="268"/>
      <c r="BC389" s="257">
        <f t="shared" si="56"/>
        <v>0</v>
      </c>
      <c r="BD389" s="256"/>
      <c r="BE389" s="257">
        <f t="shared" si="57"/>
        <v>0</v>
      </c>
      <c r="BF389" s="256"/>
      <c r="BG389" s="257">
        <f t="shared" si="58"/>
        <v>0</v>
      </c>
      <c r="BH389" s="256"/>
      <c r="BI389" s="257">
        <f t="shared" si="59"/>
        <v>0</v>
      </c>
      <c r="BJ389" s="1" t="s">
        <v>840</v>
      </c>
      <c r="BL389" s="1" t="s">
        <v>457</v>
      </c>
      <c r="BM389" s="1" t="s">
        <v>841</v>
      </c>
    </row>
    <row r="390" spans="1:65" ht="15.6">
      <c r="A390" s="250" t="s">
        <v>951</v>
      </c>
      <c r="B390" s="59" t="s">
        <v>221</v>
      </c>
      <c r="C390" s="354" t="s">
        <v>172</v>
      </c>
      <c r="D390" s="419"/>
      <c r="E390" s="281" t="s">
        <v>332</v>
      </c>
      <c r="F390" s="422"/>
      <c r="G390" s="351" t="s">
        <v>239</v>
      </c>
      <c r="H390" s="323" t="s">
        <v>240</v>
      </c>
      <c r="I390" s="330" t="s">
        <v>190</v>
      </c>
      <c r="J390" s="325" t="s">
        <v>241</v>
      </c>
      <c r="K390" s="323" t="s">
        <v>243</v>
      </c>
      <c r="L390" s="323" t="s">
        <v>177</v>
      </c>
      <c r="M390" s="303" t="s">
        <v>474</v>
      </c>
      <c r="N390" s="303">
        <v>3.1</v>
      </c>
      <c r="O390" s="303">
        <v>3.1</v>
      </c>
      <c r="P390" s="303">
        <v>3.1</v>
      </c>
      <c r="Q390" s="303">
        <v>3.1</v>
      </c>
      <c r="R390" s="401">
        <v>3.6</v>
      </c>
      <c r="S390" s="401">
        <v>3.6</v>
      </c>
      <c r="T390" s="401">
        <v>3.6</v>
      </c>
      <c r="U390" s="401">
        <v>3.6</v>
      </c>
      <c r="V390" s="401">
        <v>3.6</v>
      </c>
      <c r="W390" s="401">
        <v>3.6</v>
      </c>
      <c r="X390" s="401">
        <v>3.6</v>
      </c>
      <c r="Y390" s="401">
        <v>3.6</v>
      </c>
      <c r="Z390" s="304">
        <v>0.25</v>
      </c>
      <c r="AA390" s="304">
        <v>0.25</v>
      </c>
      <c r="AB390" s="304">
        <v>0.25</v>
      </c>
      <c r="AC390" s="304">
        <v>0</v>
      </c>
      <c r="AD390" s="403">
        <v>0.15</v>
      </c>
      <c r="AE390" s="403">
        <v>0.15</v>
      </c>
      <c r="AF390" s="403">
        <v>0.15</v>
      </c>
      <c r="AG390" s="403">
        <v>0.15</v>
      </c>
      <c r="AH390" s="403">
        <v>0.15</v>
      </c>
      <c r="AI390" s="403">
        <v>0.15</v>
      </c>
      <c r="AJ390" s="403">
        <v>0.15</v>
      </c>
      <c r="AK390" s="403">
        <v>0.15</v>
      </c>
      <c r="AL390" s="260">
        <v>19159</v>
      </c>
      <c r="AM390" s="254">
        <f t="shared" si="48"/>
        <v>4789.75</v>
      </c>
      <c r="AN390" s="260">
        <v>7120</v>
      </c>
      <c r="AO390" s="254">
        <f t="shared" si="49"/>
        <v>1780</v>
      </c>
      <c r="AP390" s="260">
        <v>200</v>
      </c>
      <c r="AQ390" s="254">
        <f t="shared" si="50"/>
        <v>50</v>
      </c>
      <c r="AR390" s="260">
        <v>440</v>
      </c>
      <c r="AS390" s="257">
        <f t="shared" si="51"/>
        <v>0</v>
      </c>
      <c r="AT390" s="383">
        <v>360</v>
      </c>
      <c r="AU390" s="257">
        <f t="shared" si="52"/>
        <v>54</v>
      </c>
      <c r="AV390" s="260">
        <v>10000</v>
      </c>
      <c r="AW390" s="257">
        <f t="shared" si="53"/>
        <v>1500</v>
      </c>
      <c r="AX390" s="260">
        <v>10000</v>
      </c>
      <c r="AY390" s="257">
        <f t="shared" si="54"/>
        <v>1500</v>
      </c>
      <c r="AZ390" s="260">
        <v>12000</v>
      </c>
      <c r="BA390" s="257">
        <f t="shared" si="55"/>
        <v>1800</v>
      </c>
      <c r="BB390" s="268">
        <v>10000</v>
      </c>
      <c r="BC390" s="257">
        <f t="shared" si="56"/>
        <v>1500</v>
      </c>
      <c r="BD390" s="268">
        <v>10000</v>
      </c>
      <c r="BE390" s="257">
        <f t="shared" si="57"/>
        <v>1500</v>
      </c>
      <c r="BF390" s="256">
        <v>16000</v>
      </c>
      <c r="BG390" s="257">
        <f t="shared" si="58"/>
        <v>2400</v>
      </c>
      <c r="BH390" s="256">
        <v>10000</v>
      </c>
      <c r="BI390" s="257">
        <f t="shared" si="59"/>
        <v>1500</v>
      </c>
      <c r="BJ390" s="1" t="s">
        <v>842</v>
      </c>
      <c r="BK390" s="1" t="s">
        <v>532</v>
      </c>
      <c r="BL390" s="1" t="s">
        <v>457</v>
      </c>
      <c r="BM390" s="1" t="s">
        <v>843</v>
      </c>
    </row>
    <row r="391" spans="1:65" ht="15.6">
      <c r="A391" s="250" t="s">
        <v>951</v>
      </c>
      <c r="B391" s="59" t="s">
        <v>221</v>
      </c>
      <c r="C391" s="354" t="s">
        <v>172</v>
      </c>
      <c r="D391" s="419"/>
      <c r="E391" s="281" t="s">
        <v>332</v>
      </c>
      <c r="F391" s="422"/>
      <c r="G391" s="317" t="s">
        <v>239</v>
      </c>
      <c r="H391" s="323" t="s">
        <v>240</v>
      </c>
      <c r="I391" s="332" t="s">
        <v>249</v>
      </c>
      <c r="J391" s="331" t="s">
        <v>241</v>
      </c>
      <c r="K391" s="323" t="s">
        <v>844</v>
      </c>
      <c r="L391" s="323" t="s">
        <v>344</v>
      </c>
      <c r="M391" s="303" t="s">
        <v>474</v>
      </c>
      <c r="N391" s="303">
        <v>9.5</v>
      </c>
      <c r="O391" s="303">
        <v>9.5</v>
      </c>
      <c r="P391" s="303">
        <v>9.5</v>
      </c>
      <c r="Q391" s="303">
        <v>9.5</v>
      </c>
      <c r="R391" s="303">
        <v>9.5</v>
      </c>
      <c r="S391" s="303">
        <v>9.5</v>
      </c>
      <c r="T391" s="303">
        <v>9.5</v>
      </c>
      <c r="U391" s="303">
        <v>9.5</v>
      </c>
      <c r="V391" s="303">
        <v>9.5</v>
      </c>
      <c r="W391" s="303">
        <v>9.5</v>
      </c>
      <c r="X391" s="303">
        <v>9.5</v>
      </c>
      <c r="Y391" s="303">
        <v>9.5</v>
      </c>
      <c r="Z391" s="304">
        <v>1.05</v>
      </c>
      <c r="AA391" s="304">
        <v>1.05</v>
      </c>
      <c r="AB391" s="304">
        <v>1.05</v>
      </c>
      <c r="AC391" s="304">
        <v>0</v>
      </c>
      <c r="AD391" s="304">
        <v>1.05</v>
      </c>
      <c r="AE391" s="304">
        <v>1.05</v>
      </c>
      <c r="AF391" s="304">
        <v>1.05</v>
      </c>
      <c r="AG391" s="304">
        <v>1.05</v>
      </c>
      <c r="AH391" s="304">
        <v>1.05</v>
      </c>
      <c r="AI391" s="304">
        <v>1.05</v>
      </c>
      <c r="AJ391" s="304">
        <v>1.05</v>
      </c>
      <c r="AK391" s="304">
        <v>1.05</v>
      </c>
      <c r="AL391" s="260"/>
      <c r="AM391" s="254">
        <f t="shared" si="48"/>
        <v>0</v>
      </c>
      <c r="AN391" s="260"/>
      <c r="AO391" s="254">
        <f t="shared" si="49"/>
        <v>0</v>
      </c>
      <c r="AP391" s="274"/>
      <c r="AQ391" s="254">
        <f t="shared" si="50"/>
        <v>0</v>
      </c>
      <c r="AR391" s="256"/>
      <c r="AS391" s="257">
        <f t="shared" si="51"/>
        <v>0</v>
      </c>
      <c r="AT391" s="382"/>
      <c r="AU391" s="257">
        <f t="shared" si="52"/>
        <v>0</v>
      </c>
      <c r="AV391" s="268"/>
      <c r="AW391" s="257">
        <f t="shared" si="53"/>
        <v>0</v>
      </c>
      <c r="AX391" s="268"/>
      <c r="AY391" s="257">
        <f t="shared" si="54"/>
        <v>0</v>
      </c>
      <c r="AZ391" s="268"/>
      <c r="BA391" s="257">
        <f t="shared" si="55"/>
        <v>0</v>
      </c>
      <c r="BB391" s="268"/>
      <c r="BC391" s="257">
        <f t="shared" si="56"/>
        <v>0</v>
      </c>
      <c r="BD391" s="59"/>
      <c r="BE391" s="257">
        <f t="shared" si="57"/>
        <v>0</v>
      </c>
      <c r="BF391" s="59"/>
      <c r="BG391" s="257">
        <f t="shared" si="58"/>
        <v>0</v>
      </c>
      <c r="BH391" s="59"/>
      <c r="BI391" s="257">
        <f t="shared" si="59"/>
        <v>0</v>
      </c>
      <c r="BJ391" s="1" t="s">
        <v>845</v>
      </c>
      <c r="BL391" s="1" t="s">
        <v>457</v>
      </c>
      <c r="BM391" s="1" t="s">
        <v>846</v>
      </c>
    </row>
    <row r="392" spans="1:65" ht="15.6">
      <c r="A392" s="250" t="s">
        <v>951</v>
      </c>
      <c r="B392" s="59" t="s">
        <v>221</v>
      </c>
      <c r="C392" s="354" t="s">
        <v>172</v>
      </c>
      <c r="D392" s="419"/>
      <c r="E392" s="281" t="s">
        <v>332</v>
      </c>
      <c r="F392" s="422"/>
      <c r="G392" s="317" t="s">
        <v>239</v>
      </c>
      <c r="H392" s="323" t="s">
        <v>240</v>
      </c>
      <c r="I392" s="327" t="s">
        <v>249</v>
      </c>
      <c r="J392" s="331" t="s">
        <v>241</v>
      </c>
      <c r="K392" s="323" t="s">
        <v>847</v>
      </c>
      <c r="L392" s="323" t="s">
        <v>344</v>
      </c>
      <c r="M392" s="303" t="s">
        <v>474</v>
      </c>
      <c r="N392" s="303">
        <v>9.5</v>
      </c>
      <c r="O392" s="303">
        <v>9.5</v>
      </c>
      <c r="P392" s="303">
        <v>9.5</v>
      </c>
      <c r="Q392" s="303">
        <v>9.5</v>
      </c>
      <c r="R392" s="303">
        <v>9.5</v>
      </c>
      <c r="S392" s="303">
        <v>9.5</v>
      </c>
      <c r="T392" s="303">
        <v>9.5</v>
      </c>
      <c r="U392" s="303">
        <v>9.5</v>
      </c>
      <c r="V392" s="303">
        <v>9.5</v>
      </c>
      <c r="W392" s="303">
        <v>9.5</v>
      </c>
      <c r="X392" s="303">
        <v>9.5</v>
      </c>
      <c r="Y392" s="303">
        <v>9.5</v>
      </c>
      <c r="Z392" s="304">
        <v>1.05</v>
      </c>
      <c r="AA392" s="304">
        <v>1.05</v>
      </c>
      <c r="AB392" s="304">
        <v>1.05</v>
      </c>
      <c r="AC392" s="304">
        <v>0</v>
      </c>
      <c r="AD392" s="304">
        <v>1.05</v>
      </c>
      <c r="AE392" s="304">
        <v>1.05</v>
      </c>
      <c r="AF392" s="304">
        <v>1.05</v>
      </c>
      <c r="AG392" s="304">
        <v>1.05</v>
      </c>
      <c r="AH392" s="304">
        <v>1.05</v>
      </c>
      <c r="AI392" s="304">
        <v>1.05</v>
      </c>
      <c r="AJ392" s="304">
        <v>1.05</v>
      </c>
      <c r="AK392" s="304">
        <v>1.05</v>
      </c>
      <c r="AL392" s="260"/>
      <c r="AM392" s="254">
        <f t="shared" si="48"/>
        <v>0</v>
      </c>
      <c r="AN392" s="260"/>
      <c r="AO392" s="254">
        <f t="shared" si="49"/>
        <v>0</v>
      </c>
      <c r="AP392" s="274"/>
      <c r="AQ392" s="254">
        <f t="shared" si="50"/>
        <v>0</v>
      </c>
      <c r="AR392" s="256"/>
      <c r="AS392" s="257">
        <f t="shared" si="51"/>
        <v>0</v>
      </c>
      <c r="AT392" s="382"/>
      <c r="AU392" s="257">
        <f t="shared" si="52"/>
        <v>0</v>
      </c>
      <c r="AV392" s="268"/>
      <c r="AW392" s="257">
        <f t="shared" si="53"/>
        <v>0</v>
      </c>
      <c r="AX392" s="268"/>
      <c r="AY392" s="257">
        <f t="shared" si="54"/>
        <v>0</v>
      </c>
      <c r="AZ392" s="268"/>
      <c r="BA392" s="257">
        <f t="shared" si="55"/>
        <v>0</v>
      </c>
      <c r="BB392" s="268"/>
      <c r="BC392" s="257">
        <f t="shared" si="56"/>
        <v>0</v>
      </c>
      <c r="BD392" s="59"/>
      <c r="BE392" s="257">
        <f t="shared" si="57"/>
        <v>0</v>
      </c>
      <c r="BF392" s="59"/>
      <c r="BG392" s="257">
        <f t="shared" si="58"/>
        <v>0</v>
      </c>
      <c r="BH392" s="59"/>
      <c r="BI392" s="257">
        <f t="shared" si="59"/>
        <v>0</v>
      </c>
      <c r="BJ392" s="1" t="s">
        <v>848</v>
      </c>
      <c r="BL392" s="1" t="s">
        <v>457</v>
      </c>
      <c r="BM392" s="1" t="s">
        <v>849</v>
      </c>
    </row>
    <row r="393" spans="1:65" ht="15.6">
      <c r="A393" s="250" t="s">
        <v>951</v>
      </c>
      <c r="B393" s="59" t="s">
        <v>221</v>
      </c>
      <c r="C393" s="354" t="s">
        <v>172</v>
      </c>
      <c r="D393" s="419"/>
      <c r="E393" s="281" t="s">
        <v>332</v>
      </c>
      <c r="F393" s="422"/>
      <c r="G393" s="317" t="s">
        <v>239</v>
      </c>
      <c r="H393" s="323" t="s">
        <v>240</v>
      </c>
      <c r="I393" s="332" t="s">
        <v>249</v>
      </c>
      <c r="J393" s="331" t="s">
        <v>241</v>
      </c>
      <c r="K393" s="323" t="s">
        <v>422</v>
      </c>
      <c r="L393" s="323" t="s">
        <v>344</v>
      </c>
      <c r="M393" s="303" t="s">
        <v>474</v>
      </c>
      <c r="N393" s="303">
        <v>10.5</v>
      </c>
      <c r="O393" s="303">
        <v>10.5</v>
      </c>
      <c r="P393" s="303">
        <v>10.5</v>
      </c>
      <c r="Q393" s="303">
        <v>10.5</v>
      </c>
      <c r="R393" s="303">
        <v>10.5</v>
      </c>
      <c r="S393" s="303">
        <v>10.5</v>
      </c>
      <c r="T393" s="303">
        <v>10.5</v>
      </c>
      <c r="U393" s="303">
        <v>10.5</v>
      </c>
      <c r="V393" s="303">
        <v>10.5</v>
      </c>
      <c r="W393" s="303">
        <v>10.5</v>
      </c>
      <c r="X393" s="303">
        <v>10.5</v>
      </c>
      <c r="Y393" s="303">
        <v>10.5</v>
      </c>
      <c r="Z393" s="304">
        <v>0</v>
      </c>
      <c r="AA393" s="304">
        <v>0</v>
      </c>
      <c r="AB393" s="304">
        <v>0</v>
      </c>
      <c r="AC393" s="304">
        <v>0</v>
      </c>
      <c r="AD393" s="304">
        <v>0</v>
      </c>
      <c r="AE393" s="304">
        <v>0</v>
      </c>
      <c r="AF393" s="304">
        <v>0</v>
      </c>
      <c r="AG393" s="304">
        <v>0</v>
      </c>
      <c r="AH393" s="304">
        <v>0</v>
      </c>
      <c r="AI393" s="304">
        <v>0</v>
      </c>
      <c r="AJ393" s="304">
        <v>0</v>
      </c>
      <c r="AK393" s="304">
        <v>0</v>
      </c>
      <c r="AL393" s="260"/>
      <c r="AM393" s="254">
        <f t="shared" si="48"/>
        <v>0</v>
      </c>
      <c r="AN393" s="260"/>
      <c r="AO393" s="254">
        <f t="shared" si="49"/>
        <v>0</v>
      </c>
      <c r="AP393" s="274"/>
      <c r="AQ393" s="254">
        <f t="shared" si="50"/>
        <v>0</v>
      </c>
      <c r="AR393" s="256"/>
      <c r="AS393" s="257">
        <f t="shared" si="51"/>
        <v>0</v>
      </c>
      <c r="AT393" s="382"/>
      <c r="AU393" s="257">
        <f t="shared" si="52"/>
        <v>0</v>
      </c>
      <c r="AV393" s="268"/>
      <c r="AW393" s="257">
        <f t="shared" si="53"/>
        <v>0</v>
      </c>
      <c r="AX393" s="268"/>
      <c r="AY393" s="257">
        <f t="shared" si="54"/>
        <v>0</v>
      </c>
      <c r="AZ393" s="268"/>
      <c r="BA393" s="257">
        <f t="shared" si="55"/>
        <v>0</v>
      </c>
      <c r="BB393" s="268"/>
      <c r="BC393" s="257">
        <f t="shared" si="56"/>
        <v>0</v>
      </c>
      <c r="BD393" s="59"/>
      <c r="BE393" s="257">
        <f t="shared" si="57"/>
        <v>0</v>
      </c>
      <c r="BF393" s="59"/>
      <c r="BG393" s="257">
        <f t="shared" si="58"/>
        <v>0</v>
      </c>
      <c r="BH393" s="59"/>
      <c r="BI393" s="257">
        <f t="shared" si="59"/>
        <v>0</v>
      </c>
      <c r="BJ393" s="1" t="s">
        <v>850</v>
      </c>
      <c r="BL393" s="1" t="s">
        <v>457</v>
      </c>
      <c r="BM393" s="1" t="s">
        <v>851</v>
      </c>
    </row>
    <row r="394" spans="1:65" ht="15.6">
      <c r="A394" s="250" t="s">
        <v>951</v>
      </c>
      <c r="B394" s="59" t="s">
        <v>221</v>
      </c>
      <c r="C394" s="354" t="s">
        <v>172</v>
      </c>
      <c r="D394" s="419"/>
      <c r="E394" s="281" t="s">
        <v>332</v>
      </c>
      <c r="F394" s="422"/>
      <c r="G394" s="317" t="s">
        <v>239</v>
      </c>
      <c r="H394" s="323" t="s">
        <v>240</v>
      </c>
      <c r="I394" s="327" t="s">
        <v>249</v>
      </c>
      <c r="J394" s="331" t="s">
        <v>241</v>
      </c>
      <c r="K394" s="323" t="s">
        <v>423</v>
      </c>
      <c r="L394" s="323" t="s">
        <v>344</v>
      </c>
      <c r="M394" s="303" t="s">
        <v>474</v>
      </c>
      <c r="N394" s="303">
        <v>10.5</v>
      </c>
      <c r="O394" s="303">
        <v>10.5</v>
      </c>
      <c r="P394" s="303">
        <v>10.5</v>
      </c>
      <c r="Q394" s="303">
        <v>10.5</v>
      </c>
      <c r="R394" s="303">
        <v>10.5</v>
      </c>
      <c r="S394" s="303">
        <v>10.5</v>
      </c>
      <c r="T394" s="303">
        <v>10.5</v>
      </c>
      <c r="U394" s="303">
        <v>10.5</v>
      </c>
      <c r="V394" s="303">
        <v>10.5</v>
      </c>
      <c r="W394" s="303">
        <v>10.5</v>
      </c>
      <c r="X394" s="303">
        <v>10.5</v>
      </c>
      <c r="Y394" s="303">
        <v>10.5</v>
      </c>
      <c r="Z394" s="304">
        <v>0</v>
      </c>
      <c r="AA394" s="304">
        <v>0</v>
      </c>
      <c r="AB394" s="304">
        <v>0</v>
      </c>
      <c r="AC394" s="304">
        <v>0</v>
      </c>
      <c r="AD394" s="304">
        <v>0</v>
      </c>
      <c r="AE394" s="304">
        <v>0</v>
      </c>
      <c r="AF394" s="304">
        <v>0</v>
      </c>
      <c r="AG394" s="304">
        <v>0</v>
      </c>
      <c r="AH394" s="304">
        <v>0</v>
      </c>
      <c r="AI394" s="304">
        <v>0</v>
      </c>
      <c r="AJ394" s="304">
        <v>0</v>
      </c>
      <c r="AK394" s="304">
        <v>0</v>
      </c>
      <c r="AL394" s="260"/>
      <c r="AM394" s="254">
        <f t="shared" si="48"/>
        <v>0</v>
      </c>
      <c r="AN394" s="260"/>
      <c r="AO394" s="254">
        <f t="shared" si="49"/>
        <v>0</v>
      </c>
      <c r="AP394" s="274"/>
      <c r="AQ394" s="254">
        <f t="shared" si="50"/>
        <v>0</v>
      </c>
      <c r="AR394" s="256"/>
      <c r="AS394" s="257">
        <f t="shared" si="51"/>
        <v>0</v>
      </c>
      <c r="AT394" s="382"/>
      <c r="AU394" s="257">
        <f t="shared" si="52"/>
        <v>0</v>
      </c>
      <c r="AV394" s="268"/>
      <c r="AW394" s="257">
        <f t="shared" si="53"/>
        <v>0</v>
      </c>
      <c r="AX394" s="268"/>
      <c r="AY394" s="257">
        <f t="shared" si="54"/>
        <v>0</v>
      </c>
      <c r="AZ394" s="268"/>
      <c r="BA394" s="257">
        <f t="shared" si="55"/>
        <v>0</v>
      </c>
      <c r="BB394" s="268"/>
      <c r="BC394" s="257">
        <f t="shared" si="56"/>
        <v>0</v>
      </c>
      <c r="BD394" s="59"/>
      <c r="BE394" s="257">
        <f t="shared" si="57"/>
        <v>0</v>
      </c>
      <c r="BF394" s="59"/>
      <c r="BG394" s="257">
        <f t="shared" si="58"/>
        <v>0</v>
      </c>
      <c r="BH394" s="59"/>
      <c r="BI394" s="257">
        <f t="shared" si="59"/>
        <v>0</v>
      </c>
      <c r="BJ394" s="1" t="s">
        <v>852</v>
      </c>
      <c r="BL394" s="1" t="s">
        <v>457</v>
      </c>
      <c r="BM394" s="1" t="s">
        <v>853</v>
      </c>
    </row>
    <row r="395" spans="1:65" ht="15.6">
      <c r="A395" s="250" t="s">
        <v>951</v>
      </c>
      <c r="B395" s="59" t="s">
        <v>221</v>
      </c>
      <c r="C395" s="354" t="s">
        <v>172</v>
      </c>
      <c r="D395" s="419"/>
      <c r="E395" s="281" t="s">
        <v>332</v>
      </c>
      <c r="F395" s="422"/>
      <c r="G395" s="351" t="s">
        <v>239</v>
      </c>
      <c r="H395" s="323" t="s">
        <v>240</v>
      </c>
      <c r="I395" s="324" t="s">
        <v>183</v>
      </c>
      <c r="J395" s="325" t="s">
        <v>241</v>
      </c>
      <c r="K395" s="323" t="s">
        <v>243</v>
      </c>
      <c r="L395" s="323" t="s">
        <v>464</v>
      </c>
      <c r="M395" s="303" t="s">
        <v>513</v>
      </c>
      <c r="N395" s="303">
        <v>8</v>
      </c>
      <c r="O395" s="303">
        <v>8</v>
      </c>
      <c r="P395" s="303">
        <v>8</v>
      </c>
      <c r="Q395" s="303">
        <v>8</v>
      </c>
      <c r="R395" s="303">
        <v>8</v>
      </c>
      <c r="S395" s="303">
        <v>8</v>
      </c>
      <c r="T395" s="303">
        <v>8</v>
      </c>
      <c r="U395" s="303">
        <v>8</v>
      </c>
      <c r="V395" s="303">
        <v>8</v>
      </c>
      <c r="W395" s="303">
        <v>8</v>
      </c>
      <c r="X395" s="303">
        <v>8</v>
      </c>
      <c r="Y395" s="303">
        <v>8</v>
      </c>
      <c r="Z395" s="304">
        <v>0.8</v>
      </c>
      <c r="AA395" s="304">
        <v>0.8</v>
      </c>
      <c r="AB395" s="304">
        <v>0.8</v>
      </c>
      <c r="AC395" s="304">
        <v>0</v>
      </c>
      <c r="AD395" s="304">
        <v>0.8</v>
      </c>
      <c r="AE395" s="304">
        <v>0.8</v>
      </c>
      <c r="AF395" s="304">
        <v>0.8</v>
      </c>
      <c r="AG395" s="304">
        <v>0.8</v>
      </c>
      <c r="AH395" s="304">
        <v>0.8</v>
      </c>
      <c r="AI395" s="304">
        <v>0.8</v>
      </c>
      <c r="AJ395" s="304">
        <v>0.8</v>
      </c>
      <c r="AK395" s="304">
        <v>0.8</v>
      </c>
      <c r="AL395" s="260">
        <v>40</v>
      </c>
      <c r="AM395" s="254">
        <f t="shared" si="48"/>
        <v>32</v>
      </c>
      <c r="AN395" s="260"/>
      <c r="AO395" s="254">
        <f t="shared" si="49"/>
        <v>0</v>
      </c>
      <c r="AP395" s="260"/>
      <c r="AQ395" s="254">
        <f t="shared" si="50"/>
        <v>0</v>
      </c>
      <c r="AR395" s="260"/>
      <c r="AS395" s="257">
        <f t="shared" si="51"/>
        <v>0</v>
      </c>
      <c r="AT395" s="383"/>
      <c r="AU395" s="257">
        <f t="shared" si="52"/>
        <v>0</v>
      </c>
      <c r="AV395" s="392"/>
      <c r="AW395" s="257">
        <f t="shared" si="53"/>
        <v>0</v>
      </c>
      <c r="AX395" s="260"/>
      <c r="AY395" s="257">
        <f t="shared" si="54"/>
        <v>0</v>
      </c>
      <c r="AZ395" s="260"/>
      <c r="BA395" s="257">
        <f t="shared" si="55"/>
        <v>0</v>
      </c>
      <c r="BB395" s="268"/>
      <c r="BC395" s="257">
        <f t="shared" si="56"/>
        <v>0</v>
      </c>
      <c r="BD395" s="256"/>
      <c r="BE395" s="257">
        <f t="shared" si="57"/>
        <v>0</v>
      </c>
      <c r="BF395" s="256"/>
      <c r="BG395" s="257">
        <f t="shared" si="58"/>
        <v>0</v>
      </c>
      <c r="BH395" s="256"/>
      <c r="BI395" s="257">
        <f t="shared" si="59"/>
        <v>0</v>
      </c>
      <c r="BJ395" s="1" t="s">
        <v>836</v>
      </c>
      <c r="BL395" s="1" t="s">
        <v>457</v>
      </c>
      <c r="BM395" s="1" t="s">
        <v>837</v>
      </c>
    </row>
    <row r="396" spans="1:65" ht="15.6">
      <c r="A396" s="250" t="s">
        <v>951</v>
      </c>
      <c r="B396" s="59" t="s">
        <v>221</v>
      </c>
      <c r="C396" s="354" t="s">
        <v>172</v>
      </c>
      <c r="D396" s="419"/>
      <c r="E396" s="281" t="s">
        <v>332</v>
      </c>
      <c r="F396" s="422"/>
      <c r="G396" s="351" t="s">
        <v>239</v>
      </c>
      <c r="H396" s="323" t="s">
        <v>240</v>
      </c>
      <c r="I396" s="324" t="s">
        <v>183</v>
      </c>
      <c r="J396" s="325" t="s">
        <v>241</v>
      </c>
      <c r="K396" s="323" t="s">
        <v>243</v>
      </c>
      <c r="L396" s="323" t="s">
        <v>464</v>
      </c>
      <c r="M396" s="303" t="s">
        <v>513</v>
      </c>
      <c r="N396" s="303">
        <v>8</v>
      </c>
      <c r="O396" s="303">
        <v>8</v>
      </c>
      <c r="P396" s="303">
        <v>8</v>
      </c>
      <c r="Q396" s="303">
        <v>8</v>
      </c>
      <c r="R396" s="303">
        <v>8</v>
      </c>
      <c r="S396" s="303">
        <v>8</v>
      </c>
      <c r="T396" s="303">
        <v>8</v>
      </c>
      <c r="U396" s="303">
        <v>8</v>
      </c>
      <c r="V396" s="303">
        <v>8</v>
      </c>
      <c r="W396" s="303">
        <v>8</v>
      </c>
      <c r="X396" s="303">
        <v>8</v>
      </c>
      <c r="Y396" s="303">
        <v>8</v>
      </c>
      <c r="Z396" s="304">
        <v>0.8</v>
      </c>
      <c r="AA396" s="304">
        <v>0.8</v>
      </c>
      <c r="AB396" s="304">
        <v>0.8</v>
      </c>
      <c r="AC396" s="304">
        <v>0</v>
      </c>
      <c r="AD396" s="304">
        <v>0.8</v>
      </c>
      <c r="AE396" s="304">
        <v>0.8</v>
      </c>
      <c r="AF396" s="304">
        <v>0.8</v>
      </c>
      <c r="AG396" s="304">
        <v>0.8</v>
      </c>
      <c r="AH396" s="304">
        <v>0.8</v>
      </c>
      <c r="AI396" s="304">
        <v>0.8</v>
      </c>
      <c r="AJ396" s="304">
        <v>0.8</v>
      </c>
      <c r="AK396" s="304">
        <v>0.8</v>
      </c>
      <c r="AL396" s="260">
        <v>16880</v>
      </c>
      <c r="AM396" s="254">
        <f t="shared" si="48"/>
        <v>13504</v>
      </c>
      <c r="AN396" s="260">
        <v>4440</v>
      </c>
      <c r="AO396" s="254">
        <f t="shared" si="49"/>
        <v>3552</v>
      </c>
      <c r="AP396" s="260">
        <v>2960</v>
      </c>
      <c r="AQ396" s="254">
        <f t="shared" si="50"/>
        <v>2368</v>
      </c>
      <c r="AR396" s="260">
        <v>2440</v>
      </c>
      <c r="AS396" s="257">
        <f t="shared" si="51"/>
        <v>0</v>
      </c>
      <c r="AT396" s="260">
        <v>1120</v>
      </c>
      <c r="AU396" s="257">
        <f t="shared" si="52"/>
        <v>896</v>
      </c>
      <c r="AV396" s="260">
        <v>5000</v>
      </c>
      <c r="AW396" s="257">
        <f t="shared" si="53"/>
        <v>4000</v>
      </c>
      <c r="AX396" s="260">
        <v>5000</v>
      </c>
      <c r="AY396" s="257">
        <f t="shared" si="54"/>
        <v>4000</v>
      </c>
      <c r="AZ396" s="260">
        <v>5000</v>
      </c>
      <c r="BA396" s="257">
        <f t="shared" si="55"/>
        <v>4000</v>
      </c>
      <c r="BB396" s="260">
        <v>5000</v>
      </c>
      <c r="BC396" s="257">
        <f t="shared" si="56"/>
        <v>4000</v>
      </c>
      <c r="BD396" s="260">
        <v>5000</v>
      </c>
      <c r="BE396" s="257">
        <f t="shared" si="57"/>
        <v>4000</v>
      </c>
      <c r="BF396" s="260">
        <v>5000</v>
      </c>
      <c r="BG396" s="257">
        <f t="shared" si="58"/>
        <v>4000</v>
      </c>
      <c r="BH396" s="256"/>
      <c r="BI396" s="257">
        <f t="shared" si="59"/>
        <v>0</v>
      </c>
      <c r="BJ396" s="1" t="s">
        <v>838</v>
      </c>
      <c r="BK396" s="1" t="s">
        <v>532</v>
      </c>
      <c r="BL396" s="1" t="s">
        <v>457</v>
      </c>
      <c r="BM396" s="1" t="s">
        <v>839</v>
      </c>
    </row>
    <row r="397" spans="1:65" ht="15.6">
      <c r="A397" s="250" t="s">
        <v>951</v>
      </c>
      <c r="B397" s="59" t="s">
        <v>221</v>
      </c>
      <c r="C397" s="354" t="s">
        <v>172</v>
      </c>
      <c r="D397" s="419"/>
      <c r="E397" s="281" t="s">
        <v>332</v>
      </c>
      <c r="F397" s="422"/>
      <c r="G397" s="351" t="s">
        <v>239</v>
      </c>
      <c r="H397" s="323" t="s">
        <v>240</v>
      </c>
      <c r="I397" s="330" t="s">
        <v>190</v>
      </c>
      <c r="J397" s="325" t="s">
        <v>241</v>
      </c>
      <c r="K397" s="323" t="s">
        <v>243</v>
      </c>
      <c r="L397" s="323" t="s">
        <v>464</v>
      </c>
      <c r="M397" s="303" t="s">
        <v>513</v>
      </c>
      <c r="N397" s="303">
        <v>3.1</v>
      </c>
      <c r="O397" s="303">
        <v>3.1</v>
      </c>
      <c r="P397" s="303">
        <v>3.1</v>
      </c>
      <c r="Q397" s="303">
        <v>3.1</v>
      </c>
      <c r="R397" s="401">
        <v>3.6</v>
      </c>
      <c r="S397" s="401">
        <v>3.6</v>
      </c>
      <c r="T397" s="401">
        <v>3.6</v>
      </c>
      <c r="U397" s="401">
        <v>3.6</v>
      </c>
      <c r="V397" s="401">
        <v>3.6</v>
      </c>
      <c r="W397" s="401">
        <v>3.6</v>
      </c>
      <c r="X397" s="401">
        <v>3.6</v>
      </c>
      <c r="Y397" s="401">
        <v>3.6</v>
      </c>
      <c r="Z397" s="304">
        <v>0.25</v>
      </c>
      <c r="AA397" s="304">
        <v>0.25</v>
      </c>
      <c r="AB397" s="304">
        <v>0.25</v>
      </c>
      <c r="AC397" s="304">
        <v>0</v>
      </c>
      <c r="AD397" s="403">
        <v>0.15</v>
      </c>
      <c r="AE397" s="403">
        <v>0.15</v>
      </c>
      <c r="AF397" s="403">
        <v>0.15</v>
      </c>
      <c r="AG397" s="403">
        <v>0.15</v>
      </c>
      <c r="AH397" s="403">
        <v>0.15</v>
      </c>
      <c r="AI397" s="403">
        <v>0.15</v>
      </c>
      <c r="AJ397" s="403">
        <v>0.15</v>
      </c>
      <c r="AK397" s="403">
        <v>0.15</v>
      </c>
      <c r="AL397" s="260">
        <v>200</v>
      </c>
      <c r="AM397" s="254">
        <f t="shared" si="48"/>
        <v>50</v>
      </c>
      <c r="AN397" s="260"/>
      <c r="AO397" s="254">
        <f t="shared" si="49"/>
        <v>0</v>
      </c>
      <c r="AP397" s="260"/>
      <c r="AQ397" s="254">
        <f t="shared" si="50"/>
        <v>0</v>
      </c>
      <c r="AR397" s="260"/>
      <c r="AS397" s="257">
        <f t="shared" si="51"/>
        <v>0</v>
      </c>
      <c r="AT397" s="383"/>
      <c r="AU397" s="257">
        <f t="shared" si="52"/>
        <v>0</v>
      </c>
      <c r="AV397" s="392"/>
      <c r="AW397" s="257">
        <f t="shared" si="53"/>
        <v>0</v>
      </c>
      <c r="AX397" s="260"/>
      <c r="AY397" s="257">
        <f t="shared" si="54"/>
        <v>0</v>
      </c>
      <c r="AZ397" s="260"/>
      <c r="BA397" s="257">
        <f t="shared" si="55"/>
        <v>0</v>
      </c>
      <c r="BB397" s="268"/>
      <c r="BC397" s="257">
        <f t="shared" si="56"/>
        <v>0</v>
      </c>
      <c r="BD397" s="256"/>
      <c r="BE397" s="257">
        <f t="shared" si="57"/>
        <v>0</v>
      </c>
      <c r="BF397" s="256"/>
      <c r="BG397" s="257">
        <f t="shared" si="58"/>
        <v>0</v>
      </c>
      <c r="BH397" s="256"/>
      <c r="BI397" s="257">
        <f t="shared" si="59"/>
        <v>0</v>
      </c>
      <c r="BJ397" s="1" t="s">
        <v>840</v>
      </c>
      <c r="BL397" s="1" t="s">
        <v>457</v>
      </c>
      <c r="BM397" s="1" t="s">
        <v>841</v>
      </c>
    </row>
    <row r="398" spans="1:65" ht="15.6">
      <c r="A398" s="250" t="s">
        <v>951</v>
      </c>
      <c r="B398" s="59" t="s">
        <v>221</v>
      </c>
      <c r="C398" s="354" t="s">
        <v>172</v>
      </c>
      <c r="D398" s="419"/>
      <c r="E398" s="281" t="s">
        <v>332</v>
      </c>
      <c r="F398" s="422"/>
      <c r="G398" s="351" t="s">
        <v>239</v>
      </c>
      <c r="H398" s="323" t="s">
        <v>240</v>
      </c>
      <c r="I398" s="330" t="s">
        <v>190</v>
      </c>
      <c r="J398" s="325" t="s">
        <v>241</v>
      </c>
      <c r="K398" s="323" t="s">
        <v>243</v>
      </c>
      <c r="L398" s="323" t="s">
        <v>464</v>
      </c>
      <c r="M398" s="303" t="s">
        <v>513</v>
      </c>
      <c r="N398" s="303">
        <v>3.1</v>
      </c>
      <c r="O398" s="303">
        <v>3.1</v>
      </c>
      <c r="P398" s="303">
        <v>3.1</v>
      </c>
      <c r="Q398" s="303">
        <v>3.1</v>
      </c>
      <c r="R398" s="401">
        <v>3.6</v>
      </c>
      <c r="S398" s="401">
        <v>3.6</v>
      </c>
      <c r="T398" s="401">
        <v>3.6</v>
      </c>
      <c r="U398" s="401">
        <v>3.6</v>
      </c>
      <c r="V398" s="401">
        <v>3.6</v>
      </c>
      <c r="W398" s="401">
        <v>3.6</v>
      </c>
      <c r="X398" s="401">
        <v>3.6</v>
      </c>
      <c r="Y398" s="401">
        <v>3.6</v>
      </c>
      <c r="Z398" s="304">
        <v>0.25</v>
      </c>
      <c r="AA398" s="304">
        <v>0.25</v>
      </c>
      <c r="AB398" s="304">
        <v>0.25</v>
      </c>
      <c r="AC398" s="304">
        <v>0</v>
      </c>
      <c r="AD398" s="403">
        <v>0.15</v>
      </c>
      <c r="AE398" s="403">
        <v>0.15</v>
      </c>
      <c r="AF398" s="403">
        <v>0.15</v>
      </c>
      <c r="AG398" s="403">
        <v>0.15</v>
      </c>
      <c r="AH398" s="403">
        <v>0.15</v>
      </c>
      <c r="AI398" s="403">
        <v>0.15</v>
      </c>
      <c r="AJ398" s="403">
        <v>0.15</v>
      </c>
      <c r="AK398" s="403">
        <v>0.15</v>
      </c>
      <c r="AL398" s="260">
        <v>10560</v>
      </c>
      <c r="AM398" s="254">
        <f t="shared" si="48"/>
        <v>2640</v>
      </c>
      <c r="AN398" s="260">
        <v>9640</v>
      </c>
      <c r="AO398" s="254">
        <f t="shared" si="49"/>
        <v>2410</v>
      </c>
      <c r="AP398" s="260">
        <v>7600</v>
      </c>
      <c r="AQ398" s="254">
        <f t="shared" si="50"/>
        <v>1900</v>
      </c>
      <c r="AR398" s="260">
        <v>5640</v>
      </c>
      <c r="AS398" s="257">
        <f t="shared" si="51"/>
        <v>0</v>
      </c>
      <c r="AT398" s="260">
        <v>5490</v>
      </c>
      <c r="AU398" s="257">
        <f t="shared" si="52"/>
        <v>823.5</v>
      </c>
      <c r="AV398" s="260">
        <v>5000</v>
      </c>
      <c r="AW398" s="257">
        <f t="shared" si="53"/>
        <v>750</v>
      </c>
      <c r="AX398" s="260">
        <v>5000</v>
      </c>
      <c r="AY398" s="257">
        <f t="shared" si="54"/>
        <v>750</v>
      </c>
      <c r="AZ398" s="260">
        <v>5000</v>
      </c>
      <c r="BA398" s="257">
        <f t="shared" si="55"/>
        <v>750</v>
      </c>
      <c r="BB398" s="260">
        <v>5000</v>
      </c>
      <c r="BC398" s="257">
        <f t="shared" si="56"/>
        <v>750</v>
      </c>
      <c r="BD398" s="260">
        <v>5000</v>
      </c>
      <c r="BE398" s="257">
        <f t="shared" si="57"/>
        <v>750</v>
      </c>
      <c r="BF398" s="260">
        <v>5000</v>
      </c>
      <c r="BG398" s="257">
        <f t="shared" si="58"/>
        <v>750</v>
      </c>
      <c r="BH398" s="260">
        <v>5000</v>
      </c>
      <c r="BI398" s="257">
        <f t="shared" si="59"/>
        <v>750</v>
      </c>
      <c r="BJ398" s="1" t="s">
        <v>842</v>
      </c>
      <c r="BK398" s="1" t="s">
        <v>532</v>
      </c>
      <c r="BL398" s="1" t="s">
        <v>457</v>
      </c>
      <c r="BM398" s="1" t="s">
        <v>843</v>
      </c>
    </row>
    <row r="399" spans="1:65" ht="15.6">
      <c r="A399" s="250" t="s">
        <v>951</v>
      </c>
      <c r="B399" s="59" t="s">
        <v>221</v>
      </c>
      <c r="C399" s="354" t="s">
        <v>172</v>
      </c>
      <c r="D399" s="419"/>
      <c r="E399" s="281" t="s">
        <v>332</v>
      </c>
      <c r="F399" s="422"/>
      <c r="G399" s="317" t="s">
        <v>239</v>
      </c>
      <c r="H399" s="323" t="s">
        <v>240</v>
      </c>
      <c r="I399" s="332" t="s">
        <v>249</v>
      </c>
      <c r="J399" s="331" t="s">
        <v>241</v>
      </c>
      <c r="K399" s="323" t="s">
        <v>422</v>
      </c>
      <c r="L399" s="323" t="s">
        <v>464</v>
      </c>
      <c r="M399" s="303" t="s">
        <v>513</v>
      </c>
      <c r="N399" s="303">
        <v>10.5</v>
      </c>
      <c r="O399" s="303">
        <v>10.5</v>
      </c>
      <c r="P399" s="303">
        <v>10.5</v>
      </c>
      <c r="Q399" s="303">
        <v>10.5</v>
      </c>
      <c r="R399" s="303">
        <v>10.5</v>
      </c>
      <c r="S399" s="303">
        <v>10.5</v>
      </c>
      <c r="T399" s="303">
        <v>10.5</v>
      </c>
      <c r="U399" s="303">
        <v>10.5</v>
      </c>
      <c r="V399" s="303">
        <v>10.5</v>
      </c>
      <c r="W399" s="303">
        <v>10.5</v>
      </c>
      <c r="X399" s="303">
        <v>10.5</v>
      </c>
      <c r="Y399" s="303">
        <v>10.5</v>
      </c>
      <c r="Z399" s="304">
        <v>0</v>
      </c>
      <c r="AA399" s="304">
        <v>0</v>
      </c>
      <c r="AB399" s="304">
        <v>0</v>
      </c>
      <c r="AC399" s="304">
        <v>0</v>
      </c>
      <c r="AD399" s="304">
        <v>0</v>
      </c>
      <c r="AE399" s="304">
        <v>0</v>
      </c>
      <c r="AF399" s="304">
        <v>0</v>
      </c>
      <c r="AG399" s="304">
        <v>0</v>
      </c>
      <c r="AH399" s="304">
        <v>0</v>
      </c>
      <c r="AI399" s="304">
        <v>0</v>
      </c>
      <c r="AJ399" s="304">
        <v>0</v>
      </c>
      <c r="AK399" s="304">
        <v>0</v>
      </c>
      <c r="AL399" s="260"/>
      <c r="AM399" s="254">
        <f t="shared" ref="AM399:AM462" si="60">Z399*AL399</f>
        <v>0</v>
      </c>
      <c r="AN399" s="260"/>
      <c r="AO399" s="254">
        <f t="shared" ref="AO399:AO462" si="61">AA399*AN399</f>
        <v>0</v>
      </c>
      <c r="AP399" s="260"/>
      <c r="AQ399" s="254">
        <f t="shared" ref="AQ399:AQ462" si="62">AB399*AP399</f>
        <v>0</v>
      </c>
      <c r="AR399" s="260"/>
      <c r="AS399" s="257">
        <f t="shared" ref="AS399:AS462" si="63">AC399*AR399</f>
        <v>0</v>
      </c>
      <c r="AT399" s="383"/>
      <c r="AU399" s="257">
        <f t="shared" ref="AU399:AU462" si="64">AD399*AT399</f>
        <v>0</v>
      </c>
      <c r="AV399" s="392"/>
      <c r="AW399" s="257">
        <f t="shared" ref="AW399:AW462" si="65">AE399*AV399</f>
        <v>0</v>
      </c>
      <c r="AX399" s="260"/>
      <c r="AY399" s="257">
        <f t="shared" ref="AY399:AY462" si="66">AF399*AX399</f>
        <v>0</v>
      </c>
      <c r="AZ399" s="260"/>
      <c r="BA399" s="257">
        <f t="shared" ref="BA399:BA462" si="67">AG399*AZ399</f>
        <v>0</v>
      </c>
      <c r="BB399" s="268"/>
      <c r="BC399" s="257">
        <f t="shared" ref="BC399:BC462" si="68">AH399*BB399</f>
        <v>0</v>
      </c>
      <c r="BD399" s="256"/>
      <c r="BE399" s="257">
        <f t="shared" ref="BE399:BE462" si="69">AI399*BD399</f>
        <v>0</v>
      </c>
      <c r="BF399" s="256"/>
      <c r="BG399" s="257">
        <f t="shared" ref="BG399:BG462" si="70">AJ399*BF399</f>
        <v>0</v>
      </c>
      <c r="BH399" s="256"/>
      <c r="BI399" s="257">
        <f t="shared" ref="BI399:BI462" si="71">AK399*BH399</f>
        <v>0</v>
      </c>
      <c r="BJ399" s="1" t="s">
        <v>850</v>
      </c>
      <c r="BL399" s="1" t="s">
        <v>457</v>
      </c>
      <c r="BM399" s="1" t="s">
        <v>851</v>
      </c>
    </row>
    <row r="400" spans="1:65" ht="15.6">
      <c r="A400" s="250" t="s">
        <v>951</v>
      </c>
      <c r="B400" s="59" t="s">
        <v>221</v>
      </c>
      <c r="C400" s="354" t="s">
        <v>172</v>
      </c>
      <c r="D400" s="419"/>
      <c r="E400" s="281" t="s">
        <v>332</v>
      </c>
      <c r="F400" s="422"/>
      <c r="G400" s="317" t="s">
        <v>239</v>
      </c>
      <c r="H400" s="323" t="s">
        <v>240</v>
      </c>
      <c r="I400" s="327" t="s">
        <v>249</v>
      </c>
      <c r="J400" s="331" t="s">
        <v>241</v>
      </c>
      <c r="K400" s="323" t="s">
        <v>423</v>
      </c>
      <c r="L400" s="323" t="s">
        <v>464</v>
      </c>
      <c r="M400" s="303" t="s">
        <v>513</v>
      </c>
      <c r="N400" s="303">
        <v>10.5</v>
      </c>
      <c r="O400" s="303">
        <v>10.5</v>
      </c>
      <c r="P400" s="303">
        <v>10.5</v>
      </c>
      <c r="Q400" s="303">
        <v>10.5</v>
      </c>
      <c r="R400" s="303">
        <v>10.5</v>
      </c>
      <c r="S400" s="303">
        <v>10.5</v>
      </c>
      <c r="T400" s="303">
        <v>10.5</v>
      </c>
      <c r="U400" s="303">
        <v>10.5</v>
      </c>
      <c r="V400" s="303">
        <v>10.5</v>
      </c>
      <c r="W400" s="303">
        <v>10.5</v>
      </c>
      <c r="X400" s="303">
        <v>10.5</v>
      </c>
      <c r="Y400" s="303">
        <v>10.5</v>
      </c>
      <c r="Z400" s="304">
        <v>0</v>
      </c>
      <c r="AA400" s="304">
        <v>0</v>
      </c>
      <c r="AB400" s="304">
        <v>0</v>
      </c>
      <c r="AC400" s="304">
        <v>0</v>
      </c>
      <c r="AD400" s="304">
        <v>0</v>
      </c>
      <c r="AE400" s="304">
        <v>0</v>
      </c>
      <c r="AF400" s="304">
        <v>0</v>
      </c>
      <c r="AG400" s="304">
        <v>0</v>
      </c>
      <c r="AH400" s="304">
        <v>0</v>
      </c>
      <c r="AI400" s="304">
        <v>0</v>
      </c>
      <c r="AJ400" s="304">
        <v>0</v>
      </c>
      <c r="AK400" s="304">
        <v>0</v>
      </c>
      <c r="AL400" s="260"/>
      <c r="AM400" s="254">
        <f t="shared" si="60"/>
        <v>0</v>
      </c>
      <c r="AN400" s="260"/>
      <c r="AO400" s="254">
        <f t="shared" si="61"/>
        <v>0</v>
      </c>
      <c r="AP400" s="260"/>
      <c r="AQ400" s="254">
        <f t="shared" si="62"/>
        <v>0</v>
      </c>
      <c r="AR400" s="260"/>
      <c r="AS400" s="257">
        <f t="shared" si="63"/>
        <v>0</v>
      </c>
      <c r="AT400" s="383"/>
      <c r="AU400" s="257">
        <f t="shared" si="64"/>
        <v>0</v>
      </c>
      <c r="AV400" s="392"/>
      <c r="AW400" s="257">
        <f t="shared" si="65"/>
        <v>0</v>
      </c>
      <c r="AX400" s="260"/>
      <c r="AY400" s="257">
        <f t="shared" si="66"/>
        <v>0</v>
      </c>
      <c r="AZ400" s="260"/>
      <c r="BA400" s="257">
        <f t="shared" si="67"/>
        <v>0</v>
      </c>
      <c r="BB400" s="268"/>
      <c r="BC400" s="257">
        <f t="shared" si="68"/>
        <v>0</v>
      </c>
      <c r="BD400" s="256"/>
      <c r="BE400" s="257">
        <f t="shared" si="69"/>
        <v>0</v>
      </c>
      <c r="BF400" s="256"/>
      <c r="BG400" s="257">
        <f t="shared" si="70"/>
        <v>0</v>
      </c>
      <c r="BH400" s="256"/>
      <c r="BI400" s="257">
        <f t="shared" si="71"/>
        <v>0</v>
      </c>
      <c r="BJ400" s="1" t="s">
        <v>852</v>
      </c>
      <c r="BL400" s="1" t="s">
        <v>457</v>
      </c>
      <c r="BM400" s="1" t="s">
        <v>853</v>
      </c>
    </row>
    <row r="401" spans="1:65" ht="15.6">
      <c r="A401" s="250" t="s">
        <v>951</v>
      </c>
      <c r="B401" s="59" t="s">
        <v>221</v>
      </c>
      <c r="C401" s="354" t="s">
        <v>172</v>
      </c>
      <c r="D401" s="419"/>
      <c r="E401" s="281" t="s">
        <v>332</v>
      </c>
      <c r="F401" s="422"/>
      <c r="G401" s="317" t="s">
        <v>239</v>
      </c>
      <c r="H401" s="323" t="s">
        <v>240</v>
      </c>
      <c r="I401" s="327" t="s">
        <v>249</v>
      </c>
      <c r="J401" s="331" t="s">
        <v>241</v>
      </c>
      <c r="K401" s="323" t="s">
        <v>854</v>
      </c>
      <c r="L401" s="323" t="s">
        <v>464</v>
      </c>
      <c r="M401" s="303" t="s">
        <v>513</v>
      </c>
      <c r="N401" s="303">
        <v>9.5</v>
      </c>
      <c r="O401" s="303">
        <v>9.5</v>
      </c>
      <c r="P401" s="303">
        <v>9.5</v>
      </c>
      <c r="Q401" s="303">
        <v>9.5</v>
      </c>
      <c r="R401" s="303">
        <v>9.5</v>
      </c>
      <c r="S401" s="303">
        <v>9.5</v>
      </c>
      <c r="T401" s="303">
        <v>9.5</v>
      </c>
      <c r="U401" s="303">
        <v>9.5</v>
      </c>
      <c r="V401" s="303">
        <v>9.5</v>
      </c>
      <c r="W401" s="303">
        <v>9.5</v>
      </c>
      <c r="X401" s="303">
        <v>9.5</v>
      </c>
      <c r="Y401" s="303">
        <v>9.5</v>
      </c>
      <c r="Z401" s="304">
        <v>1.05</v>
      </c>
      <c r="AA401" s="304">
        <v>1.05</v>
      </c>
      <c r="AB401" s="304">
        <v>1.05</v>
      </c>
      <c r="AC401" s="304">
        <v>0</v>
      </c>
      <c r="AD401" s="304">
        <v>1.05</v>
      </c>
      <c r="AE401" s="304">
        <v>1.05</v>
      </c>
      <c r="AF401" s="304">
        <v>1.05</v>
      </c>
      <c r="AG401" s="304">
        <v>1.05</v>
      </c>
      <c r="AH401" s="304">
        <v>1.05</v>
      </c>
      <c r="AI401" s="304">
        <v>1.05</v>
      </c>
      <c r="AJ401" s="304">
        <v>1.05</v>
      </c>
      <c r="AK401" s="304">
        <v>1.05</v>
      </c>
      <c r="AL401" s="260">
        <v>680</v>
      </c>
      <c r="AM401" s="254">
        <f t="shared" si="60"/>
        <v>714</v>
      </c>
      <c r="AN401" s="260"/>
      <c r="AO401" s="254">
        <f t="shared" si="61"/>
        <v>0</v>
      </c>
      <c r="AP401" s="260"/>
      <c r="AQ401" s="254">
        <f t="shared" si="62"/>
        <v>0</v>
      </c>
      <c r="AR401" s="260"/>
      <c r="AS401" s="257">
        <f t="shared" si="63"/>
        <v>0</v>
      </c>
      <c r="AT401" s="383">
        <v>400</v>
      </c>
      <c r="AU401" s="257">
        <f t="shared" si="64"/>
        <v>420</v>
      </c>
      <c r="AV401" s="392"/>
      <c r="AW401" s="257">
        <f t="shared" si="65"/>
        <v>0</v>
      </c>
      <c r="AX401" s="260"/>
      <c r="AY401" s="257">
        <f t="shared" si="66"/>
        <v>0</v>
      </c>
      <c r="AZ401" s="260"/>
      <c r="BA401" s="257">
        <f t="shared" si="67"/>
        <v>0</v>
      </c>
      <c r="BB401" s="268"/>
      <c r="BC401" s="257">
        <f t="shared" si="68"/>
        <v>0</v>
      </c>
      <c r="BD401" s="268"/>
      <c r="BE401" s="257">
        <f t="shared" si="69"/>
        <v>0</v>
      </c>
      <c r="BF401" s="256"/>
      <c r="BG401" s="257">
        <f t="shared" si="70"/>
        <v>0</v>
      </c>
      <c r="BH401" s="256"/>
      <c r="BI401" s="257">
        <f t="shared" si="71"/>
        <v>0</v>
      </c>
      <c r="BJ401" s="1" t="s">
        <v>855</v>
      </c>
      <c r="BK401" s="1" t="s">
        <v>532</v>
      </c>
      <c r="BL401" s="1" t="s">
        <v>457</v>
      </c>
      <c r="BM401" s="1" t="s">
        <v>856</v>
      </c>
    </row>
    <row r="402" spans="1:65" ht="15.6">
      <c r="A402" s="250" t="s">
        <v>951</v>
      </c>
      <c r="B402" s="59" t="s">
        <v>221</v>
      </c>
      <c r="C402" s="354" t="s">
        <v>172</v>
      </c>
      <c r="D402" s="419"/>
      <c r="E402" s="281" t="s">
        <v>332</v>
      </c>
      <c r="F402" s="422"/>
      <c r="G402" s="317" t="s">
        <v>239</v>
      </c>
      <c r="H402" s="323" t="s">
        <v>240</v>
      </c>
      <c r="I402" s="327" t="s">
        <v>249</v>
      </c>
      <c r="J402" s="331" t="s">
        <v>241</v>
      </c>
      <c r="K402" s="323" t="s">
        <v>857</v>
      </c>
      <c r="L402" s="323" t="s">
        <v>464</v>
      </c>
      <c r="M402" s="303" t="s">
        <v>513</v>
      </c>
      <c r="N402" s="303">
        <v>9.5</v>
      </c>
      <c r="O402" s="303">
        <v>9.5</v>
      </c>
      <c r="P402" s="303">
        <v>9.5</v>
      </c>
      <c r="Q402" s="303">
        <v>9.5</v>
      </c>
      <c r="R402" s="303">
        <v>9.5</v>
      </c>
      <c r="S402" s="303">
        <v>9.5</v>
      </c>
      <c r="T402" s="303">
        <v>9.5</v>
      </c>
      <c r="U402" s="303">
        <v>9.5</v>
      </c>
      <c r="V402" s="303">
        <v>9.5</v>
      </c>
      <c r="W402" s="303">
        <v>9.5</v>
      </c>
      <c r="X402" s="303">
        <v>9.5</v>
      </c>
      <c r="Y402" s="303">
        <v>9.5</v>
      </c>
      <c r="Z402" s="304">
        <v>1.05</v>
      </c>
      <c r="AA402" s="304">
        <v>1.05</v>
      </c>
      <c r="AB402" s="304">
        <v>1.05</v>
      </c>
      <c r="AC402" s="304">
        <v>0</v>
      </c>
      <c r="AD402" s="304">
        <v>1.05</v>
      </c>
      <c r="AE402" s="304">
        <v>1.05</v>
      </c>
      <c r="AF402" s="304">
        <v>1.05</v>
      </c>
      <c r="AG402" s="304">
        <v>1.05</v>
      </c>
      <c r="AH402" s="304">
        <v>1.05</v>
      </c>
      <c r="AI402" s="304">
        <v>1.05</v>
      </c>
      <c r="AJ402" s="304">
        <v>1.05</v>
      </c>
      <c r="AK402" s="304">
        <v>1.05</v>
      </c>
      <c r="AL402" s="260"/>
      <c r="AM402" s="254">
        <f t="shared" si="60"/>
        <v>0</v>
      </c>
      <c r="AN402" s="260">
        <v>760</v>
      </c>
      <c r="AO402" s="254">
        <f t="shared" si="61"/>
        <v>798</v>
      </c>
      <c r="AP402" s="260"/>
      <c r="AQ402" s="254">
        <f t="shared" si="62"/>
        <v>0</v>
      </c>
      <c r="AR402" s="260">
        <v>40</v>
      </c>
      <c r="AS402" s="257">
        <f t="shared" si="63"/>
        <v>0</v>
      </c>
      <c r="AT402" s="383">
        <v>200</v>
      </c>
      <c r="AU402" s="257">
        <f t="shared" si="64"/>
        <v>210</v>
      </c>
      <c r="AV402" s="392"/>
      <c r="AW402" s="257">
        <f t="shared" si="65"/>
        <v>0</v>
      </c>
      <c r="AX402" s="260"/>
      <c r="AY402" s="257">
        <f t="shared" si="66"/>
        <v>0</v>
      </c>
      <c r="AZ402" s="260"/>
      <c r="BA402" s="257">
        <f t="shared" si="67"/>
        <v>0</v>
      </c>
      <c r="BB402" s="268"/>
      <c r="BC402" s="257">
        <f t="shared" si="68"/>
        <v>0</v>
      </c>
      <c r="BD402" s="268"/>
      <c r="BE402" s="257">
        <f t="shared" si="69"/>
        <v>0</v>
      </c>
      <c r="BF402" s="256"/>
      <c r="BG402" s="257">
        <f t="shared" si="70"/>
        <v>0</v>
      </c>
      <c r="BH402" s="256"/>
      <c r="BI402" s="257">
        <f t="shared" si="71"/>
        <v>0</v>
      </c>
      <c r="BJ402" s="1" t="s">
        <v>858</v>
      </c>
      <c r="BK402" s="1" t="s">
        <v>532</v>
      </c>
      <c r="BL402" s="1" t="s">
        <v>457</v>
      </c>
      <c r="BM402" s="1" t="s">
        <v>859</v>
      </c>
    </row>
    <row r="403" spans="1:65" ht="15.6">
      <c r="A403" s="250" t="s">
        <v>951</v>
      </c>
      <c r="B403" s="59" t="s">
        <v>221</v>
      </c>
      <c r="C403" s="354" t="s">
        <v>172</v>
      </c>
      <c r="D403" s="419"/>
      <c r="E403" s="281" t="s">
        <v>332</v>
      </c>
      <c r="F403" s="422"/>
      <c r="G403" s="317">
        <v>2023</v>
      </c>
      <c r="H403" s="323" t="s">
        <v>417</v>
      </c>
      <c r="I403" s="327" t="s">
        <v>190</v>
      </c>
      <c r="J403" s="331">
        <v>14</v>
      </c>
      <c r="K403" s="323" t="s">
        <v>637</v>
      </c>
      <c r="L403" s="323" t="s">
        <v>177</v>
      </c>
      <c r="M403" s="303" t="s">
        <v>474</v>
      </c>
      <c r="N403" s="303">
        <v>3.5</v>
      </c>
      <c r="O403" s="303">
        <v>3.5</v>
      </c>
      <c r="P403" s="303">
        <v>3.45</v>
      </c>
      <c r="Q403" s="303">
        <v>3.45</v>
      </c>
      <c r="R403" s="401">
        <v>4.2</v>
      </c>
      <c r="S403" s="401">
        <v>4.2</v>
      </c>
      <c r="T403" s="401">
        <v>4.2</v>
      </c>
      <c r="U403" s="401">
        <v>4.2</v>
      </c>
      <c r="V403" s="401">
        <v>4.2</v>
      </c>
      <c r="W403" s="401">
        <v>4.2</v>
      </c>
      <c r="X403" s="401">
        <v>4.2</v>
      </c>
      <c r="Y403" s="401">
        <v>4.2</v>
      </c>
      <c r="Z403" s="59">
        <v>0.3</v>
      </c>
      <c r="AA403" s="59">
        <v>0.3</v>
      </c>
      <c r="AB403" s="59">
        <v>0.35</v>
      </c>
      <c r="AC403" s="304">
        <v>0</v>
      </c>
      <c r="AD403" s="402">
        <v>0.6</v>
      </c>
      <c r="AE403" s="402">
        <v>0.6</v>
      </c>
      <c r="AF403" s="402">
        <v>0.6</v>
      </c>
      <c r="AG403" s="402">
        <v>0.6</v>
      </c>
      <c r="AH403" s="402">
        <v>0.6</v>
      </c>
      <c r="AI403" s="402">
        <v>0.6</v>
      </c>
      <c r="AJ403" s="402">
        <v>0.6</v>
      </c>
      <c r="AK403" s="402">
        <v>0.6</v>
      </c>
      <c r="AL403" s="260">
        <v>12280</v>
      </c>
      <c r="AM403" s="254">
        <f t="shared" si="60"/>
        <v>3684</v>
      </c>
      <c r="AN403" s="260">
        <v>9540</v>
      </c>
      <c r="AO403" s="254">
        <f t="shared" si="61"/>
        <v>2862</v>
      </c>
      <c r="AP403" s="271">
        <v>40</v>
      </c>
      <c r="AQ403" s="254">
        <f t="shared" si="62"/>
        <v>14</v>
      </c>
      <c r="AR403" s="261"/>
      <c r="AS403" s="257">
        <f t="shared" si="63"/>
        <v>0</v>
      </c>
      <c r="AT403" s="387">
        <v>1520</v>
      </c>
      <c r="AU403" s="257">
        <f t="shared" si="64"/>
        <v>912</v>
      </c>
      <c r="AV403" s="389"/>
      <c r="AW403" s="257">
        <f t="shared" si="65"/>
        <v>0</v>
      </c>
      <c r="AX403" s="261"/>
      <c r="AY403" s="257">
        <f t="shared" si="66"/>
        <v>0</v>
      </c>
      <c r="AZ403" s="271"/>
      <c r="BA403" s="257">
        <f t="shared" si="67"/>
        <v>0</v>
      </c>
      <c r="BB403" s="268"/>
      <c r="BC403" s="257">
        <f t="shared" si="68"/>
        <v>0</v>
      </c>
      <c r="BD403" s="268"/>
      <c r="BE403" s="257">
        <f t="shared" si="69"/>
        <v>0</v>
      </c>
      <c r="BF403" s="256"/>
      <c r="BG403" s="257">
        <f t="shared" si="70"/>
        <v>0</v>
      </c>
      <c r="BH403" s="256"/>
      <c r="BI403" s="257">
        <f t="shared" si="71"/>
        <v>0</v>
      </c>
      <c r="BJ403" s="1" t="s">
        <v>860</v>
      </c>
      <c r="BL403" s="1" t="s">
        <v>457</v>
      </c>
      <c r="BM403" s="378" t="s">
        <v>861</v>
      </c>
    </row>
    <row r="404" spans="1:65" ht="15.6">
      <c r="A404" s="250" t="s">
        <v>951</v>
      </c>
      <c r="B404" s="59" t="s">
        <v>221</v>
      </c>
      <c r="C404" s="354" t="s">
        <v>172</v>
      </c>
      <c r="D404" s="419"/>
      <c r="E404" s="281" t="s">
        <v>332</v>
      </c>
      <c r="F404" s="422"/>
      <c r="G404" s="317">
        <v>2023</v>
      </c>
      <c r="H404" s="323" t="s">
        <v>417</v>
      </c>
      <c r="I404" s="332" t="s">
        <v>183</v>
      </c>
      <c r="J404" s="331">
        <v>14</v>
      </c>
      <c r="K404" s="323" t="s">
        <v>210</v>
      </c>
      <c r="L404" s="323" t="s">
        <v>177</v>
      </c>
      <c r="M404" s="303" t="s">
        <v>474</v>
      </c>
      <c r="N404" s="303">
        <v>8.6</v>
      </c>
      <c r="O404" s="303">
        <v>8.6</v>
      </c>
      <c r="P404" s="303">
        <v>8.5</v>
      </c>
      <c r="Q404" s="303">
        <v>8.5</v>
      </c>
      <c r="R404" s="401">
        <v>9.1999999999999993</v>
      </c>
      <c r="S404" s="401">
        <v>9.1999999999999993</v>
      </c>
      <c r="T404" s="401">
        <v>9.1999999999999993</v>
      </c>
      <c r="U404" s="401">
        <v>9.1999999999999993</v>
      </c>
      <c r="V404" s="401">
        <v>9.1999999999999993</v>
      </c>
      <c r="W404" s="401">
        <v>9.1999999999999993</v>
      </c>
      <c r="X404" s="401">
        <v>9.1999999999999993</v>
      </c>
      <c r="Y404" s="401">
        <v>9.1999999999999993</v>
      </c>
      <c r="Z404" s="59">
        <v>1.3</v>
      </c>
      <c r="AA404" s="59">
        <v>1.3</v>
      </c>
      <c r="AB404" s="59">
        <v>1.2</v>
      </c>
      <c r="AC404" s="304">
        <v>0</v>
      </c>
      <c r="AD404" s="402">
        <v>1.3999999999999995</v>
      </c>
      <c r="AE404" s="402">
        <v>1.3999999999999995</v>
      </c>
      <c r="AF404" s="402">
        <v>1.3999999999999995</v>
      </c>
      <c r="AG404" s="402">
        <v>1.3999999999999995</v>
      </c>
      <c r="AH404" s="402">
        <v>1.3999999999999995</v>
      </c>
      <c r="AI404" s="402">
        <v>1.3999999999999995</v>
      </c>
      <c r="AJ404" s="402">
        <v>1.3999999999999995</v>
      </c>
      <c r="AK404" s="402">
        <v>1.3999999999999995</v>
      </c>
      <c r="AL404" s="260"/>
      <c r="AM404" s="254">
        <f t="shared" si="60"/>
        <v>0</v>
      </c>
      <c r="AN404" s="260"/>
      <c r="AO404" s="254">
        <f t="shared" si="61"/>
        <v>0</v>
      </c>
      <c r="AP404" s="274"/>
      <c r="AQ404" s="254">
        <f t="shared" si="62"/>
        <v>0</v>
      </c>
      <c r="AR404" s="256"/>
      <c r="AS404" s="257">
        <f t="shared" si="63"/>
        <v>0</v>
      </c>
      <c r="AT404" s="382"/>
      <c r="AU404" s="257">
        <f t="shared" si="64"/>
        <v>0</v>
      </c>
      <c r="AV404" s="268"/>
      <c r="AW404" s="257">
        <f t="shared" si="65"/>
        <v>0</v>
      </c>
      <c r="AX404" s="268"/>
      <c r="AY404" s="257">
        <f t="shared" si="66"/>
        <v>0</v>
      </c>
      <c r="AZ404" s="268"/>
      <c r="BA404" s="257">
        <f t="shared" si="67"/>
        <v>0</v>
      </c>
      <c r="BB404" s="268"/>
      <c r="BC404" s="257">
        <f t="shared" si="68"/>
        <v>0</v>
      </c>
      <c r="BD404" s="268"/>
      <c r="BE404" s="257">
        <f t="shared" si="69"/>
        <v>0</v>
      </c>
      <c r="BF404" s="59"/>
      <c r="BG404" s="257">
        <f t="shared" si="70"/>
        <v>0</v>
      </c>
      <c r="BH404" s="59"/>
      <c r="BI404" s="257">
        <f t="shared" si="71"/>
        <v>0</v>
      </c>
      <c r="BJ404" s="1" t="s">
        <v>862</v>
      </c>
      <c r="BL404" s="1" t="s">
        <v>457</v>
      </c>
      <c r="BM404" s="378" t="s">
        <v>863</v>
      </c>
    </row>
    <row r="405" spans="1:65" ht="15.6">
      <c r="A405" s="250" t="s">
        <v>951</v>
      </c>
      <c r="B405" s="59" t="s">
        <v>221</v>
      </c>
      <c r="C405" s="354" t="s">
        <v>172</v>
      </c>
      <c r="D405" s="419"/>
      <c r="E405" s="281" t="s">
        <v>332</v>
      </c>
      <c r="F405" s="422"/>
      <c r="G405" s="317">
        <v>2023</v>
      </c>
      <c r="H405" s="323" t="s">
        <v>417</v>
      </c>
      <c r="I405" s="327" t="s">
        <v>190</v>
      </c>
      <c r="J405" s="331">
        <v>14</v>
      </c>
      <c r="K405" s="323" t="s">
        <v>210</v>
      </c>
      <c r="L405" s="323" t="s">
        <v>177</v>
      </c>
      <c r="M405" s="303" t="s">
        <v>474</v>
      </c>
      <c r="N405" s="303">
        <v>5.2</v>
      </c>
      <c r="O405" s="303">
        <v>5.2</v>
      </c>
      <c r="P405" s="303">
        <v>5.2</v>
      </c>
      <c r="Q405" s="303">
        <v>5.2</v>
      </c>
      <c r="R405" s="401">
        <v>5.9</v>
      </c>
      <c r="S405" s="401">
        <v>5.9</v>
      </c>
      <c r="T405" s="401">
        <v>5.9</v>
      </c>
      <c r="U405" s="401">
        <v>5.9</v>
      </c>
      <c r="V405" s="401">
        <v>5.9</v>
      </c>
      <c r="W405" s="401">
        <v>5.9</v>
      </c>
      <c r="X405" s="401">
        <v>5.9</v>
      </c>
      <c r="Y405" s="401">
        <v>5.9</v>
      </c>
      <c r="Z405" s="59">
        <v>0.3</v>
      </c>
      <c r="AA405" s="59">
        <v>0.3</v>
      </c>
      <c r="AB405" s="59">
        <v>0.3</v>
      </c>
      <c r="AC405" s="304">
        <v>0</v>
      </c>
      <c r="AD405" s="402">
        <v>0.5</v>
      </c>
      <c r="AE405" s="402">
        <v>0.5</v>
      </c>
      <c r="AF405" s="402">
        <v>0.5</v>
      </c>
      <c r="AG405" s="402">
        <v>0.5</v>
      </c>
      <c r="AH405" s="402">
        <v>0.5</v>
      </c>
      <c r="AI405" s="402">
        <v>0.5</v>
      </c>
      <c r="AJ405" s="402">
        <v>0.5</v>
      </c>
      <c r="AK405" s="402">
        <v>0.5</v>
      </c>
      <c r="AL405" s="260">
        <v>3520</v>
      </c>
      <c r="AM405" s="254">
        <f t="shared" si="60"/>
        <v>1056</v>
      </c>
      <c r="AN405" s="260">
        <v>560</v>
      </c>
      <c r="AO405" s="254">
        <f t="shared" si="61"/>
        <v>168</v>
      </c>
      <c r="AP405" s="271">
        <v>640</v>
      </c>
      <c r="AQ405" s="254">
        <f t="shared" si="62"/>
        <v>192</v>
      </c>
      <c r="AR405" s="256">
        <v>359</v>
      </c>
      <c r="AS405" s="257">
        <f t="shared" si="63"/>
        <v>0</v>
      </c>
      <c r="AT405" s="382">
        <v>2400</v>
      </c>
      <c r="AU405" s="257">
        <f t="shared" si="64"/>
        <v>1200</v>
      </c>
      <c r="AV405" s="268"/>
      <c r="AW405" s="257">
        <f t="shared" si="65"/>
        <v>0</v>
      </c>
      <c r="AX405" s="268"/>
      <c r="AY405" s="257">
        <f t="shared" si="66"/>
        <v>0</v>
      </c>
      <c r="AZ405" s="268"/>
      <c r="BA405" s="257">
        <f t="shared" si="67"/>
        <v>0</v>
      </c>
      <c r="BB405" s="268"/>
      <c r="BC405" s="257">
        <f t="shared" si="68"/>
        <v>0</v>
      </c>
      <c r="BD405" s="268"/>
      <c r="BE405" s="257">
        <f t="shared" si="69"/>
        <v>0</v>
      </c>
      <c r="BF405" s="59"/>
      <c r="BG405" s="257">
        <f t="shared" si="70"/>
        <v>0</v>
      </c>
      <c r="BH405" s="59"/>
      <c r="BI405" s="257">
        <f t="shared" si="71"/>
        <v>0</v>
      </c>
      <c r="BJ405" s="1" t="s">
        <v>864</v>
      </c>
      <c r="BL405" s="1" t="s">
        <v>457</v>
      </c>
      <c r="BM405" s="378" t="s">
        <v>865</v>
      </c>
    </row>
    <row r="406" spans="1:65" ht="15.6">
      <c r="A406" s="250" t="s">
        <v>951</v>
      </c>
      <c r="B406" s="59" t="s">
        <v>221</v>
      </c>
      <c r="C406" s="354" t="s">
        <v>172</v>
      </c>
      <c r="D406" s="419"/>
      <c r="E406" s="281" t="s">
        <v>332</v>
      </c>
      <c r="F406" s="422"/>
      <c r="G406" s="317">
        <v>2023</v>
      </c>
      <c r="H406" s="323" t="s">
        <v>417</v>
      </c>
      <c r="I406" s="332" t="s">
        <v>183</v>
      </c>
      <c r="J406" s="331">
        <v>14</v>
      </c>
      <c r="K406" s="328" t="s">
        <v>243</v>
      </c>
      <c r="L406" s="323" t="s">
        <v>177</v>
      </c>
      <c r="M406" s="303" t="s">
        <v>474</v>
      </c>
      <c r="N406" s="303">
        <v>7.9</v>
      </c>
      <c r="O406" s="303">
        <v>7.9</v>
      </c>
      <c r="P406" s="303">
        <v>7.8</v>
      </c>
      <c r="Q406" s="303">
        <v>7.8</v>
      </c>
      <c r="R406" s="401">
        <v>8.5</v>
      </c>
      <c r="S406" s="401">
        <v>8.5</v>
      </c>
      <c r="T406" s="401">
        <v>8.5</v>
      </c>
      <c r="U406" s="401">
        <v>8.5</v>
      </c>
      <c r="V406" s="401">
        <v>8.5</v>
      </c>
      <c r="W406" s="401">
        <v>8.5</v>
      </c>
      <c r="X406" s="401">
        <v>8.5</v>
      </c>
      <c r="Y406" s="401">
        <v>8.5</v>
      </c>
      <c r="Z406" s="59">
        <v>0.65</v>
      </c>
      <c r="AA406" s="59">
        <v>0.65</v>
      </c>
      <c r="AB406" s="59">
        <v>0.7</v>
      </c>
      <c r="AC406" s="304">
        <v>0</v>
      </c>
      <c r="AD406" s="402">
        <v>0.90000000000000036</v>
      </c>
      <c r="AE406" s="402">
        <v>0.90000000000000036</v>
      </c>
      <c r="AF406" s="402">
        <v>0.90000000000000036</v>
      </c>
      <c r="AG406" s="402">
        <v>0.90000000000000036</v>
      </c>
      <c r="AH406" s="402">
        <v>0.90000000000000036</v>
      </c>
      <c r="AI406" s="402">
        <v>0.90000000000000036</v>
      </c>
      <c r="AJ406" s="402">
        <v>0.90000000000000036</v>
      </c>
      <c r="AK406" s="402">
        <v>0.90000000000000036</v>
      </c>
      <c r="AL406" s="260"/>
      <c r="AM406" s="254">
        <f t="shared" si="60"/>
        <v>0</v>
      </c>
      <c r="AN406" s="260"/>
      <c r="AO406" s="254">
        <f t="shared" si="61"/>
        <v>0</v>
      </c>
      <c r="AP406" s="260"/>
      <c r="AQ406" s="254">
        <f t="shared" si="62"/>
        <v>0</v>
      </c>
      <c r="AR406" s="260"/>
      <c r="AS406" s="257">
        <f t="shared" si="63"/>
        <v>0</v>
      </c>
      <c r="AT406" s="383"/>
      <c r="AU406" s="257">
        <f t="shared" si="64"/>
        <v>0</v>
      </c>
      <c r="AV406" s="268"/>
      <c r="AW406" s="257">
        <f t="shared" si="65"/>
        <v>0</v>
      </c>
      <c r="AX406" s="270"/>
      <c r="AY406" s="257">
        <f t="shared" si="66"/>
        <v>0</v>
      </c>
      <c r="AZ406" s="270"/>
      <c r="BA406" s="257">
        <f t="shared" si="67"/>
        <v>0</v>
      </c>
      <c r="BB406" s="268"/>
      <c r="BC406" s="257">
        <f t="shared" si="68"/>
        <v>0</v>
      </c>
      <c r="BD406" s="268"/>
      <c r="BE406" s="257">
        <f t="shared" si="69"/>
        <v>0</v>
      </c>
      <c r="BF406" s="256"/>
      <c r="BG406" s="257">
        <f t="shared" si="70"/>
        <v>0</v>
      </c>
      <c r="BH406" s="256"/>
      <c r="BI406" s="257">
        <f t="shared" si="71"/>
        <v>0</v>
      </c>
      <c r="BJ406" s="1" t="s">
        <v>866</v>
      </c>
      <c r="BL406" s="1" t="s">
        <v>457</v>
      </c>
      <c r="BM406" s="378" t="s">
        <v>867</v>
      </c>
    </row>
    <row r="407" spans="1:65" ht="15.6">
      <c r="A407" s="250" t="s">
        <v>951</v>
      </c>
      <c r="B407" s="59" t="s">
        <v>221</v>
      </c>
      <c r="C407" s="354" t="s">
        <v>172</v>
      </c>
      <c r="D407" s="419"/>
      <c r="E407" s="281" t="s">
        <v>332</v>
      </c>
      <c r="F407" s="422"/>
      <c r="G407" s="317">
        <v>2023</v>
      </c>
      <c r="H407" s="323" t="s">
        <v>417</v>
      </c>
      <c r="I407" s="327" t="s">
        <v>190</v>
      </c>
      <c r="J407" s="331">
        <v>14</v>
      </c>
      <c r="K407" s="328" t="s">
        <v>243</v>
      </c>
      <c r="L407" s="323" t="s">
        <v>177</v>
      </c>
      <c r="M407" s="303" t="s">
        <v>474</v>
      </c>
      <c r="N407" s="303">
        <v>3.5</v>
      </c>
      <c r="O407" s="303">
        <v>3.5</v>
      </c>
      <c r="P407" s="303">
        <v>3.45</v>
      </c>
      <c r="Q407" s="303">
        <v>3.45</v>
      </c>
      <c r="R407" s="401">
        <v>4.2</v>
      </c>
      <c r="S407" s="401">
        <v>4.2</v>
      </c>
      <c r="T407" s="401">
        <v>4.2</v>
      </c>
      <c r="U407" s="401">
        <v>4.2</v>
      </c>
      <c r="V407" s="401">
        <v>4.2</v>
      </c>
      <c r="W407" s="401">
        <v>4.2</v>
      </c>
      <c r="X407" s="401">
        <v>4.2</v>
      </c>
      <c r="Y407" s="401">
        <v>4.2</v>
      </c>
      <c r="Z407" s="59">
        <v>0.3</v>
      </c>
      <c r="AA407" s="59">
        <v>0.3</v>
      </c>
      <c r="AB407" s="59">
        <v>0.35</v>
      </c>
      <c r="AC407" s="304">
        <v>0</v>
      </c>
      <c r="AD407" s="402">
        <v>0.60000000000000009</v>
      </c>
      <c r="AE407" s="402">
        <v>0.60000000000000009</v>
      </c>
      <c r="AF407" s="402">
        <v>0.60000000000000009</v>
      </c>
      <c r="AG407" s="402">
        <v>0.60000000000000009</v>
      </c>
      <c r="AH407" s="402">
        <v>0.60000000000000009</v>
      </c>
      <c r="AI407" s="402">
        <v>0.60000000000000009</v>
      </c>
      <c r="AJ407" s="402">
        <v>0.60000000000000009</v>
      </c>
      <c r="AK407" s="402">
        <v>0.60000000000000009</v>
      </c>
      <c r="AL407" s="260"/>
      <c r="AM407" s="254">
        <f t="shared" si="60"/>
        <v>0</v>
      </c>
      <c r="AN407" s="260"/>
      <c r="AO407" s="254">
        <f t="shared" si="61"/>
        <v>0</v>
      </c>
      <c r="AP407" s="260"/>
      <c r="AQ407" s="254">
        <f t="shared" si="62"/>
        <v>0</v>
      </c>
      <c r="AR407" s="260"/>
      <c r="AS407" s="257">
        <f t="shared" si="63"/>
        <v>0</v>
      </c>
      <c r="AT407" s="383"/>
      <c r="AU407" s="257">
        <f t="shared" si="64"/>
        <v>0</v>
      </c>
      <c r="AV407" s="392"/>
      <c r="AW407" s="257">
        <f t="shared" si="65"/>
        <v>0</v>
      </c>
      <c r="AX407" s="260"/>
      <c r="AY407" s="257">
        <f t="shared" si="66"/>
        <v>0</v>
      </c>
      <c r="AZ407" s="260"/>
      <c r="BA407" s="257">
        <f t="shared" si="67"/>
        <v>0</v>
      </c>
      <c r="BB407" s="260"/>
      <c r="BC407" s="257">
        <f t="shared" si="68"/>
        <v>0</v>
      </c>
      <c r="BD407" s="260"/>
      <c r="BE407" s="257">
        <f t="shared" si="69"/>
        <v>0</v>
      </c>
      <c r="BF407" s="256"/>
      <c r="BG407" s="257">
        <f t="shared" si="70"/>
        <v>0</v>
      </c>
      <c r="BH407" s="256"/>
      <c r="BI407" s="257">
        <f t="shared" si="71"/>
        <v>0</v>
      </c>
      <c r="BJ407" s="1" t="s">
        <v>868</v>
      </c>
      <c r="BL407" s="1" t="s">
        <v>457</v>
      </c>
      <c r="BM407" s="378" t="s">
        <v>869</v>
      </c>
    </row>
    <row r="408" spans="1:65" ht="15.6">
      <c r="A408" s="250" t="s">
        <v>951</v>
      </c>
      <c r="B408" s="59" t="s">
        <v>221</v>
      </c>
      <c r="C408" s="354" t="s">
        <v>172</v>
      </c>
      <c r="D408" s="419"/>
      <c r="E408" s="281" t="s">
        <v>332</v>
      </c>
      <c r="F408" s="422"/>
      <c r="G408" s="317">
        <v>2023</v>
      </c>
      <c r="H408" s="323" t="s">
        <v>417</v>
      </c>
      <c r="I408" s="332" t="s">
        <v>183</v>
      </c>
      <c r="J408" s="331">
        <v>14</v>
      </c>
      <c r="K408" s="323" t="s">
        <v>245</v>
      </c>
      <c r="L408" s="323" t="s">
        <v>177</v>
      </c>
      <c r="M408" s="303" t="s">
        <v>474</v>
      </c>
      <c r="N408" s="303">
        <v>8.8000000000000007</v>
      </c>
      <c r="O408" s="303">
        <v>8.8000000000000007</v>
      </c>
      <c r="P408" s="303">
        <v>8.8000000000000007</v>
      </c>
      <c r="Q408" s="303">
        <v>8.8000000000000007</v>
      </c>
      <c r="R408" s="303">
        <v>8.8000000000000007</v>
      </c>
      <c r="S408" s="303">
        <v>8.8000000000000007</v>
      </c>
      <c r="T408" s="303">
        <v>8.8000000000000007</v>
      </c>
      <c r="U408" s="303">
        <v>8.8000000000000007</v>
      </c>
      <c r="V408" s="303">
        <v>8.8000000000000007</v>
      </c>
      <c r="W408" s="303">
        <v>8.8000000000000007</v>
      </c>
      <c r="X408" s="303">
        <v>8.8000000000000007</v>
      </c>
      <c r="Y408" s="303">
        <v>8.8000000000000007</v>
      </c>
      <c r="Z408" s="59">
        <v>0.8</v>
      </c>
      <c r="AA408" s="59">
        <v>0.8</v>
      </c>
      <c r="AB408" s="59">
        <v>0.8</v>
      </c>
      <c r="AC408" s="304">
        <v>0</v>
      </c>
      <c r="AD408" s="59">
        <v>0.8</v>
      </c>
      <c r="AE408" s="59">
        <v>0.8</v>
      </c>
      <c r="AF408" s="59">
        <v>0.8</v>
      </c>
      <c r="AG408" s="59">
        <v>0.8</v>
      </c>
      <c r="AH408" s="59">
        <v>0.8</v>
      </c>
      <c r="AI408" s="59">
        <v>0.8</v>
      </c>
      <c r="AJ408" s="59">
        <v>0.8</v>
      </c>
      <c r="AK408" s="59">
        <v>0.8</v>
      </c>
      <c r="AL408" s="260"/>
      <c r="AM408" s="254">
        <f t="shared" si="60"/>
        <v>0</v>
      </c>
      <c r="AN408" s="260"/>
      <c r="AO408" s="254">
        <f t="shared" si="61"/>
        <v>0</v>
      </c>
      <c r="AP408" s="274"/>
      <c r="AQ408" s="254">
        <f t="shared" si="62"/>
        <v>0</v>
      </c>
      <c r="AR408" s="256"/>
      <c r="AS408" s="257">
        <f t="shared" si="63"/>
        <v>0</v>
      </c>
      <c r="AT408" s="382"/>
      <c r="AU408" s="257">
        <f t="shared" si="64"/>
        <v>0</v>
      </c>
      <c r="AV408" s="268"/>
      <c r="AW408" s="257">
        <f t="shared" si="65"/>
        <v>0</v>
      </c>
      <c r="AX408" s="268"/>
      <c r="AY408" s="257">
        <f t="shared" si="66"/>
        <v>0</v>
      </c>
      <c r="AZ408" s="268"/>
      <c r="BA408" s="257">
        <f t="shared" si="67"/>
        <v>0</v>
      </c>
      <c r="BB408" s="268"/>
      <c r="BC408" s="257">
        <f t="shared" si="68"/>
        <v>0</v>
      </c>
      <c r="BD408" s="268"/>
      <c r="BE408" s="257">
        <f t="shared" si="69"/>
        <v>0</v>
      </c>
      <c r="BF408" s="59"/>
      <c r="BG408" s="257">
        <f t="shared" si="70"/>
        <v>0</v>
      </c>
      <c r="BH408" s="59"/>
      <c r="BI408" s="257">
        <f t="shared" si="71"/>
        <v>0</v>
      </c>
      <c r="BJ408" s="1" t="s">
        <v>870</v>
      </c>
      <c r="BL408" s="1" t="s">
        <v>457</v>
      </c>
      <c r="BM408" s="378" t="s">
        <v>871</v>
      </c>
    </row>
    <row r="409" spans="1:65" ht="15.6">
      <c r="A409" s="250" t="s">
        <v>951</v>
      </c>
      <c r="B409" s="59" t="s">
        <v>221</v>
      </c>
      <c r="C409" s="354" t="s">
        <v>172</v>
      </c>
      <c r="D409" s="419"/>
      <c r="E409" s="281" t="s">
        <v>332</v>
      </c>
      <c r="F409" s="422"/>
      <c r="G409" s="317">
        <v>2023</v>
      </c>
      <c r="H409" s="323" t="s">
        <v>417</v>
      </c>
      <c r="I409" s="327" t="s">
        <v>190</v>
      </c>
      <c r="J409" s="331">
        <v>14</v>
      </c>
      <c r="K409" s="323" t="s">
        <v>637</v>
      </c>
      <c r="L409" s="323" t="s">
        <v>177</v>
      </c>
      <c r="M409" s="303" t="s">
        <v>474</v>
      </c>
      <c r="N409" s="303">
        <v>3.5</v>
      </c>
      <c r="O409" s="303">
        <v>3.5</v>
      </c>
      <c r="P409" s="303">
        <v>3.45</v>
      </c>
      <c r="Q409" s="303">
        <v>3.45</v>
      </c>
      <c r="R409" s="401">
        <v>4.2</v>
      </c>
      <c r="S409" s="401">
        <v>4.2</v>
      </c>
      <c r="T409" s="401">
        <v>4.2</v>
      </c>
      <c r="U409" s="401">
        <v>4.2</v>
      </c>
      <c r="V409" s="401">
        <v>4.2</v>
      </c>
      <c r="W409" s="401">
        <v>4.2</v>
      </c>
      <c r="X409" s="401">
        <v>4.2</v>
      </c>
      <c r="Y409" s="401">
        <v>4.2</v>
      </c>
      <c r="Z409" s="59">
        <v>0.3</v>
      </c>
      <c r="AA409" s="59">
        <v>0.3</v>
      </c>
      <c r="AB409" s="59">
        <v>0.35</v>
      </c>
      <c r="AC409" s="304">
        <v>0</v>
      </c>
      <c r="AD409" s="402">
        <v>0.6</v>
      </c>
      <c r="AE409" s="402">
        <v>0.6</v>
      </c>
      <c r="AF409" s="402">
        <v>0.6</v>
      </c>
      <c r="AG409" s="402">
        <v>0.6</v>
      </c>
      <c r="AH409" s="402">
        <v>0.6</v>
      </c>
      <c r="AI409" s="402">
        <v>0.6</v>
      </c>
      <c r="AJ409" s="402">
        <v>0.6</v>
      </c>
      <c r="AK409" s="402">
        <v>0.6</v>
      </c>
      <c r="AL409" s="260">
        <v>6480</v>
      </c>
      <c r="AM409" s="254">
        <f t="shared" si="60"/>
        <v>1944</v>
      </c>
      <c r="AN409" s="260">
        <v>3480</v>
      </c>
      <c r="AO409" s="254">
        <f t="shared" si="61"/>
        <v>1044</v>
      </c>
      <c r="AP409" s="271">
        <v>640</v>
      </c>
      <c r="AQ409" s="254">
        <f t="shared" si="62"/>
        <v>224</v>
      </c>
      <c r="AR409" s="256">
        <v>4000</v>
      </c>
      <c r="AS409" s="257">
        <f t="shared" si="63"/>
        <v>0</v>
      </c>
      <c r="AT409" s="382">
        <v>7720</v>
      </c>
      <c r="AU409" s="257">
        <f t="shared" si="64"/>
        <v>4632</v>
      </c>
      <c r="AV409" s="268">
        <v>2000</v>
      </c>
      <c r="AW409" s="257">
        <f t="shared" si="65"/>
        <v>1200</v>
      </c>
      <c r="AX409" s="268">
        <v>2000</v>
      </c>
      <c r="AY409" s="257">
        <f t="shared" si="66"/>
        <v>1200</v>
      </c>
      <c r="AZ409" s="268">
        <v>3000</v>
      </c>
      <c r="BA409" s="257">
        <f t="shared" si="67"/>
        <v>1800</v>
      </c>
      <c r="BB409" s="268">
        <v>2000</v>
      </c>
      <c r="BC409" s="257">
        <f t="shared" si="68"/>
        <v>1200</v>
      </c>
      <c r="BD409" s="268">
        <v>2000</v>
      </c>
      <c r="BE409" s="257">
        <f t="shared" si="69"/>
        <v>1200</v>
      </c>
      <c r="BF409" s="59">
        <v>5000</v>
      </c>
      <c r="BG409" s="257">
        <f t="shared" si="70"/>
        <v>3000</v>
      </c>
      <c r="BH409" s="59">
        <v>3000</v>
      </c>
      <c r="BI409" s="257">
        <f t="shared" si="71"/>
        <v>1800</v>
      </c>
      <c r="BJ409" s="1" t="s">
        <v>872</v>
      </c>
      <c r="BK409" s="1" t="s">
        <v>532</v>
      </c>
      <c r="BL409" s="1" t="s">
        <v>457</v>
      </c>
      <c r="BM409" s="378" t="s">
        <v>873</v>
      </c>
    </row>
    <row r="410" spans="1:65" ht="15.6">
      <c r="A410" s="250" t="s">
        <v>951</v>
      </c>
      <c r="B410" s="59" t="s">
        <v>221</v>
      </c>
      <c r="C410" s="354" t="s">
        <v>172</v>
      </c>
      <c r="D410" s="419"/>
      <c r="E410" s="281" t="s">
        <v>332</v>
      </c>
      <c r="F410" s="422"/>
      <c r="G410" s="317">
        <v>2023</v>
      </c>
      <c r="H410" s="323" t="s">
        <v>417</v>
      </c>
      <c r="I410" s="332" t="s">
        <v>183</v>
      </c>
      <c r="J410" s="331">
        <v>14</v>
      </c>
      <c r="K410" s="323" t="s">
        <v>210</v>
      </c>
      <c r="L410" s="323" t="s">
        <v>177</v>
      </c>
      <c r="M410" s="303" t="s">
        <v>474</v>
      </c>
      <c r="N410" s="303">
        <v>8.6</v>
      </c>
      <c r="O410" s="303">
        <v>8.6</v>
      </c>
      <c r="P410" s="303">
        <v>8.5</v>
      </c>
      <c r="Q410" s="303">
        <v>8.5</v>
      </c>
      <c r="R410" s="401">
        <v>9.1999999999999993</v>
      </c>
      <c r="S410" s="401">
        <v>9.1999999999999993</v>
      </c>
      <c r="T410" s="401">
        <v>9.1999999999999993</v>
      </c>
      <c r="U410" s="401">
        <v>9.1999999999999993</v>
      </c>
      <c r="V410" s="401">
        <v>9.1999999999999993</v>
      </c>
      <c r="W410" s="401">
        <v>9.1999999999999993</v>
      </c>
      <c r="X410" s="401">
        <v>9.1999999999999993</v>
      </c>
      <c r="Y410" s="401">
        <v>9.1999999999999993</v>
      </c>
      <c r="Z410" s="59">
        <v>1.3</v>
      </c>
      <c r="AA410" s="59">
        <v>1.3</v>
      </c>
      <c r="AB410" s="59">
        <v>1.2</v>
      </c>
      <c r="AC410" s="304">
        <v>0</v>
      </c>
      <c r="AD410" s="402">
        <v>1.3999999999999995</v>
      </c>
      <c r="AE410" s="402">
        <v>1.3999999999999995</v>
      </c>
      <c r="AF410" s="402">
        <v>1.3999999999999995</v>
      </c>
      <c r="AG410" s="402">
        <v>1.3999999999999995</v>
      </c>
      <c r="AH410" s="402">
        <v>1.3999999999999995</v>
      </c>
      <c r="AI410" s="402">
        <v>1.3999999999999995</v>
      </c>
      <c r="AJ410" s="402">
        <v>1.3999999999999995</v>
      </c>
      <c r="AK410" s="402">
        <v>1.3999999999999995</v>
      </c>
      <c r="AL410" s="260"/>
      <c r="AM410" s="254">
        <f t="shared" si="60"/>
        <v>0</v>
      </c>
      <c r="AN410" s="260"/>
      <c r="AO410" s="254">
        <f t="shared" si="61"/>
        <v>0</v>
      </c>
      <c r="AP410" s="271">
        <v>120</v>
      </c>
      <c r="AQ410" s="254">
        <f t="shared" si="62"/>
        <v>144</v>
      </c>
      <c r="AR410" s="256">
        <v>200</v>
      </c>
      <c r="AS410" s="257">
        <f t="shared" si="63"/>
        <v>0</v>
      </c>
      <c r="AT410" s="382">
        <v>240</v>
      </c>
      <c r="AU410" s="257">
        <f t="shared" si="64"/>
        <v>335.99999999999989</v>
      </c>
      <c r="AV410" s="268"/>
      <c r="AW410" s="257">
        <f t="shared" si="65"/>
        <v>0</v>
      </c>
      <c r="AX410" s="268"/>
      <c r="AY410" s="257">
        <f t="shared" si="66"/>
        <v>0</v>
      </c>
      <c r="AZ410" s="268"/>
      <c r="BA410" s="257">
        <f t="shared" si="67"/>
        <v>0</v>
      </c>
      <c r="BB410" s="268"/>
      <c r="BC410" s="257">
        <f t="shared" si="68"/>
        <v>0</v>
      </c>
      <c r="BD410" s="268"/>
      <c r="BE410" s="257">
        <f t="shared" si="69"/>
        <v>0</v>
      </c>
      <c r="BF410" s="59"/>
      <c r="BG410" s="257">
        <f t="shared" si="70"/>
        <v>0</v>
      </c>
      <c r="BH410" s="59"/>
      <c r="BI410" s="257">
        <f t="shared" si="71"/>
        <v>0</v>
      </c>
      <c r="BJ410" s="1" t="s">
        <v>874</v>
      </c>
      <c r="BK410" s="1" t="s">
        <v>532</v>
      </c>
      <c r="BL410" s="1" t="s">
        <v>457</v>
      </c>
      <c r="BM410" s="378" t="s">
        <v>875</v>
      </c>
    </row>
    <row r="411" spans="1:65" ht="15.6">
      <c r="A411" s="250" t="s">
        <v>951</v>
      </c>
      <c r="B411" s="59" t="s">
        <v>221</v>
      </c>
      <c r="C411" s="354" t="s">
        <v>172</v>
      </c>
      <c r="D411" s="419"/>
      <c r="E411" s="281" t="s">
        <v>332</v>
      </c>
      <c r="F411" s="422"/>
      <c r="G411" s="317">
        <v>2023</v>
      </c>
      <c r="H411" s="323" t="s">
        <v>417</v>
      </c>
      <c r="I411" s="327" t="s">
        <v>190</v>
      </c>
      <c r="J411" s="331">
        <v>14</v>
      </c>
      <c r="K411" s="323" t="s">
        <v>210</v>
      </c>
      <c r="L411" s="323" t="s">
        <v>177</v>
      </c>
      <c r="M411" s="303" t="s">
        <v>474</v>
      </c>
      <c r="N411" s="303">
        <v>5.2</v>
      </c>
      <c r="O411" s="303">
        <v>5.2</v>
      </c>
      <c r="P411" s="303">
        <v>5.2</v>
      </c>
      <c r="Q411" s="303">
        <v>5.2</v>
      </c>
      <c r="R411" s="401">
        <v>5.9</v>
      </c>
      <c r="S411" s="401">
        <v>5.9</v>
      </c>
      <c r="T411" s="401">
        <v>5.9</v>
      </c>
      <c r="U411" s="401">
        <v>5.9</v>
      </c>
      <c r="V411" s="401">
        <v>5.9</v>
      </c>
      <c r="W411" s="401">
        <v>5.9</v>
      </c>
      <c r="X411" s="401">
        <v>5.9</v>
      </c>
      <c r="Y411" s="401">
        <v>5.9</v>
      </c>
      <c r="Z411" s="59">
        <v>0.3</v>
      </c>
      <c r="AA411" s="59">
        <v>0.3</v>
      </c>
      <c r="AB411" s="59">
        <v>0.3</v>
      </c>
      <c r="AC411" s="304">
        <v>0</v>
      </c>
      <c r="AD411" s="402">
        <v>0.5</v>
      </c>
      <c r="AE411" s="402">
        <v>0.5</v>
      </c>
      <c r="AF411" s="402">
        <v>0.5</v>
      </c>
      <c r="AG411" s="402">
        <v>0.5</v>
      </c>
      <c r="AH411" s="402">
        <v>0.5</v>
      </c>
      <c r="AI411" s="402">
        <v>0.5</v>
      </c>
      <c r="AJ411" s="402">
        <v>0.5</v>
      </c>
      <c r="AK411" s="402">
        <v>0.5</v>
      </c>
      <c r="AL411" s="260">
        <v>3720</v>
      </c>
      <c r="AM411" s="254">
        <f t="shared" si="60"/>
        <v>1116</v>
      </c>
      <c r="AN411" s="260">
        <v>320</v>
      </c>
      <c r="AO411" s="254">
        <f t="shared" si="61"/>
        <v>96</v>
      </c>
      <c r="AP411" s="260">
        <v>880</v>
      </c>
      <c r="AQ411" s="254">
        <f t="shared" si="62"/>
        <v>264</v>
      </c>
      <c r="AR411" s="260">
        <v>40</v>
      </c>
      <c r="AS411" s="257">
        <f t="shared" si="63"/>
        <v>0</v>
      </c>
      <c r="AT411" s="260">
        <v>2079</v>
      </c>
      <c r="AU411" s="257">
        <f t="shared" si="64"/>
        <v>1039.5</v>
      </c>
      <c r="AV411" s="260">
        <v>3000</v>
      </c>
      <c r="AW411" s="257">
        <f t="shared" si="65"/>
        <v>1500</v>
      </c>
      <c r="AX411" s="260">
        <v>3000</v>
      </c>
      <c r="AY411" s="257">
        <f t="shared" si="66"/>
        <v>1500</v>
      </c>
      <c r="AZ411" s="260">
        <v>3000</v>
      </c>
      <c r="BA411" s="257">
        <f t="shared" si="67"/>
        <v>1500</v>
      </c>
      <c r="BB411" s="260">
        <v>3000</v>
      </c>
      <c r="BC411" s="257">
        <f t="shared" si="68"/>
        <v>1500</v>
      </c>
      <c r="BD411" s="260">
        <v>3000</v>
      </c>
      <c r="BE411" s="257">
        <f t="shared" si="69"/>
        <v>1500</v>
      </c>
      <c r="BF411" s="260">
        <v>3000</v>
      </c>
      <c r="BG411" s="257">
        <f t="shared" si="70"/>
        <v>1500</v>
      </c>
      <c r="BH411" s="260">
        <v>3000</v>
      </c>
      <c r="BI411" s="257">
        <f t="shared" si="71"/>
        <v>1500</v>
      </c>
      <c r="BJ411" s="1" t="s">
        <v>876</v>
      </c>
      <c r="BK411" s="1" t="s">
        <v>532</v>
      </c>
      <c r="BL411" s="1" t="s">
        <v>457</v>
      </c>
      <c r="BM411" s="378" t="s">
        <v>877</v>
      </c>
    </row>
    <row r="412" spans="1:65" ht="15.6">
      <c r="A412" s="250" t="s">
        <v>951</v>
      </c>
      <c r="B412" s="59" t="s">
        <v>221</v>
      </c>
      <c r="C412" s="354" t="s">
        <v>172</v>
      </c>
      <c r="D412" s="419"/>
      <c r="E412" s="281" t="s">
        <v>332</v>
      </c>
      <c r="F412" s="422"/>
      <c r="G412" s="317">
        <v>2023</v>
      </c>
      <c r="H412" s="323" t="s">
        <v>417</v>
      </c>
      <c r="I412" s="332" t="s">
        <v>183</v>
      </c>
      <c r="J412" s="331">
        <v>14</v>
      </c>
      <c r="K412" s="328" t="s">
        <v>243</v>
      </c>
      <c r="L412" s="323" t="s">
        <v>177</v>
      </c>
      <c r="M412" s="303" t="s">
        <v>474</v>
      </c>
      <c r="N412" s="303">
        <v>7.9</v>
      </c>
      <c r="O412" s="303">
        <v>7.9</v>
      </c>
      <c r="P412" s="303">
        <v>7.8</v>
      </c>
      <c r="Q412" s="303">
        <v>7.8</v>
      </c>
      <c r="R412" s="401">
        <v>8.5</v>
      </c>
      <c r="S412" s="401">
        <v>8.5</v>
      </c>
      <c r="T412" s="401">
        <v>8.5</v>
      </c>
      <c r="U412" s="401">
        <v>8.5</v>
      </c>
      <c r="V412" s="401">
        <v>8.5</v>
      </c>
      <c r="W412" s="401">
        <v>8.5</v>
      </c>
      <c r="X412" s="401">
        <v>8.5</v>
      </c>
      <c r="Y412" s="401">
        <v>8.5</v>
      </c>
      <c r="Z412" s="59">
        <v>0.65</v>
      </c>
      <c r="AA412" s="59">
        <v>0.65</v>
      </c>
      <c r="AB412" s="59">
        <v>0.7</v>
      </c>
      <c r="AC412" s="304">
        <v>0</v>
      </c>
      <c r="AD412" s="402">
        <v>0.90000000000000036</v>
      </c>
      <c r="AE412" s="402">
        <v>0.90000000000000036</v>
      </c>
      <c r="AF412" s="402">
        <v>0.90000000000000036</v>
      </c>
      <c r="AG412" s="402">
        <v>0.90000000000000036</v>
      </c>
      <c r="AH412" s="402">
        <v>0.90000000000000036</v>
      </c>
      <c r="AI412" s="402">
        <v>0.90000000000000036</v>
      </c>
      <c r="AJ412" s="402">
        <v>0.90000000000000036</v>
      </c>
      <c r="AK412" s="402">
        <v>0.90000000000000036</v>
      </c>
      <c r="AL412" s="260">
        <v>27439</v>
      </c>
      <c r="AM412" s="254">
        <f t="shared" si="60"/>
        <v>17835.350000000002</v>
      </c>
      <c r="AN412" s="260">
        <v>14440</v>
      </c>
      <c r="AO412" s="254">
        <f t="shared" si="61"/>
        <v>9386</v>
      </c>
      <c r="AP412" s="260">
        <v>3200</v>
      </c>
      <c r="AQ412" s="254">
        <f t="shared" si="62"/>
        <v>2240</v>
      </c>
      <c r="AR412" s="260">
        <v>15000</v>
      </c>
      <c r="AS412" s="257">
        <f t="shared" si="63"/>
        <v>0</v>
      </c>
      <c r="AT412" s="260">
        <v>16400</v>
      </c>
      <c r="AU412" s="257">
        <f t="shared" si="64"/>
        <v>14760.000000000005</v>
      </c>
      <c r="AV412" s="260">
        <v>6000</v>
      </c>
      <c r="AW412" s="257">
        <f t="shared" si="65"/>
        <v>5400.0000000000018</v>
      </c>
      <c r="AX412" s="260">
        <v>6000</v>
      </c>
      <c r="AY412" s="257">
        <f t="shared" si="66"/>
        <v>5400.0000000000018</v>
      </c>
      <c r="AZ412" s="268">
        <v>10000</v>
      </c>
      <c r="BA412" s="257">
        <f t="shared" si="67"/>
        <v>9000.0000000000036</v>
      </c>
      <c r="BB412" s="260">
        <v>6000</v>
      </c>
      <c r="BC412" s="257">
        <f t="shared" si="68"/>
        <v>5400.0000000000018</v>
      </c>
      <c r="BD412" s="260">
        <v>6000</v>
      </c>
      <c r="BE412" s="257">
        <f t="shared" si="69"/>
        <v>5400.0000000000018</v>
      </c>
      <c r="BF412" s="59">
        <v>10000</v>
      </c>
      <c r="BG412" s="257">
        <f t="shared" si="70"/>
        <v>9000.0000000000036</v>
      </c>
      <c r="BH412" s="59">
        <v>6000</v>
      </c>
      <c r="BI412" s="257">
        <f t="shared" si="71"/>
        <v>5400.0000000000018</v>
      </c>
      <c r="BJ412" s="1" t="s">
        <v>878</v>
      </c>
      <c r="BK412" s="1" t="s">
        <v>532</v>
      </c>
      <c r="BL412" s="1" t="s">
        <v>457</v>
      </c>
      <c r="BM412" s="378" t="s">
        <v>879</v>
      </c>
    </row>
    <row r="413" spans="1:65" ht="15.6">
      <c r="A413" s="250" t="s">
        <v>951</v>
      </c>
      <c r="B413" s="59" t="s">
        <v>221</v>
      </c>
      <c r="C413" s="354" t="s">
        <v>172</v>
      </c>
      <c r="D413" s="419"/>
      <c r="E413" s="281" t="s">
        <v>332</v>
      </c>
      <c r="F413" s="422"/>
      <c r="G413" s="317">
        <v>2023</v>
      </c>
      <c r="H413" s="323" t="s">
        <v>417</v>
      </c>
      <c r="I413" s="327" t="s">
        <v>190</v>
      </c>
      <c r="J413" s="331">
        <v>14</v>
      </c>
      <c r="K413" s="328" t="s">
        <v>243</v>
      </c>
      <c r="L413" s="323" t="s">
        <v>177</v>
      </c>
      <c r="M413" s="303" t="s">
        <v>474</v>
      </c>
      <c r="N413" s="303">
        <v>3.5</v>
      </c>
      <c r="O413" s="303">
        <v>3.5</v>
      </c>
      <c r="P413" s="303">
        <v>3.45</v>
      </c>
      <c r="Q413" s="303">
        <v>3.45</v>
      </c>
      <c r="R413" s="401">
        <v>4.2</v>
      </c>
      <c r="S413" s="401">
        <v>4.2</v>
      </c>
      <c r="T413" s="401">
        <v>4.2</v>
      </c>
      <c r="U413" s="401">
        <v>4.2</v>
      </c>
      <c r="V413" s="401">
        <v>4.2</v>
      </c>
      <c r="W413" s="401">
        <v>4.2</v>
      </c>
      <c r="X413" s="401">
        <v>4.2</v>
      </c>
      <c r="Y413" s="401">
        <v>4.2</v>
      </c>
      <c r="Z413" s="59">
        <v>0.3</v>
      </c>
      <c r="AA413" s="59">
        <v>0.3</v>
      </c>
      <c r="AB413" s="59">
        <v>0.35</v>
      </c>
      <c r="AC413" s="304">
        <v>0</v>
      </c>
      <c r="AD413" s="402">
        <v>0.60000000000000009</v>
      </c>
      <c r="AE413" s="402">
        <v>0.60000000000000009</v>
      </c>
      <c r="AF413" s="402">
        <v>0.60000000000000009</v>
      </c>
      <c r="AG413" s="402">
        <v>0.60000000000000009</v>
      </c>
      <c r="AH413" s="402">
        <v>0.60000000000000009</v>
      </c>
      <c r="AI413" s="402">
        <v>0.60000000000000009</v>
      </c>
      <c r="AJ413" s="402">
        <v>0.60000000000000009</v>
      </c>
      <c r="AK413" s="402">
        <v>0.60000000000000009</v>
      </c>
      <c r="AL413" s="260">
        <v>24359</v>
      </c>
      <c r="AM413" s="254">
        <f t="shared" si="60"/>
        <v>7307.7</v>
      </c>
      <c r="AN413" s="260">
        <v>12240</v>
      </c>
      <c r="AO413" s="254">
        <f t="shared" si="61"/>
        <v>3672</v>
      </c>
      <c r="AP413" s="271">
        <v>9920</v>
      </c>
      <c r="AQ413" s="254">
        <f t="shared" si="62"/>
        <v>3472</v>
      </c>
      <c r="AR413" s="256">
        <v>6280</v>
      </c>
      <c r="AS413" s="257">
        <f t="shared" si="63"/>
        <v>0</v>
      </c>
      <c r="AT413" s="382">
        <v>4440</v>
      </c>
      <c r="AU413" s="257">
        <f t="shared" si="64"/>
        <v>2664.0000000000005</v>
      </c>
      <c r="AV413" s="268">
        <v>6000</v>
      </c>
      <c r="AW413" s="257">
        <f t="shared" si="65"/>
        <v>3600.0000000000005</v>
      </c>
      <c r="AX413" s="260">
        <v>6000</v>
      </c>
      <c r="AY413" s="257">
        <f t="shared" si="66"/>
        <v>3600.0000000000005</v>
      </c>
      <c r="AZ413" s="268">
        <v>10000</v>
      </c>
      <c r="BA413" s="257">
        <f t="shared" si="67"/>
        <v>6000.0000000000009</v>
      </c>
      <c r="BB413" s="260">
        <v>6000</v>
      </c>
      <c r="BC413" s="257">
        <f t="shared" si="68"/>
        <v>3600.0000000000005</v>
      </c>
      <c r="BD413" s="260">
        <v>6000</v>
      </c>
      <c r="BE413" s="257">
        <f t="shared" si="69"/>
        <v>3600.0000000000005</v>
      </c>
      <c r="BF413" s="59">
        <v>10000</v>
      </c>
      <c r="BG413" s="257">
        <f t="shared" si="70"/>
        <v>6000.0000000000009</v>
      </c>
      <c r="BH413" s="59"/>
      <c r="BI413" s="257">
        <f t="shared" si="71"/>
        <v>0</v>
      </c>
      <c r="BJ413" s="1" t="s">
        <v>880</v>
      </c>
      <c r="BK413" s="1" t="s">
        <v>532</v>
      </c>
      <c r="BL413" s="1" t="s">
        <v>457</v>
      </c>
      <c r="BM413" s="378" t="s">
        <v>881</v>
      </c>
    </row>
    <row r="414" spans="1:65" ht="15.6">
      <c r="A414" s="250" t="s">
        <v>951</v>
      </c>
      <c r="B414" s="59" t="s">
        <v>221</v>
      </c>
      <c r="C414" s="354" t="s">
        <v>172</v>
      </c>
      <c r="D414" s="419"/>
      <c r="E414" s="281" t="s">
        <v>332</v>
      </c>
      <c r="F414" s="422"/>
      <c r="G414" s="317">
        <v>2023</v>
      </c>
      <c r="H414" s="323" t="s">
        <v>417</v>
      </c>
      <c r="I414" s="327" t="s">
        <v>190</v>
      </c>
      <c r="J414" s="331">
        <v>14</v>
      </c>
      <c r="K414" s="323" t="s">
        <v>245</v>
      </c>
      <c r="L414" s="323" t="s">
        <v>177</v>
      </c>
      <c r="M414" s="303" t="s">
        <v>474</v>
      </c>
      <c r="N414" s="303">
        <v>3.5</v>
      </c>
      <c r="O414" s="303">
        <v>3.5</v>
      </c>
      <c r="P414" s="303">
        <v>3.45</v>
      </c>
      <c r="Q414" s="303">
        <v>3.45</v>
      </c>
      <c r="R414" s="401">
        <v>4.2</v>
      </c>
      <c r="S414" s="401">
        <v>4.2</v>
      </c>
      <c r="T414" s="401">
        <v>4.2</v>
      </c>
      <c r="U414" s="401">
        <v>4.2</v>
      </c>
      <c r="V414" s="401">
        <v>4.2</v>
      </c>
      <c r="W414" s="401">
        <v>4.2</v>
      </c>
      <c r="X414" s="401">
        <v>4.2</v>
      </c>
      <c r="Y414" s="401">
        <v>4.2</v>
      </c>
      <c r="Z414" s="59">
        <v>0.3</v>
      </c>
      <c r="AA414" s="59">
        <v>0.3</v>
      </c>
      <c r="AB414" s="59">
        <v>0.35</v>
      </c>
      <c r="AC414" s="304">
        <v>0</v>
      </c>
      <c r="AD414" s="402">
        <v>0.60000000000000009</v>
      </c>
      <c r="AE414" s="402">
        <v>0.60000000000000009</v>
      </c>
      <c r="AF414" s="402">
        <v>0.60000000000000009</v>
      </c>
      <c r="AG414" s="402">
        <v>0.60000000000000009</v>
      </c>
      <c r="AH414" s="402">
        <v>0.60000000000000009</v>
      </c>
      <c r="AI414" s="402">
        <v>0.60000000000000009</v>
      </c>
      <c r="AJ414" s="402">
        <v>0.60000000000000009</v>
      </c>
      <c r="AK414" s="402">
        <v>0.60000000000000009</v>
      </c>
      <c r="AL414" s="260"/>
      <c r="AM414" s="254">
        <f t="shared" si="60"/>
        <v>0</v>
      </c>
      <c r="AN414" s="260"/>
      <c r="AO414" s="254">
        <f t="shared" si="61"/>
        <v>0</v>
      </c>
      <c r="AP414" s="274"/>
      <c r="AQ414" s="254">
        <f t="shared" si="62"/>
        <v>0</v>
      </c>
      <c r="AR414" s="256"/>
      <c r="AS414" s="257">
        <f t="shared" si="63"/>
        <v>0</v>
      </c>
      <c r="AT414" s="382"/>
      <c r="AU414" s="257">
        <f t="shared" si="64"/>
        <v>0</v>
      </c>
      <c r="AV414" s="268"/>
      <c r="AW414" s="257">
        <f t="shared" si="65"/>
        <v>0</v>
      </c>
      <c r="AX414" s="268"/>
      <c r="AY414" s="257">
        <f t="shared" si="66"/>
        <v>0</v>
      </c>
      <c r="AZ414" s="268"/>
      <c r="BA414" s="257">
        <f t="shared" si="67"/>
        <v>0</v>
      </c>
      <c r="BB414" s="268"/>
      <c r="BC414" s="257">
        <f t="shared" si="68"/>
        <v>0</v>
      </c>
      <c r="BD414" s="268"/>
      <c r="BE414" s="257">
        <f t="shared" si="69"/>
        <v>0</v>
      </c>
      <c r="BF414" s="59"/>
      <c r="BG414" s="257">
        <f t="shared" si="70"/>
        <v>0</v>
      </c>
      <c r="BH414" s="59"/>
      <c r="BI414" s="257">
        <f t="shared" si="71"/>
        <v>0</v>
      </c>
      <c r="BJ414" s="1" t="s">
        <v>882</v>
      </c>
      <c r="BK414" s="1" t="s">
        <v>532</v>
      </c>
      <c r="BL414" s="1" t="s">
        <v>457</v>
      </c>
      <c r="BM414" s="378" t="s">
        <v>883</v>
      </c>
    </row>
    <row r="415" spans="1:65" ht="15.6">
      <c r="A415" s="250" t="s">
        <v>951</v>
      </c>
      <c r="B415" s="59" t="s">
        <v>221</v>
      </c>
      <c r="C415" s="354" t="s">
        <v>172</v>
      </c>
      <c r="D415" s="419"/>
      <c r="E415" s="281" t="s">
        <v>332</v>
      </c>
      <c r="F415" s="422"/>
      <c r="G415" s="317">
        <v>2023</v>
      </c>
      <c r="H415" s="323" t="s">
        <v>417</v>
      </c>
      <c r="I415" s="327" t="s">
        <v>190</v>
      </c>
      <c r="J415" s="331">
        <v>14</v>
      </c>
      <c r="K415" s="323" t="s">
        <v>884</v>
      </c>
      <c r="L415" s="323" t="s">
        <v>177</v>
      </c>
      <c r="M415" s="303" t="s">
        <v>474</v>
      </c>
      <c r="N415" s="303">
        <v>3.5</v>
      </c>
      <c r="O415" s="303">
        <v>3.5</v>
      </c>
      <c r="P415" s="303">
        <v>3.45</v>
      </c>
      <c r="Q415" s="303">
        <v>3.45</v>
      </c>
      <c r="R415" s="401">
        <v>4.2</v>
      </c>
      <c r="S415" s="401">
        <v>4.2</v>
      </c>
      <c r="T415" s="401">
        <v>4.2</v>
      </c>
      <c r="U415" s="401">
        <v>4.2</v>
      </c>
      <c r="V415" s="401">
        <v>4.2</v>
      </c>
      <c r="W415" s="401">
        <v>4.2</v>
      </c>
      <c r="X415" s="401">
        <v>4.2</v>
      </c>
      <c r="Y415" s="401">
        <v>4.2</v>
      </c>
      <c r="Z415" s="59">
        <v>0.3</v>
      </c>
      <c r="AA415" s="59">
        <v>0.3</v>
      </c>
      <c r="AB415" s="59">
        <v>0.35</v>
      </c>
      <c r="AC415" s="304">
        <v>0</v>
      </c>
      <c r="AD415" s="402">
        <v>0.60000000000000009</v>
      </c>
      <c r="AE415" s="402">
        <v>0.60000000000000009</v>
      </c>
      <c r="AF415" s="402">
        <v>0.60000000000000009</v>
      </c>
      <c r="AG415" s="402">
        <v>0.60000000000000009</v>
      </c>
      <c r="AH415" s="402">
        <v>0.60000000000000009</v>
      </c>
      <c r="AI415" s="402">
        <v>0.60000000000000009</v>
      </c>
      <c r="AJ415" s="402">
        <v>0.60000000000000009</v>
      </c>
      <c r="AK415" s="402">
        <v>0.60000000000000009</v>
      </c>
      <c r="AL415" s="260"/>
      <c r="AM415" s="254">
        <f t="shared" si="60"/>
        <v>0</v>
      </c>
      <c r="AN415" s="260"/>
      <c r="AO415" s="254">
        <f t="shared" si="61"/>
        <v>0</v>
      </c>
      <c r="AP415" s="274"/>
      <c r="AQ415" s="254">
        <f t="shared" si="62"/>
        <v>0</v>
      </c>
      <c r="AR415" s="256"/>
      <c r="AS415" s="257">
        <f t="shared" si="63"/>
        <v>0</v>
      </c>
      <c r="AT415" s="382"/>
      <c r="AU415" s="257">
        <f t="shared" si="64"/>
        <v>0</v>
      </c>
      <c r="AV415" s="268"/>
      <c r="AW415" s="257">
        <f t="shared" si="65"/>
        <v>0</v>
      </c>
      <c r="AX415" s="268"/>
      <c r="AY415" s="257">
        <f t="shared" si="66"/>
        <v>0</v>
      </c>
      <c r="AZ415" s="268"/>
      <c r="BA415" s="257">
        <f t="shared" si="67"/>
        <v>0</v>
      </c>
      <c r="BB415" s="268"/>
      <c r="BC415" s="257">
        <f t="shared" si="68"/>
        <v>0</v>
      </c>
      <c r="BD415" s="268"/>
      <c r="BE415" s="257">
        <f t="shared" si="69"/>
        <v>0</v>
      </c>
      <c r="BF415" s="59"/>
      <c r="BG415" s="257">
        <f t="shared" si="70"/>
        <v>0</v>
      </c>
      <c r="BH415" s="59"/>
      <c r="BI415" s="257">
        <f t="shared" si="71"/>
        <v>0</v>
      </c>
      <c r="BJ415" s="1" t="s">
        <v>885</v>
      </c>
      <c r="BK415" s="1" t="s">
        <v>532</v>
      </c>
      <c r="BL415" s="1" t="s">
        <v>457</v>
      </c>
      <c r="BM415" s="378" t="s">
        <v>886</v>
      </c>
    </row>
    <row r="416" spans="1:65" ht="15.6">
      <c r="A416" s="250" t="s">
        <v>951</v>
      </c>
      <c r="B416" s="59" t="s">
        <v>221</v>
      </c>
      <c r="C416" s="354" t="s">
        <v>172</v>
      </c>
      <c r="D416" s="419"/>
      <c r="E416" s="281" t="s">
        <v>332</v>
      </c>
      <c r="F416" s="422"/>
      <c r="G416" s="317">
        <v>2023</v>
      </c>
      <c r="H416" s="323" t="s">
        <v>417</v>
      </c>
      <c r="I416" s="327" t="s">
        <v>190</v>
      </c>
      <c r="J416" s="331">
        <v>14</v>
      </c>
      <c r="K416" s="323" t="s">
        <v>637</v>
      </c>
      <c r="L416" s="323" t="s">
        <v>464</v>
      </c>
      <c r="M416" s="303" t="s">
        <v>513</v>
      </c>
      <c r="N416" s="303">
        <v>3.5</v>
      </c>
      <c r="O416" s="303">
        <v>3.5</v>
      </c>
      <c r="P416" s="303">
        <v>3.45</v>
      </c>
      <c r="Q416" s="303">
        <v>3.45</v>
      </c>
      <c r="R416" s="401">
        <v>4.2</v>
      </c>
      <c r="S416" s="401">
        <v>4.2</v>
      </c>
      <c r="T416" s="401">
        <v>4.2</v>
      </c>
      <c r="U416" s="401">
        <v>4.2</v>
      </c>
      <c r="V416" s="401">
        <v>4.2</v>
      </c>
      <c r="W416" s="401">
        <v>4.2</v>
      </c>
      <c r="X416" s="401">
        <v>4.2</v>
      </c>
      <c r="Y416" s="401">
        <v>4.2</v>
      </c>
      <c r="Z416" s="59">
        <v>0.3</v>
      </c>
      <c r="AA416" s="59">
        <v>0.3</v>
      </c>
      <c r="AB416" s="59">
        <v>0.35</v>
      </c>
      <c r="AC416" s="304">
        <v>0</v>
      </c>
      <c r="AD416" s="402">
        <v>0.6</v>
      </c>
      <c r="AE416" s="402">
        <v>0.6</v>
      </c>
      <c r="AF416" s="402">
        <v>0.6</v>
      </c>
      <c r="AG416" s="402">
        <v>0.6</v>
      </c>
      <c r="AH416" s="402">
        <v>0.6</v>
      </c>
      <c r="AI416" s="402">
        <v>0.6</v>
      </c>
      <c r="AJ416" s="402">
        <v>0.6</v>
      </c>
      <c r="AK416" s="402">
        <v>0.6</v>
      </c>
      <c r="AL416" s="260">
        <v>11240</v>
      </c>
      <c r="AM416" s="254">
        <f t="shared" si="60"/>
        <v>3372</v>
      </c>
      <c r="AN416" s="260">
        <v>93360</v>
      </c>
      <c r="AO416" s="254">
        <f t="shared" si="61"/>
        <v>28008</v>
      </c>
      <c r="AP416" s="271">
        <v>12760</v>
      </c>
      <c r="AQ416" s="254">
        <f t="shared" si="62"/>
        <v>4466</v>
      </c>
      <c r="AR416" s="256"/>
      <c r="AS416" s="257">
        <f t="shared" si="63"/>
        <v>0</v>
      </c>
      <c r="AT416" s="382"/>
      <c r="AU416" s="257">
        <f t="shared" si="64"/>
        <v>0</v>
      </c>
      <c r="AV416" s="268"/>
      <c r="AW416" s="257">
        <f t="shared" si="65"/>
        <v>0</v>
      </c>
      <c r="AX416" s="268"/>
      <c r="AY416" s="257">
        <f t="shared" si="66"/>
        <v>0</v>
      </c>
      <c r="AZ416" s="268"/>
      <c r="BA416" s="257">
        <f t="shared" si="67"/>
        <v>0</v>
      </c>
      <c r="BB416" s="268"/>
      <c r="BC416" s="257">
        <f t="shared" si="68"/>
        <v>0</v>
      </c>
      <c r="BD416" s="268"/>
      <c r="BE416" s="257">
        <f t="shared" si="69"/>
        <v>0</v>
      </c>
      <c r="BF416" s="59"/>
      <c r="BG416" s="257">
        <f t="shared" si="70"/>
        <v>0</v>
      </c>
      <c r="BH416" s="59"/>
      <c r="BI416" s="257">
        <f t="shared" si="71"/>
        <v>0</v>
      </c>
      <c r="BJ416" s="1" t="s">
        <v>860</v>
      </c>
      <c r="BL416" s="1" t="s">
        <v>457</v>
      </c>
      <c r="BM416" s="378" t="s">
        <v>861</v>
      </c>
    </row>
    <row r="417" spans="1:65" ht="15.6">
      <c r="A417" s="250" t="s">
        <v>951</v>
      </c>
      <c r="B417" s="59" t="s">
        <v>221</v>
      </c>
      <c r="C417" s="354" t="s">
        <v>172</v>
      </c>
      <c r="D417" s="419"/>
      <c r="E417" s="281" t="s">
        <v>332</v>
      </c>
      <c r="F417" s="422"/>
      <c r="G417" s="317">
        <v>2023</v>
      </c>
      <c r="H417" s="323" t="s">
        <v>417</v>
      </c>
      <c r="I417" s="332" t="s">
        <v>183</v>
      </c>
      <c r="J417" s="331">
        <v>14</v>
      </c>
      <c r="K417" s="323" t="s">
        <v>210</v>
      </c>
      <c r="L417" s="323" t="s">
        <v>464</v>
      </c>
      <c r="M417" s="303" t="s">
        <v>513</v>
      </c>
      <c r="N417" s="303">
        <v>8.6</v>
      </c>
      <c r="O417" s="303">
        <v>8.6</v>
      </c>
      <c r="P417" s="303">
        <v>8.5</v>
      </c>
      <c r="Q417" s="303">
        <v>8.5</v>
      </c>
      <c r="R417" s="401">
        <v>9.1999999999999993</v>
      </c>
      <c r="S417" s="401">
        <v>9.1999999999999993</v>
      </c>
      <c r="T417" s="401">
        <v>9.1999999999999993</v>
      </c>
      <c r="U417" s="401">
        <v>9.1999999999999993</v>
      </c>
      <c r="V417" s="401">
        <v>9.1999999999999993</v>
      </c>
      <c r="W417" s="401">
        <v>9.1999999999999993</v>
      </c>
      <c r="X417" s="401">
        <v>9.1999999999999993</v>
      </c>
      <c r="Y417" s="401">
        <v>9.1999999999999993</v>
      </c>
      <c r="Z417" s="59">
        <v>1.3</v>
      </c>
      <c r="AA417" s="59">
        <v>1.3</v>
      </c>
      <c r="AB417" s="59">
        <v>1.2</v>
      </c>
      <c r="AC417" s="304">
        <v>0</v>
      </c>
      <c r="AD417" s="402">
        <v>1.3999999999999995</v>
      </c>
      <c r="AE417" s="402">
        <v>1.3999999999999995</v>
      </c>
      <c r="AF417" s="402">
        <v>1.3999999999999995</v>
      </c>
      <c r="AG417" s="402">
        <v>1.3999999999999995</v>
      </c>
      <c r="AH417" s="402">
        <v>1.3999999999999995</v>
      </c>
      <c r="AI417" s="402">
        <v>1.3999999999999995</v>
      </c>
      <c r="AJ417" s="402">
        <v>1.3999999999999995</v>
      </c>
      <c r="AK417" s="402">
        <v>1.3999999999999995</v>
      </c>
      <c r="AL417" s="260"/>
      <c r="AM417" s="254">
        <f t="shared" si="60"/>
        <v>0</v>
      </c>
      <c r="AN417" s="260"/>
      <c r="AO417" s="254">
        <f t="shared" si="61"/>
        <v>0</v>
      </c>
      <c r="AP417" s="260"/>
      <c r="AQ417" s="254">
        <f t="shared" si="62"/>
        <v>0</v>
      </c>
      <c r="AR417" s="260"/>
      <c r="AS417" s="257">
        <f t="shared" si="63"/>
        <v>0</v>
      </c>
      <c r="AT417" s="383"/>
      <c r="AU417" s="257">
        <f t="shared" si="64"/>
        <v>0</v>
      </c>
      <c r="AV417" s="268"/>
      <c r="AW417" s="257">
        <f t="shared" si="65"/>
        <v>0</v>
      </c>
      <c r="AX417" s="270"/>
      <c r="AY417" s="257">
        <f t="shared" si="66"/>
        <v>0</v>
      </c>
      <c r="AZ417" s="270"/>
      <c r="BA417" s="257">
        <f t="shared" si="67"/>
        <v>0</v>
      </c>
      <c r="BB417" s="268"/>
      <c r="BC417" s="257">
        <f t="shared" si="68"/>
        <v>0</v>
      </c>
      <c r="BD417" s="268"/>
      <c r="BE417" s="257">
        <f t="shared" si="69"/>
        <v>0</v>
      </c>
      <c r="BF417" s="256"/>
      <c r="BG417" s="257">
        <f t="shared" si="70"/>
        <v>0</v>
      </c>
      <c r="BH417" s="256"/>
      <c r="BI417" s="257">
        <f t="shared" si="71"/>
        <v>0</v>
      </c>
      <c r="BJ417" s="1" t="s">
        <v>862</v>
      </c>
      <c r="BL417" s="1" t="s">
        <v>457</v>
      </c>
      <c r="BM417" s="378" t="s">
        <v>863</v>
      </c>
    </row>
    <row r="418" spans="1:65" ht="15.6">
      <c r="A418" s="250" t="s">
        <v>951</v>
      </c>
      <c r="B418" s="59" t="s">
        <v>221</v>
      </c>
      <c r="C418" s="354" t="s">
        <v>172</v>
      </c>
      <c r="D418" s="419"/>
      <c r="E418" s="281" t="s">
        <v>332</v>
      </c>
      <c r="F418" s="422"/>
      <c r="G418" s="317">
        <v>2023</v>
      </c>
      <c r="H418" s="323" t="s">
        <v>417</v>
      </c>
      <c r="I418" s="327" t="s">
        <v>190</v>
      </c>
      <c r="J418" s="331">
        <v>14</v>
      </c>
      <c r="K418" s="323" t="s">
        <v>210</v>
      </c>
      <c r="L418" s="323" t="s">
        <v>464</v>
      </c>
      <c r="M418" s="303" t="s">
        <v>513</v>
      </c>
      <c r="N418" s="303">
        <v>5.2</v>
      </c>
      <c r="O418" s="303">
        <v>5.2</v>
      </c>
      <c r="P418" s="303">
        <v>5.2</v>
      </c>
      <c r="Q418" s="303">
        <v>5.2</v>
      </c>
      <c r="R418" s="401">
        <v>5.9</v>
      </c>
      <c r="S418" s="401">
        <v>5.9</v>
      </c>
      <c r="T418" s="401">
        <v>5.9</v>
      </c>
      <c r="U418" s="401">
        <v>5.9</v>
      </c>
      <c r="V418" s="401">
        <v>5.9</v>
      </c>
      <c r="W418" s="401">
        <v>5.9</v>
      </c>
      <c r="X418" s="401">
        <v>5.9</v>
      </c>
      <c r="Y418" s="401">
        <v>5.9</v>
      </c>
      <c r="Z418" s="59">
        <v>0.3</v>
      </c>
      <c r="AA418" s="59">
        <v>0.3</v>
      </c>
      <c r="AB418" s="59">
        <v>0.3</v>
      </c>
      <c r="AC418" s="304">
        <v>0</v>
      </c>
      <c r="AD418" s="402">
        <v>0.5</v>
      </c>
      <c r="AE418" s="402">
        <v>0.5</v>
      </c>
      <c r="AF418" s="402">
        <v>0.5</v>
      </c>
      <c r="AG418" s="402">
        <v>0.5</v>
      </c>
      <c r="AH418" s="402">
        <v>0.5</v>
      </c>
      <c r="AI418" s="402">
        <v>0.5</v>
      </c>
      <c r="AJ418" s="402">
        <v>0.5</v>
      </c>
      <c r="AK418" s="402">
        <v>0.5</v>
      </c>
      <c r="AL418" s="260"/>
      <c r="AM418" s="254">
        <f t="shared" si="60"/>
        <v>0</v>
      </c>
      <c r="AN418" s="260"/>
      <c r="AO418" s="254">
        <f t="shared" si="61"/>
        <v>0</v>
      </c>
      <c r="AP418" s="260"/>
      <c r="AQ418" s="254">
        <f t="shared" si="62"/>
        <v>0</v>
      </c>
      <c r="AR418" s="260"/>
      <c r="AS418" s="257">
        <f t="shared" si="63"/>
        <v>0</v>
      </c>
      <c r="AT418" s="383"/>
      <c r="AU418" s="257">
        <f t="shared" si="64"/>
        <v>0</v>
      </c>
      <c r="AV418" s="268"/>
      <c r="AW418" s="257">
        <f t="shared" si="65"/>
        <v>0</v>
      </c>
      <c r="AX418" s="270"/>
      <c r="AY418" s="257">
        <f t="shared" si="66"/>
        <v>0</v>
      </c>
      <c r="AZ418" s="270"/>
      <c r="BA418" s="257">
        <f t="shared" si="67"/>
        <v>0</v>
      </c>
      <c r="BB418" s="268"/>
      <c r="BC418" s="257">
        <f t="shared" si="68"/>
        <v>0</v>
      </c>
      <c r="BD418" s="268"/>
      <c r="BE418" s="257">
        <f t="shared" si="69"/>
        <v>0</v>
      </c>
      <c r="BF418" s="256"/>
      <c r="BG418" s="257">
        <f t="shared" si="70"/>
        <v>0</v>
      </c>
      <c r="BH418" s="256"/>
      <c r="BI418" s="257">
        <f t="shared" si="71"/>
        <v>0</v>
      </c>
      <c r="BJ418" s="1" t="s">
        <v>864</v>
      </c>
      <c r="BL418" s="1" t="s">
        <v>457</v>
      </c>
      <c r="BM418" s="378" t="s">
        <v>865</v>
      </c>
    </row>
    <row r="419" spans="1:65" ht="15.6">
      <c r="A419" s="250" t="s">
        <v>951</v>
      </c>
      <c r="B419" s="59" t="s">
        <v>221</v>
      </c>
      <c r="C419" s="354" t="s">
        <v>172</v>
      </c>
      <c r="D419" s="419"/>
      <c r="E419" s="281" t="s">
        <v>332</v>
      </c>
      <c r="F419" s="422"/>
      <c r="G419" s="317">
        <v>2023</v>
      </c>
      <c r="H419" s="323" t="s">
        <v>417</v>
      </c>
      <c r="I419" s="332" t="s">
        <v>183</v>
      </c>
      <c r="J419" s="331">
        <v>14</v>
      </c>
      <c r="K419" s="328" t="s">
        <v>243</v>
      </c>
      <c r="L419" s="323" t="s">
        <v>464</v>
      </c>
      <c r="M419" s="303" t="s">
        <v>513</v>
      </c>
      <c r="N419" s="303">
        <v>7.9</v>
      </c>
      <c r="O419" s="303">
        <v>7.9</v>
      </c>
      <c r="P419" s="303">
        <v>7.8</v>
      </c>
      <c r="Q419" s="303">
        <v>7.8</v>
      </c>
      <c r="R419" s="401">
        <v>8.5</v>
      </c>
      <c r="S419" s="401">
        <v>8.5</v>
      </c>
      <c r="T419" s="401">
        <v>8.5</v>
      </c>
      <c r="U419" s="401">
        <v>8.5</v>
      </c>
      <c r="V419" s="401">
        <v>8.5</v>
      </c>
      <c r="W419" s="401">
        <v>8.5</v>
      </c>
      <c r="X419" s="401">
        <v>8.5</v>
      </c>
      <c r="Y419" s="401">
        <v>8.5</v>
      </c>
      <c r="Z419" s="59">
        <v>0.65</v>
      </c>
      <c r="AA419" s="59">
        <v>0.65</v>
      </c>
      <c r="AB419" s="59">
        <v>0.7</v>
      </c>
      <c r="AC419" s="304">
        <v>0</v>
      </c>
      <c r="AD419" s="402">
        <v>0.90000000000000036</v>
      </c>
      <c r="AE419" s="402">
        <v>0.90000000000000036</v>
      </c>
      <c r="AF419" s="402">
        <v>0.90000000000000036</v>
      </c>
      <c r="AG419" s="402">
        <v>0.90000000000000036</v>
      </c>
      <c r="AH419" s="402">
        <v>0.90000000000000036</v>
      </c>
      <c r="AI419" s="402">
        <v>0.90000000000000036</v>
      </c>
      <c r="AJ419" s="402">
        <v>0.90000000000000036</v>
      </c>
      <c r="AK419" s="402">
        <v>0.90000000000000036</v>
      </c>
      <c r="AL419" s="260"/>
      <c r="AM419" s="254">
        <f t="shared" si="60"/>
        <v>0</v>
      </c>
      <c r="AN419" s="260"/>
      <c r="AO419" s="254">
        <f t="shared" si="61"/>
        <v>0</v>
      </c>
      <c r="AP419" s="260"/>
      <c r="AQ419" s="254">
        <f t="shared" si="62"/>
        <v>0</v>
      </c>
      <c r="AR419" s="260"/>
      <c r="AS419" s="257">
        <f t="shared" si="63"/>
        <v>0</v>
      </c>
      <c r="AT419" s="383"/>
      <c r="AU419" s="257">
        <f t="shared" si="64"/>
        <v>0</v>
      </c>
      <c r="AV419" s="268"/>
      <c r="AW419" s="257">
        <f t="shared" si="65"/>
        <v>0</v>
      </c>
      <c r="AX419" s="270"/>
      <c r="AY419" s="257">
        <f t="shared" si="66"/>
        <v>0</v>
      </c>
      <c r="AZ419" s="270"/>
      <c r="BA419" s="257">
        <f t="shared" si="67"/>
        <v>0</v>
      </c>
      <c r="BB419" s="268"/>
      <c r="BC419" s="257">
        <f t="shared" si="68"/>
        <v>0</v>
      </c>
      <c r="BD419" s="268"/>
      <c r="BE419" s="257">
        <f t="shared" si="69"/>
        <v>0</v>
      </c>
      <c r="BF419" s="256"/>
      <c r="BG419" s="257">
        <f t="shared" si="70"/>
        <v>0</v>
      </c>
      <c r="BH419" s="256"/>
      <c r="BI419" s="257">
        <f t="shared" si="71"/>
        <v>0</v>
      </c>
      <c r="BJ419" s="1" t="s">
        <v>866</v>
      </c>
      <c r="BL419" s="1" t="s">
        <v>457</v>
      </c>
      <c r="BM419" s="378" t="s">
        <v>867</v>
      </c>
    </row>
    <row r="420" spans="1:65" ht="15.6">
      <c r="A420" s="250" t="s">
        <v>951</v>
      </c>
      <c r="B420" s="59" t="s">
        <v>221</v>
      </c>
      <c r="C420" s="354" t="s">
        <v>172</v>
      </c>
      <c r="D420" s="419"/>
      <c r="E420" s="281" t="s">
        <v>332</v>
      </c>
      <c r="F420" s="422"/>
      <c r="G420" s="317">
        <v>2023</v>
      </c>
      <c r="H420" s="323" t="s">
        <v>417</v>
      </c>
      <c r="I420" s="327" t="s">
        <v>190</v>
      </c>
      <c r="J420" s="331">
        <v>14</v>
      </c>
      <c r="K420" s="328" t="s">
        <v>243</v>
      </c>
      <c r="L420" s="323" t="s">
        <v>464</v>
      </c>
      <c r="M420" s="303" t="s">
        <v>513</v>
      </c>
      <c r="N420" s="303">
        <v>3.5</v>
      </c>
      <c r="O420" s="303">
        <v>3.5</v>
      </c>
      <c r="P420" s="303">
        <v>3.45</v>
      </c>
      <c r="Q420" s="303">
        <v>3.45</v>
      </c>
      <c r="R420" s="401">
        <v>4.2</v>
      </c>
      <c r="S420" s="401">
        <v>4.2</v>
      </c>
      <c r="T420" s="401">
        <v>4.2</v>
      </c>
      <c r="U420" s="401">
        <v>4.2</v>
      </c>
      <c r="V420" s="401">
        <v>4.2</v>
      </c>
      <c r="W420" s="401">
        <v>4.2</v>
      </c>
      <c r="X420" s="401">
        <v>4.2</v>
      </c>
      <c r="Y420" s="401">
        <v>4.2</v>
      </c>
      <c r="Z420" s="59">
        <v>0.3</v>
      </c>
      <c r="AA420" s="59">
        <v>0.3</v>
      </c>
      <c r="AB420" s="59">
        <v>0.35</v>
      </c>
      <c r="AC420" s="304">
        <v>0</v>
      </c>
      <c r="AD420" s="402">
        <v>0.60000000000000009</v>
      </c>
      <c r="AE420" s="402">
        <v>0.60000000000000009</v>
      </c>
      <c r="AF420" s="402">
        <v>0.60000000000000009</v>
      </c>
      <c r="AG420" s="402">
        <v>0.60000000000000009</v>
      </c>
      <c r="AH420" s="402">
        <v>0.60000000000000009</v>
      </c>
      <c r="AI420" s="402">
        <v>0.60000000000000009</v>
      </c>
      <c r="AJ420" s="402">
        <v>0.60000000000000009</v>
      </c>
      <c r="AK420" s="402">
        <v>0.60000000000000009</v>
      </c>
      <c r="AL420" s="260"/>
      <c r="AM420" s="254">
        <f t="shared" si="60"/>
        <v>0</v>
      </c>
      <c r="AN420" s="260"/>
      <c r="AO420" s="254">
        <f t="shared" si="61"/>
        <v>0</v>
      </c>
      <c r="AP420" s="260"/>
      <c r="AQ420" s="254">
        <f t="shared" si="62"/>
        <v>0</v>
      </c>
      <c r="AR420" s="260"/>
      <c r="AS420" s="257">
        <f t="shared" si="63"/>
        <v>0</v>
      </c>
      <c r="AT420" s="383"/>
      <c r="AU420" s="257">
        <f t="shared" si="64"/>
        <v>0</v>
      </c>
      <c r="AV420" s="268"/>
      <c r="AW420" s="257">
        <f t="shared" si="65"/>
        <v>0</v>
      </c>
      <c r="AX420" s="270"/>
      <c r="AY420" s="257">
        <f t="shared" si="66"/>
        <v>0</v>
      </c>
      <c r="AZ420" s="270"/>
      <c r="BA420" s="257">
        <f t="shared" si="67"/>
        <v>0</v>
      </c>
      <c r="BB420" s="268"/>
      <c r="BC420" s="257">
        <f t="shared" si="68"/>
        <v>0</v>
      </c>
      <c r="BD420" s="268"/>
      <c r="BE420" s="257">
        <f t="shared" si="69"/>
        <v>0</v>
      </c>
      <c r="BF420" s="256"/>
      <c r="BG420" s="257">
        <f t="shared" si="70"/>
        <v>0</v>
      </c>
      <c r="BH420" s="256"/>
      <c r="BI420" s="257">
        <f t="shared" si="71"/>
        <v>0</v>
      </c>
      <c r="BJ420" s="1" t="s">
        <v>868</v>
      </c>
      <c r="BL420" s="1" t="s">
        <v>457</v>
      </c>
      <c r="BM420" s="378" t="s">
        <v>869</v>
      </c>
    </row>
    <row r="421" spans="1:65" ht="15.6">
      <c r="A421" s="250" t="s">
        <v>951</v>
      </c>
      <c r="B421" s="59" t="s">
        <v>221</v>
      </c>
      <c r="C421" s="354" t="s">
        <v>172</v>
      </c>
      <c r="D421" s="419"/>
      <c r="E421" s="281" t="s">
        <v>332</v>
      </c>
      <c r="F421" s="422"/>
      <c r="G421" s="317">
        <v>2023</v>
      </c>
      <c r="H421" s="323" t="s">
        <v>417</v>
      </c>
      <c r="I421" s="332" t="s">
        <v>183</v>
      </c>
      <c r="J421" s="331">
        <v>14</v>
      </c>
      <c r="K421" s="323" t="s">
        <v>245</v>
      </c>
      <c r="L421" s="323" t="s">
        <v>464</v>
      </c>
      <c r="M421" s="303" t="s">
        <v>513</v>
      </c>
      <c r="N421" s="303">
        <v>8.8000000000000007</v>
      </c>
      <c r="O421" s="303">
        <v>8.8000000000000007</v>
      </c>
      <c r="P421" s="303">
        <v>8.8000000000000007</v>
      </c>
      <c r="Q421" s="303">
        <v>8.8000000000000007</v>
      </c>
      <c r="R421" s="303">
        <v>8.8000000000000007</v>
      </c>
      <c r="S421" s="303">
        <v>8.8000000000000007</v>
      </c>
      <c r="T421" s="303">
        <v>8.8000000000000007</v>
      </c>
      <c r="U421" s="303">
        <v>8.8000000000000007</v>
      </c>
      <c r="V421" s="303">
        <v>8.8000000000000007</v>
      </c>
      <c r="W421" s="303">
        <v>8.8000000000000007</v>
      </c>
      <c r="X421" s="303">
        <v>8.8000000000000007</v>
      </c>
      <c r="Y421" s="303">
        <v>8.8000000000000007</v>
      </c>
      <c r="Z421" s="59">
        <v>0.8</v>
      </c>
      <c r="AA421" s="59">
        <v>0.8</v>
      </c>
      <c r="AB421" s="59">
        <v>0.8</v>
      </c>
      <c r="AC421" s="304">
        <v>0</v>
      </c>
      <c r="AD421" s="59">
        <v>0.8</v>
      </c>
      <c r="AE421" s="59">
        <v>0.8</v>
      </c>
      <c r="AF421" s="59">
        <v>0.8</v>
      </c>
      <c r="AG421" s="59">
        <v>0.8</v>
      </c>
      <c r="AH421" s="59">
        <v>0.8</v>
      </c>
      <c r="AI421" s="59">
        <v>0.8</v>
      </c>
      <c r="AJ421" s="59">
        <v>0.8</v>
      </c>
      <c r="AK421" s="59">
        <v>0.8</v>
      </c>
      <c r="AL421" s="260"/>
      <c r="AM421" s="254">
        <f t="shared" si="60"/>
        <v>0</v>
      </c>
      <c r="AN421" s="260"/>
      <c r="AO421" s="254">
        <f t="shared" si="61"/>
        <v>0</v>
      </c>
      <c r="AP421" s="260"/>
      <c r="AQ421" s="254">
        <f t="shared" si="62"/>
        <v>0</v>
      </c>
      <c r="AR421" s="260"/>
      <c r="AS421" s="257">
        <f t="shared" si="63"/>
        <v>0</v>
      </c>
      <c r="AT421" s="383"/>
      <c r="AU421" s="257">
        <f t="shared" si="64"/>
        <v>0</v>
      </c>
      <c r="AV421" s="268"/>
      <c r="AW421" s="257">
        <f t="shared" si="65"/>
        <v>0</v>
      </c>
      <c r="AX421" s="270"/>
      <c r="AY421" s="257">
        <f t="shared" si="66"/>
        <v>0</v>
      </c>
      <c r="AZ421" s="270"/>
      <c r="BA421" s="257">
        <f t="shared" si="67"/>
        <v>0</v>
      </c>
      <c r="BB421" s="268"/>
      <c r="BC421" s="257">
        <f t="shared" si="68"/>
        <v>0</v>
      </c>
      <c r="BD421" s="268"/>
      <c r="BE421" s="257">
        <f t="shared" si="69"/>
        <v>0</v>
      </c>
      <c r="BF421" s="256"/>
      <c r="BG421" s="257">
        <f t="shared" si="70"/>
        <v>0</v>
      </c>
      <c r="BH421" s="256"/>
      <c r="BI421" s="257">
        <f t="shared" si="71"/>
        <v>0</v>
      </c>
      <c r="BJ421" s="1" t="s">
        <v>870</v>
      </c>
      <c r="BL421" s="1" t="s">
        <v>457</v>
      </c>
      <c r="BM421" s="378" t="s">
        <v>871</v>
      </c>
    </row>
    <row r="422" spans="1:65" ht="15.6">
      <c r="A422" s="250" t="s">
        <v>951</v>
      </c>
      <c r="B422" s="59" t="s">
        <v>221</v>
      </c>
      <c r="C422" s="354" t="s">
        <v>172</v>
      </c>
      <c r="D422" s="419"/>
      <c r="E422" s="281" t="s">
        <v>332</v>
      </c>
      <c r="F422" s="422"/>
      <c r="G422" s="317">
        <v>2023</v>
      </c>
      <c r="H422" s="323" t="s">
        <v>417</v>
      </c>
      <c r="I422" s="327" t="s">
        <v>190</v>
      </c>
      <c r="J422" s="331">
        <v>14</v>
      </c>
      <c r="K422" s="323" t="s">
        <v>637</v>
      </c>
      <c r="L422" s="323" t="s">
        <v>464</v>
      </c>
      <c r="M422" s="303" t="s">
        <v>513</v>
      </c>
      <c r="N422" s="303">
        <v>3.5</v>
      </c>
      <c r="O422" s="303">
        <v>3.5</v>
      </c>
      <c r="P422" s="303">
        <v>3.45</v>
      </c>
      <c r="Q422" s="303">
        <v>3.45</v>
      </c>
      <c r="R422" s="401">
        <v>4.2</v>
      </c>
      <c r="S422" s="401">
        <v>4.2</v>
      </c>
      <c r="T422" s="401">
        <v>4.2</v>
      </c>
      <c r="U422" s="401">
        <v>4.2</v>
      </c>
      <c r="V422" s="401">
        <v>4.2</v>
      </c>
      <c r="W422" s="401">
        <v>4.2</v>
      </c>
      <c r="X422" s="401">
        <v>4.2</v>
      </c>
      <c r="Y422" s="401">
        <v>4.2</v>
      </c>
      <c r="Z422" s="59">
        <v>0.3</v>
      </c>
      <c r="AA422" s="59">
        <v>0.3</v>
      </c>
      <c r="AB422" s="59">
        <v>0.35</v>
      </c>
      <c r="AC422" s="304">
        <v>0</v>
      </c>
      <c r="AD422" s="402">
        <v>0.6</v>
      </c>
      <c r="AE422" s="402">
        <v>0.6</v>
      </c>
      <c r="AF422" s="402">
        <v>0.6</v>
      </c>
      <c r="AG422" s="402">
        <v>0.6</v>
      </c>
      <c r="AH422" s="402">
        <v>0.6</v>
      </c>
      <c r="AI422" s="402">
        <v>0.6</v>
      </c>
      <c r="AJ422" s="402">
        <v>0.6</v>
      </c>
      <c r="AK422" s="402">
        <v>0.6</v>
      </c>
      <c r="AL422" s="260"/>
      <c r="AM422" s="254">
        <f t="shared" si="60"/>
        <v>0</v>
      </c>
      <c r="AN422" s="260">
        <v>40</v>
      </c>
      <c r="AO422" s="254">
        <f t="shared" si="61"/>
        <v>12</v>
      </c>
      <c r="AP422" s="260"/>
      <c r="AQ422" s="254">
        <f t="shared" si="62"/>
        <v>0</v>
      </c>
      <c r="AR422" s="260">
        <v>760</v>
      </c>
      <c r="AS422" s="257">
        <f t="shared" si="63"/>
        <v>0</v>
      </c>
      <c r="AT422" s="383">
        <v>360</v>
      </c>
      <c r="AU422" s="257">
        <f t="shared" si="64"/>
        <v>216</v>
      </c>
      <c r="AV422" s="268">
        <v>3000</v>
      </c>
      <c r="AW422" s="257">
        <f t="shared" si="65"/>
        <v>1800</v>
      </c>
      <c r="AX422" s="268">
        <v>3000</v>
      </c>
      <c r="AY422" s="257">
        <f t="shared" si="66"/>
        <v>1800</v>
      </c>
      <c r="AZ422" s="268">
        <v>3000</v>
      </c>
      <c r="BA422" s="257">
        <f t="shared" si="67"/>
        <v>1800</v>
      </c>
      <c r="BB422" s="268">
        <v>3000</v>
      </c>
      <c r="BC422" s="257">
        <f t="shared" si="68"/>
        <v>1800</v>
      </c>
      <c r="BD422" s="268">
        <v>3000</v>
      </c>
      <c r="BE422" s="257">
        <f t="shared" si="69"/>
        <v>1800</v>
      </c>
      <c r="BF422" s="256">
        <v>5000</v>
      </c>
      <c r="BG422" s="257">
        <f t="shared" si="70"/>
        <v>3000</v>
      </c>
      <c r="BH422" s="256">
        <v>3000</v>
      </c>
      <c r="BI422" s="257">
        <f t="shared" si="71"/>
        <v>1800</v>
      </c>
      <c r="BJ422" s="1" t="s">
        <v>872</v>
      </c>
      <c r="BK422" s="1" t="s">
        <v>532</v>
      </c>
      <c r="BL422" s="1" t="s">
        <v>457</v>
      </c>
      <c r="BM422" s="378" t="s">
        <v>873</v>
      </c>
    </row>
    <row r="423" spans="1:65" ht="15.6">
      <c r="A423" s="250" t="s">
        <v>951</v>
      </c>
      <c r="B423" s="59" t="s">
        <v>221</v>
      </c>
      <c r="C423" s="354" t="s">
        <v>172</v>
      </c>
      <c r="D423" s="419"/>
      <c r="E423" s="281" t="s">
        <v>332</v>
      </c>
      <c r="F423" s="422"/>
      <c r="G423" s="317">
        <v>2023</v>
      </c>
      <c r="H423" s="323" t="s">
        <v>417</v>
      </c>
      <c r="I423" s="332" t="s">
        <v>183</v>
      </c>
      <c r="J423" s="331">
        <v>14</v>
      </c>
      <c r="K423" s="323" t="s">
        <v>210</v>
      </c>
      <c r="L423" s="323" t="s">
        <v>464</v>
      </c>
      <c r="M423" s="303" t="s">
        <v>513</v>
      </c>
      <c r="N423" s="303">
        <v>8.6</v>
      </c>
      <c r="O423" s="303">
        <v>8.6</v>
      </c>
      <c r="P423" s="303">
        <v>8.5</v>
      </c>
      <c r="Q423" s="303">
        <v>8.5</v>
      </c>
      <c r="R423" s="401">
        <v>9.1999999999999993</v>
      </c>
      <c r="S423" s="401">
        <v>9.1999999999999993</v>
      </c>
      <c r="T423" s="401">
        <v>9.1999999999999993</v>
      </c>
      <c r="U423" s="401">
        <v>9.1999999999999993</v>
      </c>
      <c r="V423" s="401">
        <v>9.1999999999999993</v>
      </c>
      <c r="W423" s="401">
        <v>9.1999999999999993</v>
      </c>
      <c r="X423" s="401">
        <v>9.1999999999999993</v>
      </c>
      <c r="Y423" s="401">
        <v>9.1999999999999993</v>
      </c>
      <c r="Z423" s="59">
        <v>1.3</v>
      </c>
      <c r="AA423" s="59">
        <v>1.3</v>
      </c>
      <c r="AB423" s="59">
        <v>1.2</v>
      </c>
      <c r="AC423" s="304">
        <v>0</v>
      </c>
      <c r="AD423" s="402">
        <v>1.3999999999999995</v>
      </c>
      <c r="AE423" s="402">
        <v>1.3999999999999995</v>
      </c>
      <c r="AF423" s="402">
        <v>1.3999999999999995</v>
      </c>
      <c r="AG423" s="402">
        <v>1.3999999999999995</v>
      </c>
      <c r="AH423" s="402">
        <v>1.3999999999999995</v>
      </c>
      <c r="AI423" s="402">
        <v>1.3999999999999995</v>
      </c>
      <c r="AJ423" s="402">
        <v>1.3999999999999995</v>
      </c>
      <c r="AK423" s="402">
        <v>1.3999999999999995</v>
      </c>
      <c r="AL423" s="260"/>
      <c r="AM423" s="254">
        <f t="shared" si="60"/>
        <v>0</v>
      </c>
      <c r="AN423" s="260"/>
      <c r="AO423" s="254">
        <f t="shared" si="61"/>
        <v>0</v>
      </c>
      <c r="AP423" s="260"/>
      <c r="AQ423" s="254">
        <f t="shared" si="62"/>
        <v>0</v>
      </c>
      <c r="AR423" s="260"/>
      <c r="AS423" s="257">
        <f t="shared" si="63"/>
        <v>0</v>
      </c>
      <c r="AT423" s="383"/>
      <c r="AU423" s="257">
        <f t="shared" si="64"/>
        <v>0</v>
      </c>
      <c r="AV423" s="268"/>
      <c r="AW423" s="257">
        <f t="shared" si="65"/>
        <v>0</v>
      </c>
      <c r="AX423" s="270"/>
      <c r="AY423" s="257">
        <f t="shared" si="66"/>
        <v>0</v>
      </c>
      <c r="AZ423" s="270"/>
      <c r="BA423" s="257">
        <f t="shared" si="67"/>
        <v>0</v>
      </c>
      <c r="BB423" s="268"/>
      <c r="BC423" s="257">
        <f t="shared" si="68"/>
        <v>0</v>
      </c>
      <c r="BD423" s="268"/>
      <c r="BE423" s="257">
        <f t="shared" si="69"/>
        <v>0</v>
      </c>
      <c r="BF423" s="256"/>
      <c r="BG423" s="257">
        <f t="shared" si="70"/>
        <v>0</v>
      </c>
      <c r="BH423" s="256"/>
      <c r="BI423" s="257">
        <f t="shared" si="71"/>
        <v>0</v>
      </c>
      <c r="BJ423" s="1" t="s">
        <v>874</v>
      </c>
      <c r="BK423" s="1" t="s">
        <v>532</v>
      </c>
      <c r="BL423" s="1" t="s">
        <v>457</v>
      </c>
      <c r="BM423" s="378" t="s">
        <v>875</v>
      </c>
    </row>
    <row r="424" spans="1:65" ht="15.6">
      <c r="A424" s="250" t="s">
        <v>951</v>
      </c>
      <c r="B424" s="59" t="s">
        <v>221</v>
      </c>
      <c r="C424" s="354" t="s">
        <v>172</v>
      </c>
      <c r="D424" s="419"/>
      <c r="E424" s="281" t="s">
        <v>332</v>
      </c>
      <c r="F424" s="422"/>
      <c r="G424" s="317">
        <v>2023</v>
      </c>
      <c r="H424" s="323" t="s">
        <v>417</v>
      </c>
      <c r="I424" s="327" t="s">
        <v>190</v>
      </c>
      <c r="J424" s="331">
        <v>14</v>
      </c>
      <c r="K424" s="323" t="s">
        <v>210</v>
      </c>
      <c r="L424" s="323" t="s">
        <v>464</v>
      </c>
      <c r="M424" s="303" t="s">
        <v>513</v>
      </c>
      <c r="N424" s="303">
        <v>5.2</v>
      </c>
      <c r="O424" s="303">
        <v>5.2</v>
      </c>
      <c r="P424" s="303">
        <v>5.2</v>
      </c>
      <c r="Q424" s="303">
        <v>5.2</v>
      </c>
      <c r="R424" s="401">
        <v>5.9</v>
      </c>
      <c r="S424" s="401">
        <v>5.9</v>
      </c>
      <c r="T424" s="401">
        <v>5.9</v>
      </c>
      <c r="U424" s="401">
        <v>5.9</v>
      </c>
      <c r="V424" s="401">
        <v>5.9</v>
      </c>
      <c r="W424" s="401">
        <v>5.9</v>
      </c>
      <c r="X424" s="401">
        <v>5.9</v>
      </c>
      <c r="Y424" s="401">
        <v>5.9</v>
      </c>
      <c r="Z424" s="59">
        <v>0.3</v>
      </c>
      <c r="AA424" s="59">
        <v>0.3</v>
      </c>
      <c r="AB424" s="59">
        <v>0.3</v>
      </c>
      <c r="AC424" s="304">
        <v>0</v>
      </c>
      <c r="AD424" s="402">
        <v>0.5</v>
      </c>
      <c r="AE424" s="402">
        <v>0.5</v>
      </c>
      <c r="AF424" s="402">
        <v>0.5</v>
      </c>
      <c r="AG424" s="402">
        <v>0.5</v>
      </c>
      <c r="AH424" s="402">
        <v>0.5</v>
      </c>
      <c r="AI424" s="402">
        <v>0.5</v>
      </c>
      <c r="AJ424" s="402">
        <v>0.5</v>
      </c>
      <c r="AK424" s="402">
        <v>0.5</v>
      </c>
      <c r="AL424" s="260"/>
      <c r="AM424" s="254">
        <f t="shared" si="60"/>
        <v>0</v>
      </c>
      <c r="AN424" s="260"/>
      <c r="AO424" s="254">
        <f t="shared" si="61"/>
        <v>0</v>
      </c>
      <c r="AP424" s="260"/>
      <c r="AQ424" s="254">
        <f t="shared" si="62"/>
        <v>0</v>
      </c>
      <c r="AR424" s="260"/>
      <c r="AS424" s="257">
        <f t="shared" si="63"/>
        <v>0</v>
      </c>
      <c r="AT424" s="260"/>
      <c r="AU424" s="257">
        <f t="shared" si="64"/>
        <v>0</v>
      </c>
      <c r="AV424" s="260">
        <v>2000</v>
      </c>
      <c r="AW424" s="257">
        <f t="shared" si="65"/>
        <v>1000</v>
      </c>
      <c r="AX424" s="260">
        <v>2000</v>
      </c>
      <c r="AY424" s="257">
        <f t="shared" si="66"/>
        <v>1000</v>
      </c>
      <c r="AZ424" s="260">
        <v>2000</v>
      </c>
      <c r="BA424" s="257">
        <f t="shared" si="67"/>
        <v>1000</v>
      </c>
      <c r="BB424" s="260">
        <v>2000</v>
      </c>
      <c r="BC424" s="257">
        <f t="shared" si="68"/>
        <v>1000</v>
      </c>
      <c r="BD424" s="260">
        <v>2000</v>
      </c>
      <c r="BE424" s="257">
        <f t="shared" si="69"/>
        <v>1000</v>
      </c>
      <c r="BF424" s="260">
        <v>2000</v>
      </c>
      <c r="BG424" s="257">
        <f t="shared" si="70"/>
        <v>1000</v>
      </c>
      <c r="BH424" s="260">
        <v>2000</v>
      </c>
      <c r="BI424" s="257">
        <f t="shared" si="71"/>
        <v>1000</v>
      </c>
      <c r="BJ424" s="1" t="s">
        <v>876</v>
      </c>
      <c r="BK424" s="1" t="s">
        <v>532</v>
      </c>
      <c r="BL424" s="1" t="s">
        <v>457</v>
      </c>
      <c r="BM424" s="378" t="s">
        <v>877</v>
      </c>
    </row>
    <row r="425" spans="1:65" ht="15.6">
      <c r="A425" s="250" t="s">
        <v>951</v>
      </c>
      <c r="B425" s="59" t="s">
        <v>221</v>
      </c>
      <c r="C425" s="354" t="s">
        <v>172</v>
      </c>
      <c r="D425" s="419"/>
      <c r="E425" s="281" t="s">
        <v>332</v>
      </c>
      <c r="F425" s="422"/>
      <c r="G425" s="317">
        <v>2023</v>
      </c>
      <c r="H425" s="323" t="s">
        <v>417</v>
      </c>
      <c r="I425" s="332" t="s">
        <v>183</v>
      </c>
      <c r="J425" s="331">
        <v>14</v>
      </c>
      <c r="K425" s="328" t="s">
        <v>243</v>
      </c>
      <c r="L425" s="323" t="s">
        <v>464</v>
      </c>
      <c r="M425" s="303" t="s">
        <v>513</v>
      </c>
      <c r="N425" s="303">
        <v>7.9</v>
      </c>
      <c r="O425" s="303">
        <v>7.9</v>
      </c>
      <c r="P425" s="303">
        <v>7.8</v>
      </c>
      <c r="Q425" s="303">
        <v>7.8</v>
      </c>
      <c r="R425" s="401">
        <v>8.5</v>
      </c>
      <c r="S425" s="401">
        <v>8.5</v>
      </c>
      <c r="T425" s="401">
        <v>8.5</v>
      </c>
      <c r="U425" s="401">
        <v>8.5</v>
      </c>
      <c r="V425" s="401">
        <v>8.5</v>
      </c>
      <c r="W425" s="401">
        <v>8.5</v>
      </c>
      <c r="X425" s="401">
        <v>8.5</v>
      </c>
      <c r="Y425" s="401">
        <v>8.5</v>
      </c>
      <c r="Z425" s="59">
        <v>0.65</v>
      </c>
      <c r="AA425" s="59">
        <v>0.65</v>
      </c>
      <c r="AB425" s="59">
        <v>0.7</v>
      </c>
      <c r="AC425" s="304">
        <v>0</v>
      </c>
      <c r="AD425" s="402">
        <v>0.90000000000000036</v>
      </c>
      <c r="AE425" s="402">
        <v>0.90000000000000036</v>
      </c>
      <c r="AF425" s="402">
        <v>0.90000000000000036</v>
      </c>
      <c r="AG425" s="402">
        <v>0.90000000000000036</v>
      </c>
      <c r="AH425" s="402">
        <v>0.90000000000000036</v>
      </c>
      <c r="AI425" s="402">
        <v>0.90000000000000036</v>
      </c>
      <c r="AJ425" s="402">
        <v>0.90000000000000036</v>
      </c>
      <c r="AK425" s="402">
        <v>0.90000000000000036</v>
      </c>
      <c r="AL425" s="260">
        <v>200</v>
      </c>
      <c r="AM425" s="254">
        <f t="shared" si="60"/>
        <v>130</v>
      </c>
      <c r="AN425" s="260">
        <v>80</v>
      </c>
      <c r="AO425" s="254">
        <f t="shared" si="61"/>
        <v>52</v>
      </c>
      <c r="AP425" s="260"/>
      <c r="AQ425" s="254">
        <f t="shared" si="62"/>
        <v>0</v>
      </c>
      <c r="AR425" s="260">
        <v>240</v>
      </c>
      <c r="AS425" s="257">
        <f t="shared" si="63"/>
        <v>0</v>
      </c>
      <c r="AT425" s="383">
        <v>40</v>
      </c>
      <c r="AU425" s="257">
        <f t="shared" si="64"/>
        <v>36.000000000000014</v>
      </c>
      <c r="AV425" s="392">
        <v>3000</v>
      </c>
      <c r="AW425" s="257">
        <f t="shared" si="65"/>
        <v>2700.0000000000009</v>
      </c>
      <c r="AX425" s="392">
        <v>3000</v>
      </c>
      <c r="AY425" s="257">
        <f t="shared" si="66"/>
        <v>2700.0000000000009</v>
      </c>
      <c r="AZ425" s="260">
        <v>5000</v>
      </c>
      <c r="BA425" s="257">
        <f t="shared" si="67"/>
        <v>4500.0000000000018</v>
      </c>
      <c r="BB425" s="260">
        <v>3000</v>
      </c>
      <c r="BC425" s="257">
        <f t="shared" si="68"/>
        <v>2700.0000000000009</v>
      </c>
      <c r="BD425" s="260">
        <v>3000</v>
      </c>
      <c r="BE425" s="257">
        <f t="shared" si="69"/>
        <v>2700.0000000000009</v>
      </c>
      <c r="BF425" s="256">
        <v>5000</v>
      </c>
      <c r="BG425" s="257">
        <f t="shared" si="70"/>
        <v>4500.0000000000018</v>
      </c>
      <c r="BH425" s="256">
        <v>3000</v>
      </c>
      <c r="BI425" s="257">
        <f t="shared" si="71"/>
        <v>2700.0000000000009</v>
      </c>
      <c r="BJ425" s="1" t="s">
        <v>878</v>
      </c>
      <c r="BK425" s="1" t="s">
        <v>532</v>
      </c>
      <c r="BL425" s="1" t="s">
        <v>457</v>
      </c>
      <c r="BM425" s="378" t="s">
        <v>879</v>
      </c>
    </row>
    <row r="426" spans="1:65" ht="15.6">
      <c r="A426" s="250" t="s">
        <v>951</v>
      </c>
      <c r="B426" s="59" t="s">
        <v>221</v>
      </c>
      <c r="C426" s="354" t="s">
        <v>172</v>
      </c>
      <c r="D426" s="419"/>
      <c r="E426" s="281" t="s">
        <v>332</v>
      </c>
      <c r="F426" s="422"/>
      <c r="G426" s="317">
        <v>2023</v>
      </c>
      <c r="H426" s="323" t="s">
        <v>417</v>
      </c>
      <c r="I426" s="327" t="s">
        <v>190</v>
      </c>
      <c r="J426" s="331">
        <v>14</v>
      </c>
      <c r="K426" s="328" t="s">
        <v>243</v>
      </c>
      <c r="L426" s="323" t="s">
        <v>464</v>
      </c>
      <c r="M426" s="303" t="s">
        <v>513</v>
      </c>
      <c r="N426" s="303">
        <v>3.5</v>
      </c>
      <c r="O426" s="303">
        <v>3.5</v>
      </c>
      <c r="P426" s="303">
        <v>3.45</v>
      </c>
      <c r="Q426" s="303">
        <v>3.45</v>
      </c>
      <c r="R426" s="401">
        <v>4.2</v>
      </c>
      <c r="S426" s="401">
        <v>4.2</v>
      </c>
      <c r="T426" s="401">
        <v>4.2</v>
      </c>
      <c r="U426" s="401">
        <v>4.2</v>
      </c>
      <c r="V426" s="401">
        <v>4.2</v>
      </c>
      <c r="W426" s="401">
        <v>4.2</v>
      </c>
      <c r="X426" s="401">
        <v>4.2</v>
      </c>
      <c r="Y426" s="401">
        <v>4.2</v>
      </c>
      <c r="Z426" s="59">
        <v>0.3</v>
      </c>
      <c r="AA426" s="59">
        <v>0.3</v>
      </c>
      <c r="AB426" s="59">
        <v>0.35</v>
      </c>
      <c r="AC426" s="304">
        <v>0</v>
      </c>
      <c r="AD426" s="402">
        <v>0.60000000000000009</v>
      </c>
      <c r="AE426" s="402">
        <v>0.60000000000000009</v>
      </c>
      <c r="AF426" s="402">
        <v>0.60000000000000009</v>
      </c>
      <c r="AG426" s="402">
        <v>0.60000000000000009</v>
      </c>
      <c r="AH426" s="402">
        <v>0.60000000000000009</v>
      </c>
      <c r="AI426" s="402">
        <v>0.60000000000000009</v>
      </c>
      <c r="AJ426" s="402">
        <v>0.60000000000000009</v>
      </c>
      <c r="AK426" s="402">
        <v>0.60000000000000009</v>
      </c>
      <c r="AL426" s="260">
        <v>23480</v>
      </c>
      <c r="AM426" s="254">
        <f t="shared" si="60"/>
        <v>7044</v>
      </c>
      <c r="AN426" s="260">
        <v>7160</v>
      </c>
      <c r="AO426" s="254">
        <f t="shared" si="61"/>
        <v>2148</v>
      </c>
      <c r="AP426" s="271">
        <v>13320</v>
      </c>
      <c r="AQ426" s="254">
        <f t="shared" si="62"/>
        <v>4662</v>
      </c>
      <c r="AR426" s="261">
        <v>1720</v>
      </c>
      <c r="AS426" s="257">
        <f t="shared" si="63"/>
        <v>0</v>
      </c>
      <c r="AT426" s="382">
        <v>480</v>
      </c>
      <c r="AU426" s="257">
        <f t="shared" si="64"/>
        <v>288.00000000000006</v>
      </c>
      <c r="AV426" s="268">
        <v>5000</v>
      </c>
      <c r="AW426" s="257">
        <f t="shared" si="65"/>
        <v>3000.0000000000005</v>
      </c>
      <c r="AX426" s="268">
        <v>5000</v>
      </c>
      <c r="AY426" s="257">
        <f t="shared" si="66"/>
        <v>3000.0000000000005</v>
      </c>
      <c r="AZ426" s="268">
        <v>5000</v>
      </c>
      <c r="BA426" s="257">
        <f t="shared" si="67"/>
        <v>3000.0000000000005</v>
      </c>
      <c r="BB426" s="268">
        <v>5000</v>
      </c>
      <c r="BC426" s="257">
        <f t="shared" si="68"/>
        <v>3000.0000000000005</v>
      </c>
      <c r="BD426" s="268">
        <v>5000</v>
      </c>
      <c r="BE426" s="257">
        <f t="shared" si="69"/>
        <v>3000.0000000000005</v>
      </c>
      <c r="BF426" s="59">
        <v>10000</v>
      </c>
      <c r="BG426" s="257">
        <f t="shared" si="70"/>
        <v>6000.0000000000009</v>
      </c>
      <c r="BH426" s="59">
        <v>5000</v>
      </c>
      <c r="BI426" s="257">
        <f t="shared" si="71"/>
        <v>3000.0000000000005</v>
      </c>
      <c r="BJ426" s="1" t="s">
        <v>880</v>
      </c>
      <c r="BK426" s="1" t="s">
        <v>532</v>
      </c>
      <c r="BL426" s="1" t="s">
        <v>457</v>
      </c>
      <c r="BM426" s="378" t="s">
        <v>881</v>
      </c>
    </row>
    <row r="427" spans="1:65" ht="15.6">
      <c r="A427" s="250" t="s">
        <v>951</v>
      </c>
      <c r="B427" s="59" t="s">
        <v>221</v>
      </c>
      <c r="C427" s="354" t="s">
        <v>172</v>
      </c>
      <c r="D427" s="419"/>
      <c r="E427" s="281" t="s">
        <v>332</v>
      </c>
      <c r="F427" s="422"/>
      <c r="G427" s="317">
        <v>2023</v>
      </c>
      <c r="H427" s="323" t="s">
        <v>417</v>
      </c>
      <c r="I427" s="327" t="s">
        <v>190</v>
      </c>
      <c r="J427" s="331">
        <v>14</v>
      </c>
      <c r="K427" s="323" t="s">
        <v>245</v>
      </c>
      <c r="L427" s="323" t="s">
        <v>464</v>
      </c>
      <c r="M427" s="303" t="s">
        <v>513</v>
      </c>
      <c r="N427" s="303">
        <v>3.5</v>
      </c>
      <c r="O427" s="303">
        <v>3.5</v>
      </c>
      <c r="P427" s="303">
        <v>3.45</v>
      </c>
      <c r="Q427" s="303">
        <v>3.45</v>
      </c>
      <c r="R427" s="401">
        <v>4.2</v>
      </c>
      <c r="S427" s="401">
        <v>4.2</v>
      </c>
      <c r="T427" s="401">
        <v>4.2</v>
      </c>
      <c r="U427" s="401">
        <v>4.2</v>
      </c>
      <c r="V427" s="401">
        <v>4.2</v>
      </c>
      <c r="W427" s="401">
        <v>4.2</v>
      </c>
      <c r="X427" s="401">
        <v>4.2</v>
      </c>
      <c r="Y427" s="401">
        <v>4.2</v>
      </c>
      <c r="Z427" s="59">
        <v>0.3</v>
      </c>
      <c r="AA427" s="59">
        <v>0.3</v>
      </c>
      <c r="AB427" s="59">
        <v>0.35</v>
      </c>
      <c r="AC427" s="304">
        <v>0</v>
      </c>
      <c r="AD427" s="402">
        <v>0.60000000000000009</v>
      </c>
      <c r="AE427" s="402">
        <v>0.60000000000000009</v>
      </c>
      <c r="AF427" s="402">
        <v>0.60000000000000009</v>
      </c>
      <c r="AG427" s="402">
        <v>0.60000000000000009</v>
      </c>
      <c r="AH427" s="402">
        <v>0.60000000000000009</v>
      </c>
      <c r="AI427" s="402">
        <v>0.60000000000000009</v>
      </c>
      <c r="AJ427" s="402">
        <v>0.60000000000000009</v>
      </c>
      <c r="AK427" s="402">
        <v>0.60000000000000009</v>
      </c>
      <c r="AL427" s="260">
        <v>3560</v>
      </c>
      <c r="AM427" s="254">
        <f t="shared" si="60"/>
        <v>1068</v>
      </c>
      <c r="AN427" s="260">
        <v>1000</v>
      </c>
      <c r="AO427" s="254">
        <f t="shared" si="61"/>
        <v>300</v>
      </c>
      <c r="AP427" s="260"/>
      <c r="AQ427" s="254">
        <f t="shared" si="62"/>
        <v>0</v>
      </c>
      <c r="AR427" s="260">
        <v>2680</v>
      </c>
      <c r="AS427" s="257">
        <f t="shared" si="63"/>
        <v>0</v>
      </c>
      <c r="AT427" s="260">
        <v>10520</v>
      </c>
      <c r="AU427" s="257">
        <f t="shared" si="64"/>
        <v>6312.0000000000009</v>
      </c>
      <c r="AV427" s="260">
        <v>5000</v>
      </c>
      <c r="AW427" s="257">
        <f t="shared" si="65"/>
        <v>3000.0000000000005</v>
      </c>
      <c r="AX427" s="260">
        <v>5000</v>
      </c>
      <c r="AY427" s="257">
        <f t="shared" si="66"/>
        <v>3000.0000000000005</v>
      </c>
      <c r="AZ427" s="260">
        <v>5000</v>
      </c>
      <c r="BA427" s="257">
        <f t="shared" si="67"/>
        <v>3000.0000000000005</v>
      </c>
      <c r="BB427" s="260">
        <v>5000</v>
      </c>
      <c r="BC427" s="257">
        <f t="shared" si="68"/>
        <v>3000.0000000000005</v>
      </c>
      <c r="BD427" s="260">
        <v>5000</v>
      </c>
      <c r="BE427" s="257">
        <f t="shared" si="69"/>
        <v>3000.0000000000005</v>
      </c>
      <c r="BF427" s="260">
        <v>5000</v>
      </c>
      <c r="BG427" s="257">
        <f t="shared" si="70"/>
        <v>3000.0000000000005</v>
      </c>
      <c r="BH427" s="260">
        <v>5000</v>
      </c>
      <c r="BI427" s="257">
        <f t="shared" si="71"/>
        <v>3000.0000000000005</v>
      </c>
      <c r="BJ427" s="1" t="s">
        <v>882</v>
      </c>
      <c r="BK427" s="1" t="s">
        <v>532</v>
      </c>
      <c r="BL427" s="1" t="s">
        <v>457</v>
      </c>
      <c r="BM427" s="378" t="s">
        <v>883</v>
      </c>
    </row>
    <row r="428" spans="1:65" ht="15.6">
      <c r="A428" s="250" t="s">
        <v>951</v>
      </c>
      <c r="B428" s="59" t="s">
        <v>221</v>
      </c>
      <c r="C428" s="354" t="s">
        <v>172</v>
      </c>
      <c r="D428" s="419"/>
      <c r="E428" s="281" t="s">
        <v>332</v>
      </c>
      <c r="F428" s="422"/>
      <c r="G428" s="317">
        <v>2023</v>
      </c>
      <c r="H428" s="323" t="s">
        <v>417</v>
      </c>
      <c r="I428" s="327" t="s">
        <v>190</v>
      </c>
      <c r="J428" s="331">
        <v>14</v>
      </c>
      <c r="K428" s="323" t="s">
        <v>884</v>
      </c>
      <c r="L428" s="323" t="s">
        <v>464</v>
      </c>
      <c r="M428" s="303" t="s">
        <v>513</v>
      </c>
      <c r="N428" s="303">
        <v>3.5</v>
      </c>
      <c r="O428" s="303">
        <v>3.5</v>
      </c>
      <c r="P428" s="303">
        <v>3.45</v>
      </c>
      <c r="Q428" s="303">
        <v>3.45</v>
      </c>
      <c r="R428" s="401">
        <v>4.2</v>
      </c>
      <c r="S428" s="401">
        <v>4.2</v>
      </c>
      <c r="T428" s="401">
        <v>4.2</v>
      </c>
      <c r="U428" s="401">
        <v>4.2</v>
      </c>
      <c r="V428" s="401">
        <v>4.2</v>
      </c>
      <c r="W428" s="401">
        <v>4.2</v>
      </c>
      <c r="X428" s="401">
        <v>4.2</v>
      </c>
      <c r="Y428" s="401">
        <v>4.2</v>
      </c>
      <c r="Z428" s="59">
        <v>0.3</v>
      </c>
      <c r="AA428" s="59">
        <v>0.3</v>
      </c>
      <c r="AB428" s="59">
        <v>0.35</v>
      </c>
      <c r="AC428" s="304">
        <v>0</v>
      </c>
      <c r="AD428" s="402">
        <v>0.60000000000000009</v>
      </c>
      <c r="AE428" s="402">
        <v>0.60000000000000009</v>
      </c>
      <c r="AF428" s="402">
        <v>0.60000000000000009</v>
      </c>
      <c r="AG428" s="402">
        <v>0.60000000000000009</v>
      </c>
      <c r="AH428" s="402">
        <v>0.60000000000000009</v>
      </c>
      <c r="AI428" s="402">
        <v>0.60000000000000009</v>
      </c>
      <c r="AJ428" s="402">
        <v>0.60000000000000009</v>
      </c>
      <c r="AK428" s="402">
        <v>0.60000000000000009</v>
      </c>
      <c r="AL428" s="260">
        <v>8200</v>
      </c>
      <c r="AM428" s="254">
        <f t="shared" si="60"/>
        <v>2460</v>
      </c>
      <c r="AN428" s="260">
        <v>1293</v>
      </c>
      <c r="AO428" s="254">
        <f t="shared" si="61"/>
        <v>387.9</v>
      </c>
      <c r="AP428" s="260">
        <v>160</v>
      </c>
      <c r="AQ428" s="254">
        <f t="shared" si="62"/>
        <v>56</v>
      </c>
      <c r="AR428" s="260">
        <v>7560</v>
      </c>
      <c r="AS428" s="257">
        <f t="shared" si="63"/>
        <v>0</v>
      </c>
      <c r="AT428" s="382">
        <v>2960</v>
      </c>
      <c r="AU428" s="257">
        <f t="shared" si="64"/>
        <v>1776.0000000000002</v>
      </c>
      <c r="AV428" s="268">
        <v>10000</v>
      </c>
      <c r="AW428" s="257">
        <f t="shared" si="65"/>
        <v>6000.0000000000009</v>
      </c>
      <c r="AX428" s="268">
        <v>10000</v>
      </c>
      <c r="AY428" s="257">
        <f t="shared" si="66"/>
        <v>6000.0000000000009</v>
      </c>
      <c r="AZ428" s="268">
        <v>12000</v>
      </c>
      <c r="BA428" s="257">
        <f t="shared" si="67"/>
        <v>7200.0000000000009</v>
      </c>
      <c r="BB428" s="268">
        <v>10000</v>
      </c>
      <c r="BC428" s="257">
        <f t="shared" si="68"/>
        <v>6000.0000000000009</v>
      </c>
      <c r="BD428" s="268">
        <v>10000</v>
      </c>
      <c r="BE428" s="257">
        <f t="shared" si="69"/>
        <v>6000.0000000000009</v>
      </c>
      <c r="BF428" s="59">
        <v>15000</v>
      </c>
      <c r="BG428" s="257">
        <f t="shared" si="70"/>
        <v>9000.0000000000018</v>
      </c>
      <c r="BH428" s="59">
        <v>10000</v>
      </c>
      <c r="BI428" s="257">
        <f t="shared" si="71"/>
        <v>6000.0000000000009</v>
      </c>
      <c r="BJ428" s="1" t="s">
        <v>885</v>
      </c>
      <c r="BK428" s="1" t="s">
        <v>532</v>
      </c>
      <c r="BL428" s="1" t="s">
        <v>457</v>
      </c>
      <c r="BM428" s="378" t="s">
        <v>886</v>
      </c>
    </row>
    <row r="429" spans="1:65" ht="15.6">
      <c r="A429" s="250" t="s">
        <v>951</v>
      </c>
      <c r="B429" s="59" t="s">
        <v>221</v>
      </c>
      <c r="C429" s="354" t="s">
        <v>172</v>
      </c>
      <c r="D429" s="419"/>
      <c r="E429" s="281" t="s">
        <v>332</v>
      </c>
      <c r="F429" s="422"/>
      <c r="G429" s="317">
        <v>2023</v>
      </c>
      <c r="H429" s="323" t="s">
        <v>419</v>
      </c>
      <c r="I429" s="327" t="s">
        <v>190</v>
      </c>
      <c r="J429" s="331">
        <v>15</v>
      </c>
      <c r="K429" s="323" t="s">
        <v>637</v>
      </c>
      <c r="L429" s="323" t="s">
        <v>177</v>
      </c>
      <c r="M429" s="303" t="s">
        <v>624</v>
      </c>
      <c r="N429" s="303">
        <v>3.08</v>
      </c>
      <c r="O429" s="303">
        <v>3.08</v>
      </c>
      <c r="P429" s="303">
        <v>3.05</v>
      </c>
      <c r="Q429" s="303">
        <v>3.05</v>
      </c>
      <c r="R429" s="401">
        <v>3.6</v>
      </c>
      <c r="S429" s="401">
        <v>3.6</v>
      </c>
      <c r="T429" s="401">
        <v>3.6</v>
      </c>
      <c r="U429" s="401">
        <v>3.6</v>
      </c>
      <c r="V429" s="401">
        <v>3.6</v>
      </c>
      <c r="W429" s="401">
        <v>3.6</v>
      </c>
      <c r="X429" s="401">
        <v>3.6</v>
      </c>
      <c r="Y429" s="401">
        <v>3.6</v>
      </c>
      <c r="Z429" s="59">
        <v>0.28000000000000003</v>
      </c>
      <c r="AA429" s="59">
        <v>0.28000000000000003</v>
      </c>
      <c r="AB429" s="59">
        <v>0.25</v>
      </c>
      <c r="AC429" s="304">
        <v>0</v>
      </c>
      <c r="AD429" s="402">
        <v>0.2</v>
      </c>
      <c r="AE429" s="402">
        <v>0.2</v>
      </c>
      <c r="AF429" s="402">
        <v>0.2</v>
      </c>
      <c r="AG429" s="402">
        <v>0.2</v>
      </c>
      <c r="AH429" s="402">
        <v>0.2</v>
      </c>
      <c r="AI429" s="402">
        <v>0.2</v>
      </c>
      <c r="AJ429" s="402">
        <v>0.2</v>
      </c>
      <c r="AK429" s="402">
        <v>0.2</v>
      </c>
      <c r="AL429" s="260">
        <v>40</v>
      </c>
      <c r="AM429" s="254">
        <f t="shared" si="60"/>
        <v>11.200000000000001</v>
      </c>
      <c r="AN429" s="260"/>
      <c r="AO429" s="254">
        <f t="shared" si="61"/>
        <v>0</v>
      </c>
      <c r="AP429" s="260"/>
      <c r="AQ429" s="254">
        <f t="shared" si="62"/>
        <v>0</v>
      </c>
      <c r="AR429" s="260">
        <v>40</v>
      </c>
      <c r="AS429" s="257">
        <f t="shared" si="63"/>
        <v>0</v>
      </c>
      <c r="AT429" s="383">
        <v>40</v>
      </c>
      <c r="AU429" s="257">
        <f t="shared" si="64"/>
        <v>8</v>
      </c>
      <c r="AV429" s="392"/>
      <c r="AW429" s="257">
        <f t="shared" si="65"/>
        <v>0</v>
      </c>
      <c r="AX429" s="260"/>
      <c r="AY429" s="257">
        <f t="shared" si="66"/>
        <v>0</v>
      </c>
      <c r="AZ429" s="260"/>
      <c r="BA429" s="257">
        <f t="shared" si="67"/>
        <v>0</v>
      </c>
      <c r="BB429" s="268"/>
      <c r="BC429" s="257">
        <f t="shared" si="68"/>
        <v>0</v>
      </c>
      <c r="BD429" s="268"/>
      <c r="BE429" s="257">
        <f t="shared" si="69"/>
        <v>0</v>
      </c>
      <c r="BF429" s="268"/>
      <c r="BG429" s="257">
        <f t="shared" si="70"/>
        <v>0</v>
      </c>
      <c r="BH429" s="268"/>
      <c r="BI429" s="257">
        <f t="shared" si="71"/>
        <v>0</v>
      </c>
      <c r="BJ429" s="1" t="s">
        <v>887</v>
      </c>
      <c r="BL429" s="1" t="s">
        <v>457</v>
      </c>
      <c r="BM429" s="378" t="s">
        <v>888</v>
      </c>
    </row>
    <row r="430" spans="1:65" ht="15.6">
      <c r="A430" s="250" t="s">
        <v>951</v>
      </c>
      <c r="B430" s="59" t="s">
        <v>221</v>
      </c>
      <c r="C430" s="354" t="s">
        <v>172</v>
      </c>
      <c r="D430" s="419"/>
      <c r="E430" s="281" t="s">
        <v>332</v>
      </c>
      <c r="F430" s="422"/>
      <c r="G430" s="317">
        <v>2023</v>
      </c>
      <c r="H430" s="323" t="s">
        <v>419</v>
      </c>
      <c r="I430" s="332" t="s">
        <v>183</v>
      </c>
      <c r="J430" s="331">
        <v>15</v>
      </c>
      <c r="K430" s="323" t="s">
        <v>210</v>
      </c>
      <c r="L430" s="323" t="s">
        <v>177</v>
      </c>
      <c r="M430" s="303" t="s">
        <v>624</v>
      </c>
      <c r="N430" s="303">
        <v>8.5</v>
      </c>
      <c r="O430" s="303">
        <v>8.5</v>
      </c>
      <c r="P430" s="303">
        <v>8.4</v>
      </c>
      <c r="Q430" s="303">
        <v>8.4</v>
      </c>
      <c r="R430" s="401">
        <v>9</v>
      </c>
      <c r="S430" s="401">
        <v>9</v>
      </c>
      <c r="T430" s="401">
        <v>9</v>
      </c>
      <c r="U430" s="401">
        <v>9</v>
      </c>
      <c r="V430" s="401">
        <v>9</v>
      </c>
      <c r="W430" s="401">
        <v>9</v>
      </c>
      <c r="X430" s="401">
        <v>9</v>
      </c>
      <c r="Y430" s="401">
        <v>9</v>
      </c>
      <c r="Z430" s="59">
        <v>1</v>
      </c>
      <c r="AA430" s="59">
        <v>1</v>
      </c>
      <c r="AB430" s="59">
        <v>1.1000000000000001</v>
      </c>
      <c r="AC430" s="304">
        <v>0</v>
      </c>
      <c r="AD430" s="402">
        <v>1.0999999999999996</v>
      </c>
      <c r="AE430" s="402">
        <v>1.0999999999999996</v>
      </c>
      <c r="AF430" s="402">
        <v>1.0999999999999996</v>
      </c>
      <c r="AG430" s="402">
        <v>1.0999999999999996</v>
      </c>
      <c r="AH430" s="402">
        <v>1.0999999999999996</v>
      </c>
      <c r="AI430" s="402">
        <v>1.0999999999999996</v>
      </c>
      <c r="AJ430" s="402">
        <v>1.0999999999999996</v>
      </c>
      <c r="AK430" s="402">
        <v>1.0999999999999996</v>
      </c>
      <c r="AL430" s="260"/>
      <c r="AM430" s="254">
        <f t="shared" si="60"/>
        <v>0</v>
      </c>
      <c r="AN430" s="260"/>
      <c r="AO430" s="254">
        <f t="shared" si="61"/>
        <v>0</v>
      </c>
      <c r="AP430" s="270"/>
      <c r="AQ430" s="254">
        <f t="shared" si="62"/>
        <v>0</v>
      </c>
      <c r="AR430" s="270"/>
      <c r="AS430" s="257">
        <f t="shared" si="63"/>
        <v>0</v>
      </c>
      <c r="AT430" s="382"/>
      <c r="AU430" s="257">
        <f t="shared" si="64"/>
        <v>0</v>
      </c>
      <c r="AV430" s="268"/>
      <c r="AW430" s="257">
        <f t="shared" si="65"/>
        <v>0</v>
      </c>
      <c r="AX430" s="270"/>
      <c r="AY430" s="257">
        <f t="shared" si="66"/>
        <v>0</v>
      </c>
      <c r="AZ430" s="270"/>
      <c r="BA430" s="257">
        <f t="shared" si="67"/>
        <v>0</v>
      </c>
      <c r="BB430" s="268"/>
      <c r="BC430" s="257">
        <f t="shared" si="68"/>
        <v>0</v>
      </c>
      <c r="BD430" s="268"/>
      <c r="BE430" s="257">
        <f t="shared" si="69"/>
        <v>0</v>
      </c>
      <c r="BF430" s="268"/>
      <c r="BG430" s="257">
        <f t="shared" si="70"/>
        <v>0</v>
      </c>
      <c r="BH430" s="268"/>
      <c r="BI430" s="257">
        <f t="shared" si="71"/>
        <v>0</v>
      </c>
      <c r="BJ430" s="1" t="s">
        <v>889</v>
      </c>
      <c r="BL430" s="1" t="s">
        <v>457</v>
      </c>
      <c r="BM430" s="378" t="s">
        <v>890</v>
      </c>
    </row>
    <row r="431" spans="1:65" ht="15.6">
      <c r="A431" s="250" t="s">
        <v>951</v>
      </c>
      <c r="B431" s="59" t="s">
        <v>221</v>
      </c>
      <c r="C431" s="354" t="s">
        <v>172</v>
      </c>
      <c r="D431" s="419"/>
      <c r="E431" s="281" t="s">
        <v>332</v>
      </c>
      <c r="F431" s="422"/>
      <c r="G431" s="317">
        <v>2023</v>
      </c>
      <c r="H431" s="323" t="s">
        <v>419</v>
      </c>
      <c r="I431" s="327" t="s">
        <v>190</v>
      </c>
      <c r="J431" s="331">
        <v>15</v>
      </c>
      <c r="K431" s="323" t="s">
        <v>210</v>
      </c>
      <c r="L431" s="323" t="s">
        <v>177</v>
      </c>
      <c r="M431" s="303" t="s">
        <v>624</v>
      </c>
      <c r="N431" s="303">
        <v>4.75</v>
      </c>
      <c r="O431" s="303">
        <v>4.75</v>
      </c>
      <c r="P431" s="303">
        <v>4.75</v>
      </c>
      <c r="Q431" s="303">
        <v>4.75</v>
      </c>
      <c r="R431" s="401">
        <v>5.5</v>
      </c>
      <c r="S431" s="401">
        <v>5.5</v>
      </c>
      <c r="T431" s="401">
        <v>5.5</v>
      </c>
      <c r="U431" s="401">
        <v>5.5</v>
      </c>
      <c r="V431" s="401">
        <v>5.5</v>
      </c>
      <c r="W431" s="401">
        <v>5.5</v>
      </c>
      <c r="X431" s="401">
        <v>5.5</v>
      </c>
      <c r="Y431" s="401">
        <v>5.5</v>
      </c>
      <c r="Z431" s="59">
        <v>0.35</v>
      </c>
      <c r="AA431" s="59">
        <v>0.35</v>
      </c>
      <c r="AB431" s="59">
        <v>0.35</v>
      </c>
      <c r="AC431" s="304">
        <v>0</v>
      </c>
      <c r="AD431" s="402">
        <v>0.5</v>
      </c>
      <c r="AE431" s="402">
        <v>0.5</v>
      </c>
      <c r="AF431" s="402">
        <v>0.5</v>
      </c>
      <c r="AG431" s="402">
        <v>0.5</v>
      </c>
      <c r="AH431" s="402">
        <v>0.5</v>
      </c>
      <c r="AI431" s="402">
        <v>0.5</v>
      </c>
      <c r="AJ431" s="402">
        <v>0.5</v>
      </c>
      <c r="AK431" s="402">
        <v>0.5</v>
      </c>
      <c r="AL431" s="260"/>
      <c r="AM431" s="254">
        <f t="shared" si="60"/>
        <v>0</v>
      </c>
      <c r="AN431" s="260"/>
      <c r="AO431" s="254">
        <f t="shared" si="61"/>
        <v>0</v>
      </c>
      <c r="AP431" s="260"/>
      <c r="AQ431" s="254">
        <f t="shared" si="62"/>
        <v>0</v>
      </c>
      <c r="AR431" s="260"/>
      <c r="AS431" s="257">
        <f t="shared" si="63"/>
        <v>0</v>
      </c>
      <c r="AT431" s="382"/>
      <c r="AU431" s="257">
        <f t="shared" si="64"/>
        <v>0</v>
      </c>
      <c r="AV431" s="268"/>
      <c r="AW431" s="257">
        <f t="shared" si="65"/>
        <v>0</v>
      </c>
      <c r="AX431" s="270"/>
      <c r="AY431" s="257">
        <f t="shared" si="66"/>
        <v>0</v>
      </c>
      <c r="AZ431" s="270"/>
      <c r="BA431" s="257">
        <f t="shared" si="67"/>
        <v>0</v>
      </c>
      <c r="BB431" s="268"/>
      <c r="BC431" s="257">
        <f t="shared" si="68"/>
        <v>0</v>
      </c>
      <c r="BD431" s="268"/>
      <c r="BE431" s="257">
        <f t="shared" si="69"/>
        <v>0</v>
      </c>
      <c r="BF431" s="268"/>
      <c r="BG431" s="257">
        <f t="shared" si="70"/>
        <v>0</v>
      </c>
      <c r="BH431" s="268"/>
      <c r="BI431" s="257">
        <f t="shared" si="71"/>
        <v>0</v>
      </c>
      <c r="BJ431" s="1" t="s">
        <v>891</v>
      </c>
      <c r="BL431" s="1" t="s">
        <v>457</v>
      </c>
      <c r="BM431" s="378" t="s">
        <v>892</v>
      </c>
    </row>
    <row r="432" spans="1:65" ht="15.6">
      <c r="A432" s="250" t="s">
        <v>951</v>
      </c>
      <c r="B432" s="59" t="s">
        <v>221</v>
      </c>
      <c r="C432" s="354" t="s">
        <v>172</v>
      </c>
      <c r="D432" s="419"/>
      <c r="E432" s="281" t="s">
        <v>332</v>
      </c>
      <c r="F432" s="422"/>
      <c r="G432" s="317">
        <v>2023</v>
      </c>
      <c r="H432" s="323" t="s">
        <v>419</v>
      </c>
      <c r="I432" s="332" t="s">
        <v>183</v>
      </c>
      <c r="J432" s="331">
        <v>15</v>
      </c>
      <c r="K432" s="328" t="s">
        <v>243</v>
      </c>
      <c r="L432" s="323" t="s">
        <v>177</v>
      </c>
      <c r="M432" s="303" t="s">
        <v>624</v>
      </c>
      <c r="N432" s="303">
        <v>7.8</v>
      </c>
      <c r="O432" s="303">
        <v>7.8</v>
      </c>
      <c r="P432" s="303">
        <v>7.75</v>
      </c>
      <c r="Q432" s="303">
        <v>7.75</v>
      </c>
      <c r="R432" s="401">
        <v>8.1999999999999993</v>
      </c>
      <c r="S432" s="401">
        <v>8.1999999999999993</v>
      </c>
      <c r="T432" s="401">
        <v>8.1999999999999993</v>
      </c>
      <c r="U432" s="401">
        <v>8.1999999999999993</v>
      </c>
      <c r="V432" s="401">
        <v>8.1999999999999993</v>
      </c>
      <c r="W432" s="401">
        <v>8.1999999999999993</v>
      </c>
      <c r="X432" s="401">
        <v>8.1999999999999993</v>
      </c>
      <c r="Y432" s="401">
        <v>8.1999999999999993</v>
      </c>
      <c r="Z432" s="59">
        <v>0.6</v>
      </c>
      <c r="AA432" s="59">
        <v>0.6</v>
      </c>
      <c r="AB432" s="59">
        <v>0.65</v>
      </c>
      <c r="AC432" s="304">
        <v>0</v>
      </c>
      <c r="AD432" s="402">
        <v>0.5</v>
      </c>
      <c r="AE432" s="402">
        <v>0.5</v>
      </c>
      <c r="AF432" s="402">
        <v>0.5</v>
      </c>
      <c r="AG432" s="402">
        <v>0.5</v>
      </c>
      <c r="AH432" s="402">
        <v>0.5</v>
      </c>
      <c r="AI432" s="402">
        <v>0.5</v>
      </c>
      <c r="AJ432" s="402">
        <v>0.5</v>
      </c>
      <c r="AK432" s="402">
        <v>0.5</v>
      </c>
      <c r="AL432" s="260">
        <v>1120</v>
      </c>
      <c r="AM432" s="254">
        <f t="shared" si="60"/>
        <v>672</v>
      </c>
      <c r="AN432" s="260">
        <v>280</v>
      </c>
      <c r="AO432" s="254">
        <f t="shared" si="61"/>
        <v>168</v>
      </c>
      <c r="AP432" s="260">
        <v>640</v>
      </c>
      <c r="AQ432" s="254">
        <f t="shared" si="62"/>
        <v>416</v>
      </c>
      <c r="AR432" s="260">
        <v>80</v>
      </c>
      <c r="AS432" s="257">
        <f t="shared" si="63"/>
        <v>0</v>
      </c>
      <c r="AT432" s="383">
        <v>120</v>
      </c>
      <c r="AU432" s="257">
        <f t="shared" si="64"/>
        <v>60</v>
      </c>
      <c r="AV432" s="392"/>
      <c r="AW432" s="257">
        <f t="shared" si="65"/>
        <v>0</v>
      </c>
      <c r="AX432" s="260"/>
      <c r="AY432" s="257">
        <f t="shared" si="66"/>
        <v>0</v>
      </c>
      <c r="AZ432" s="260"/>
      <c r="BA432" s="257">
        <f t="shared" si="67"/>
        <v>0</v>
      </c>
      <c r="BB432" s="268"/>
      <c r="BC432" s="257">
        <f t="shared" si="68"/>
        <v>0</v>
      </c>
      <c r="BD432" s="268"/>
      <c r="BE432" s="257">
        <f t="shared" si="69"/>
        <v>0</v>
      </c>
      <c r="BF432" s="268"/>
      <c r="BG432" s="257">
        <f t="shared" si="70"/>
        <v>0</v>
      </c>
      <c r="BH432" s="268"/>
      <c r="BI432" s="257">
        <f t="shared" si="71"/>
        <v>0</v>
      </c>
      <c r="BJ432" s="1" t="s">
        <v>893</v>
      </c>
      <c r="BL432" s="1" t="s">
        <v>457</v>
      </c>
      <c r="BM432" s="378" t="s">
        <v>894</v>
      </c>
    </row>
    <row r="433" spans="1:65" ht="15.6">
      <c r="A433" s="250" t="s">
        <v>951</v>
      </c>
      <c r="B433" s="59" t="s">
        <v>221</v>
      </c>
      <c r="C433" s="354" t="s">
        <v>172</v>
      </c>
      <c r="D433" s="419"/>
      <c r="E433" s="281" t="s">
        <v>332</v>
      </c>
      <c r="F433" s="422"/>
      <c r="G433" s="317">
        <v>2023</v>
      </c>
      <c r="H433" s="323" t="s">
        <v>419</v>
      </c>
      <c r="I433" s="327" t="s">
        <v>190</v>
      </c>
      <c r="J433" s="331">
        <v>15</v>
      </c>
      <c r="K433" s="328" t="s">
        <v>243</v>
      </c>
      <c r="L433" s="323" t="s">
        <v>177</v>
      </c>
      <c r="M433" s="303" t="s">
        <v>624</v>
      </c>
      <c r="N433" s="303">
        <v>3.08</v>
      </c>
      <c r="O433" s="303">
        <v>3.08</v>
      </c>
      <c r="P433" s="303">
        <v>3.05</v>
      </c>
      <c r="Q433" s="303">
        <v>3.05</v>
      </c>
      <c r="R433" s="401">
        <v>3.6</v>
      </c>
      <c r="S433" s="401">
        <v>3.6</v>
      </c>
      <c r="T433" s="401">
        <v>3.6</v>
      </c>
      <c r="U433" s="401">
        <v>3.6</v>
      </c>
      <c r="V433" s="401">
        <v>3.6</v>
      </c>
      <c r="W433" s="401">
        <v>3.6</v>
      </c>
      <c r="X433" s="401">
        <v>3.6</v>
      </c>
      <c r="Y433" s="401">
        <v>3.6</v>
      </c>
      <c r="Z433" s="59">
        <v>0.28000000000000003</v>
      </c>
      <c r="AA433" s="59">
        <v>0.28000000000000003</v>
      </c>
      <c r="AB433" s="59">
        <v>0.25</v>
      </c>
      <c r="AC433" s="304">
        <v>0</v>
      </c>
      <c r="AD433" s="402">
        <v>0.2</v>
      </c>
      <c r="AE433" s="402">
        <v>0.2</v>
      </c>
      <c r="AF433" s="402">
        <v>0.2</v>
      </c>
      <c r="AG433" s="402">
        <v>0.2</v>
      </c>
      <c r="AH433" s="402">
        <v>0.2</v>
      </c>
      <c r="AI433" s="402">
        <v>0.2</v>
      </c>
      <c r="AJ433" s="402">
        <v>0.2</v>
      </c>
      <c r="AK433" s="402">
        <v>0.2</v>
      </c>
      <c r="AL433" s="260"/>
      <c r="AM433" s="254">
        <f t="shared" si="60"/>
        <v>0</v>
      </c>
      <c r="AN433" s="260"/>
      <c r="AO433" s="254">
        <f t="shared" si="61"/>
        <v>0</v>
      </c>
      <c r="AP433" s="260">
        <v>40</v>
      </c>
      <c r="AQ433" s="254">
        <f t="shared" si="62"/>
        <v>10</v>
      </c>
      <c r="AR433" s="260">
        <v>40</v>
      </c>
      <c r="AS433" s="257">
        <f t="shared" si="63"/>
        <v>0</v>
      </c>
      <c r="AT433" s="383"/>
      <c r="AU433" s="257">
        <f t="shared" si="64"/>
        <v>0</v>
      </c>
      <c r="AV433" s="392"/>
      <c r="AW433" s="257">
        <f t="shared" si="65"/>
        <v>0</v>
      </c>
      <c r="AX433" s="260"/>
      <c r="AY433" s="257">
        <f t="shared" si="66"/>
        <v>0</v>
      </c>
      <c r="AZ433" s="260"/>
      <c r="BA433" s="257">
        <f t="shared" si="67"/>
        <v>0</v>
      </c>
      <c r="BB433" s="268"/>
      <c r="BC433" s="257">
        <f t="shared" si="68"/>
        <v>0</v>
      </c>
      <c r="BD433" s="268"/>
      <c r="BE433" s="257">
        <f t="shared" si="69"/>
        <v>0</v>
      </c>
      <c r="BF433" s="268"/>
      <c r="BG433" s="257">
        <f t="shared" si="70"/>
        <v>0</v>
      </c>
      <c r="BH433" s="268"/>
      <c r="BI433" s="257">
        <f t="shared" si="71"/>
        <v>0</v>
      </c>
      <c r="BJ433" s="1" t="s">
        <v>895</v>
      </c>
      <c r="BL433" s="1" t="s">
        <v>457</v>
      </c>
      <c r="BM433" s="378" t="s">
        <v>896</v>
      </c>
    </row>
    <row r="434" spans="1:65" ht="15.6">
      <c r="A434" s="250" t="s">
        <v>951</v>
      </c>
      <c r="B434" s="59" t="s">
        <v>221</v>
      </c>
      <c r="C434" s="354" t="s">
        <v>172</v>
      </c>
      <c r="D434" s="419"/>
      <c r="E434" s="281" t="s">
        <v>332</v>
      </c>
      <c r="F434" s="422"/>
      <c r="G434" s="317">
        <v>2023</v>
      </c>
      <c r="H434" s="323" t="s">
        <v>419</v>
      </c>
      <c r="I434" s="332" t="s">
        <v>183</v>
      </c>
      <c r="J434" s="331">
        <v>15</v>
      </c>
      <c r="K434" s="323" t="s">
        <v>247</v>
      </c>
      <c r="L434" s="323" t="s">
        <v>177</v>
      </c>
      <c r="M434" s="303" t="s">
        <v>624</v>
      </c>
      <c r="N434" s="303">
        <v>8.5</v>
      </c>
      <c r="O434" s="303">
        <v>8.5</v>
      </c>
      <c r="P434" s="303">
        <v>8.4</v>
      </c>
      <c r="Q434" s="303">
        <v>8.4</v>
      </c>
      <c r="R434" s="401">
        <v>9</v>
      </c>
      <c r="S434" s="401">
        <v>9</v>
      </c>
      <c r="T434" s="401">
        <v>9</v>
      </c>
      <c r="U434" s="401">
        <v>9</v>
      </c>
      <c r="V434" s="401">
        <v>9</v>
      </c>
      <c r="W434" s="401">
        <v>9</v>
      </c>
      <c r="X434" s="401">
        <v>9</v>
      </c>
      <c r="Y434" s="401">
        <v>9</v>
      </c>
      <c r="Z434" s="59">
        <v>1</v>
      </c>
      <c r="AA434" s="59">
        <v>1</v>
      </c>
      <c r="AB434" s="59">
        <v>1.1000000000000001</v>
      </c>
      <c r="AC434" s="304">
        <v>0</v>
      </c>
      <c r="AD434" s="402">
        <v>1.0999999999999996</v>
      </c>
      <c r="AE434" s="402">
        <v>1.0999999999999996</v>
      </c>
      <c r="AF434" s="402">
        <v>1.0999999999999996</v>
      </c>
      <c r="AG434" s="402">
        <v>1.0999999999999996</v>
      </c>
      <c r="AH434" s="402">
        <v>1.0999999999999996</v>
      </c>
      <c r="AI434" s="402">
        <v>1.0999999999999996</v>
      </c>
      <c r="AJ434" s="402">
        <v>1.0999999999999996</v>
      </c>
      <c r="AK434" s="402">
        <v>1.0999999999999996</v>
      </c>
      <c r="AL434" s="260"/>
      <c r="AM434" s="254">
        <f t="shared" si="60"/>
        <v>0</v>
      </c>
      <c r="AN434" s="260"/>
      <c r="AO434" s="254">
        <f t="shared" si="61"/>
        <v>0</v>
      </c>
      <c r="AP434" s="274"/>
      <c r="AQ434" s="254">
        <f t="shared" si="62"/>
        <v>0</v>
      </c>
      <c r="AR434" s="256"/>
      <c r="AS434" s="257">
        <f t="shared" si="63"/>
        <v>0</v>
      </c>
      <c r="AT434" s="382"/>
      <c r="AU434" s="257">
        <f t="shared" si="64"/>
        <v>0</v>
      </c>
      <c r="AV434" s="268"/>
      <c r="AW434" s="257">
        <f t="shared" si="65"/>
        <v>0</v>
      </c>
      <c r="AX434" s="268"/>
      <c r="AY434" s="257">
        <f t="shared" si="66"/>
        <v>0</v>
      </c>
      <c r="AZ434" s="268"/>
      <c r="BA434" s="257">
        <f t="shared" si="67"/>
        <v>0</v>
      </c>
      <c r="BB434" s="268"/>
      <c r="BC434" s="257">
        <f t="shared" si="68"/>
        <v>0</v>
      </c>
      <c r="BD434" s="59"/>
      <c r="BE434" s="257">
        <f t="shared" si="69"/>
        <v>0</v>
      </c>
      <c r="BF434" s="59"/>
      <c r="BG434" s="257">
        <f t="shared" si="70"/>
        <v>0</v>
      </c>
      <c r="BH434" s="59"/>
      <c r="BI434" s="257">
        <f t="shared" si="71"/>
        <v>0</v>
      </c>
      <c r="BJ434" s="1" t="s">
        <v>897</v>
      </c>
      <c r="BL434" s="1" t="s">
        <v>457</v>
      </c>
      <c r="BM434" s="378" t="s">
        <v>898</v>
      </c>
    </row>
    <row r="435" spans="1:65" ht="15.6">
      <c r="A435" s="250" t="s">
        <v>951</v>
      </c>
      <c r="B435" s="59" t="s">
        <v>221</v>
      </c>
      <c r="C435" s="354" t="s">
        <v>172</v>
      </c>
      <c r="D435" s="419"/>
      <c r="E435" s="281" t="s">
        <v>332</v>
      </c>
      <c r="F435" s="422"/>
      <c r="G435" s="317">
        <v>2023</v>
      </c>
      <c r="H435" s="323" t="s">
        <v>419</v>
      </c>
      <c r="I435" s="332" t="s">
        <v>183</v>
      </c>
      <c r="J435" s="331">
        <v>15</v>
      </c>
      <c r="K435" s="323" t="s">
        <v>899</v>
      </c>
      <c r="L435" s="323" t="s">
        <v>177</v>
      </c>
      <c r="M435" s="303" t="s">
        <v>624</v>
      </c>
      <c r="N435" s="303">
        <v>8.5</v>
      </c>
      <c r="O435" s="303">
        <v>8.5</v>
      </c>
      <c r="P435" s="303">
        <v>8.4</v>
      </c>
      <c r="Q435" s="303">
        <v>8.4</v>
      </c>
      <c r="R435" s="401">
        <v>9</v>
      </c>
      <c r="S435" s="401">
        <v>9</v>
      </c>
      <c r="T435" s="401">
        <v>9</v>
      </c>
      <c r="U435" s="401">
        <v>9</v>
      </c>
      <c r="V435" s="401">
        <v>9</v>
      </c>
      <c r="W435" s="401">
        <v>9</v>
      </c>
      <c r="X435" s="401">
        <v>9</v>
      </c>
      <c r="Y435" s="401">
        <v>9</v>
      </c>
      <c r="Z435" s="59">
        <v>1</v>
      </c>
      <c r="AA435" s="59">
        <v>1</v>
      </c>
      <c r="AB435" s="59">
        <v>1.1000000000000001</v>
      </c>
      <c r="AC435" s="304">
        <v>0</v>
      </c>
      <c r="AD435" s="402">
        <v>1.0999999999999996</v>
      </c>
      <c r="AE435" s="402">
        <v>1.0999999999999996</v>
      </c>
      <c r="AF435" s="402">
        <v>1.0999999999999996</v>
      </c>
      <c r="AG435" s="402">
        <v>1.0999999999999996</v>
      </c>
      <c r="AH435" s="402">
        <v>1.0999999999999996</v>
      </c>
      <c r="AI435" s="402">
        <v>1.0999999999999996</v>
      </c>
      <c r="AJ435" s="402">
        <v>1.0999999999999996</v>
      </c>
      <c r="AK435" s="402">
        <v>1.0999999999999996</v>
      </c>
      <c r="AL435" s="260"/>
      <c r="AM435" s="254">
        <f t="shared" si="60"/>
        <v>0</v>
      </c>
      <c r="AN435" s="260"/>
      <c r="AO435" s="254">
        <f t="shared" si="61"/>
        <v>0</v>
      </c>
      <c r="AP435" s="274"/>
      <c r="AQ435" s="254">
        <f t="shared" si="62"/>
        <v>0</v>
      </c>
      <c r="AR435" s="256"/>
      <c r="AS435" s="257">
        <f t="shared" si="63"/>
        <v>0</v>
      </c>
      <c r="AT435" s="382"/>
      <c r="AU435" s="257">
        <f t="shared" si="64"/>
        <v>0</v>
      </c>
      <c r="AV435" s="268"/>
      <c r="AW435" s="257">
        <f t="shared" si="65"/>
        <v>0</v>
      </c>
      <c r="AX435" s="268"/>
      <c r="AY435" s="257">
        <f t="shared" si="66"/>
        <v>0</v>
      </c>
      <c r="AZ435" s="268"/>
      <c r="BA435" s="257">
        <f t="shared" si="67"/>
        <v>0</v>
      </c>
      <c r="BB435" s="268"/>
      <c r="BC435" s="257">
        <f t="shared" si="68"/>
        <v>0</v>
      </c>
      <c r="BD435" s="59"/>
      <c r="BE435" s="257">
        <f t="shared" si="69"/>
        <v>0</v>
      </c>
      <c r="BF435" s="59"/>
      <c r="BG435" s="257">
        <f t="shared" si="70"/>
        <v>0</v>
      </c>
      <c r="BH435" s="59"/>
      <c r="BI435" s="257">
        <f t="shared" si="71"/>
        <v>0</v>
      </c>
      <c r="BJ435" s="1" t="s">
        <v>900</v>
      </c>
      <c r="BL435" s="1" t="s">
        <v>457</v>
      </c>
      <c r="BM435" s="378" t="s">
        <v>901</v>
      </c>
    </row>
    <row r="436" spans="1:65" ht="15.6">
      <c r="A436" s="250" t="s">
        <v>951</v>
      </c>
      <c r="B436" s="59" t="s">
        <v>221</v>
      </c>
      <c r="C436" s="354" t="s">
        <v>172</v>
      </c>
      <c r="D436" s="419"/>
      <c r="E436" s="281" t="s">
        <v>332</v>
      </c>
      <c r="F436" s="422"/>
      <c r="G436" s="317">
        <v>2023</v>
      </c>
      <c r="H436" s="323" t="s">
        <v>419</v>
      </c>
      <c r="I436" s="332" t="s">
        <v>183</v>
      </c>
      <c r="J436" s="331">
        <v>15</v>
      </c>
      <c r="K436" s="323" t="s">
        <v>422</v>
      </c>
      <c r="L436" s="323" t="s">
        <v>177</v>
      </c>
      <c r="M436" s="303" t="s">
        <v>624</v>
      </c>
      <c r="N436" s="303">
        <v>8.5</v>
      </c>
      <c r="O436" s="303">
        <v>8.5</v>
      </c>
      <c r="P436" s="303">
        <v>8.4</v>
      </c>
      <c r="Q436" s="303">
        <v>8.4</v>
      </c>
      <c r="R436" s="401">
        <v>9</v>
      </c>
      <c r="S436" s="401">
        <v>9</v>
      </c>
      <c r="T436" s="401">
        <v>9</v>
      </c>
      <c r="U436" s="401">
        <v>9</v>
      </c>
      <c r="V436" s="401">
        <v>9</v>
      </c>
      <c r="W436" s="401">
        <v>9</v>
      </c>
      <c r="X436" s="401">
        <v>9</v>
      </c>
      <c r="Y436" s="401">
        <v>9</v>
      </c>
      <c r="Z436" s="59">
        <v>1</v>
      </c>
      <c r="AA436" s="59">
        <v>1</v>
      </c>
      <c r="AB436" s="59">
        <v>1.1000000000000001</v>
      </c>
      <c r="AC436" s="304">
        <v>0</v>
      </c>
      <c r="AD436" s="402">
        <v>1.0999999999999996</v>
      </c>
      <c r="AE436" s="402">
        <v>1.0999999999999996</v>
      </c>
      <c r="AF436" s="402">
        <v>1.0999999999999996</v>
      </c>
      <c r="AG436" s="402">
        <v>1.0999999999999996</v>
      </c>
      <c r="AH436" s="402">
        <v>1.0999999999999996</v>
      </c>
      <c r="AI436" s="402">
        <v>1.0999999999999996</v>
      </c>
      <c r="AJ436" s="402">
        <v>1.0999999999999996</v>
      </c>
      <c r="AK436" s="402">
        <v>1.0999999999999996</v>
      </c>
      <c r="AL436" s="260"/>
      <c r="AM436" s="254">
        <f t="shared" si="60"/>
        <v>0</v>
      </c>
      <c r="AN436" s="260"/>
      <c r="AO436" s="254">
        <f t="shared" si="61"/>
        <v>0</v>
      </c>
      <c r="AP436" s="274"/>
      <c r="AQ436" s="254">
        <f t="shared" si="62"/>
        <v>0</v>
      </c>
      <c r="AR436" s="256"/>
      <c r="AS436" s="257">
        <f t="shared" si="63"/>
        <v>0</v>
      </c>
      <c r="AT436" s="382"/>
      <c r="AU436" s="257">
        <f t="shared" si="64"/>
        <v>0</v>
      </c>
      <c r="AV436" s="268"/>
      <c r="AW436" s="257">
        <f t="shared" si="65"/>
        <v>0</v>
      </c>
      <c r="AX436" s="268"/>
      <c r="AY436" s="257">
        <f t="shared" si="66"/>
        <v>0</v>
      </c>
      <c r="AZ436" s="268"/>
      <c r="BA436" s="257">
        <f t="shared" si="67"/>
        <v>0</v>
      </c>
      <c r="BB436" s="268"/>
      <c r="BC436" s="257">
        <f t="shared" si="68"/>
        <v>0</v>
      </c>
      <c r="BD436" s="59"/>
      <c r="BE436" s="257">
        <f t="shared" si="69"/>
        <v>0</v>
      </c>
      <c r="BF436" s="59"/>
      <c r="BG436" s="257">
        <f t="shared" si="70"/>
        <v>0</v>
      </c>
      <c r="BH436" s="59"/>
      <c r="BI436" s="257">
        <f t="shared" si="71"/>
        <v>0</v>
      </c>
      <c r="BJ436" s="1" t="s">
        <v>902</v>
      </c>
      <c r="BL436" s="1" t="s">
        <v>457</v>
      </c>
      <c r="BM436" s="378" t="s">
        <v>903</v>
      </c>
    </row>
    <row r="437" spans="1:65" ht="15.6">
      <c r="A437" s="250" t="s">
        <v>951</v>
      </c>
      <c r="B437" s="59" t="s">
        <v>221</v>
      </c>
      <c r="C437" s="354" t="s">
        <v>172</v>
      </c>
      <c r="D437" s="419"/>
      <c r="E437" s="281" t="s">
        <v>332</v>
      </c>
      <c r="F437" s="422"/>
      <c r="G437" s="317">
        <v>2023</v>
      </c>
      <c r="H437" s="323" t="s">
        <v>419</v>
      </c>
      <c r="I437" s="332" t="s">
        <v>183</v>
      </c>
      <c r="J437" s="331">
        <v>15</v>
      </c>
      <c r="K437" s="323" t="s">
        <v>423</v>
      </c>
      <c r="L437" s="323" t="s">
        <v>177</v>
      </c>
      <c r="M437" s="303" t="s">
        <v>624</v>
      </c>
      <c r="N437" s="303">
        <v>8.5</v>
      </c>
      <c r="O437" s="303">
        <v>8.5</v>
      </c>
      <c r="P437" s="303">
        <v>8.4</v>
      </c>
      <c r="Q437" s="303">
        <v>8.4</v>
      </c>
      <c r="R437" s="401">
        <v>9</v>
      </c>
      <c r="S437" s="401">
        <v>9</v>
      </c>
      <c r="T437" s="401">
        <v>9</v>
      </c>
      <c r="U437" s="401">
        <v>9</v>
      </c>
      <c r="V437" s="401">
        <v>9</v>
      </c>
      <c r="W437" s="401">
        <v>9</v>
      </c>
      <c r="X437" s="401">
        <v>9</v>
      </c>
      <c r="Y437" s="401">
        <v>9</v>
      </c>
      <c r="Z437" s="59">
        <v>1</v>
      </c>
      <c r="AA437" s="59">
        <v>1</v>
      </c>
      <c r="AB437" s="59">
        <v>1.1000000000000001</v>
      </c>
      <c r="AC437" s="304">
        <v>0</v>
      </c>
      <c r="AD437" s="402">
        <v>1.0999999999999996</v>
      </c>
      <c r="AE437" s="402">
        <v>1.0999999999999996</v>
      </c>
      <c r="AF437" s="402">
        <v>1.0999999999999996</v>
      </c>
      <c r="AG437" s="402">
        <v>1.0999999999999996</v>
      </c>
      <c r="AH437" s="402">
        <v>1.0999999999999996</v>
      </c>
      <c r="AI437" s="402">
        <v>1.0999999999999996</v>
      </c>
      <c r="AJ437" s="402">
        <v>1.0999999999999996</v>
      </c>
      <c r="AK437" s="402">
        <v>1.0999999999999996</v>
      </c>
      <c r="AL437" s="260"/>
      <c r="AM437" s="254">
        <f t="shared" si="60"/>
        <v>0</v>
      </c>
      <c r="AN437" s="260"/>
      <c r="AO437" s="254">
        <f t="shared" si="61"/>
        <v>0</v>
      </c>
      <c r="AP437" s="274"/>
      <c r="AQ437" s="254">
        <f t="shared" si="62"/>
        <v>0</v>
      </c>
      <c r="AR437" s="256"/>
      <c r="AS437" s="257">
        <f t="shared" si="63"/>
        <v>0</v>
      </c>
      <c r="AT437" s="382"/>
      <c r="AU437" s="257">
        <f t="shared" si="64"/>
        <v>0</v>
      </c>
      <c r="AV437" s="268"/>
      <c r="AW437" s="257">
        <f t="shared" si="65"/>
        <v>0</v>
      </c>
      <c r="AX437" s="268"/>
      <c r="AY437" s="257">
        <f t="shared" si="66"/>
        <v>0</v>
      </c>
      <c r="AZ437" s="268"/>
      <c r="BA437" s="257">
        <f t="shared" si="67"/>
        <v>0</v>
      </c>
      <c r="BB437" s="268"/>
      <c r="BC437" s="257">
        <f t="shared" si="68"/>
        <v>0</v>
      </c>
      <c r="BD437" s="59"/>
      <c r="BE437" s="257">
        <f t="shared" si="69"/>
        <v>0</v>
      </c>
      <c r="BF437" s="59"/>
      <c r="BG437" s="257">
        <f t="shared" si="70"/>
        <v>0</v>
      </c>
      <c r="BH437" s="59"/>
      <c r="BI437" s="257">
        <f t="shared" si="71"/>
        <v>0</v>
      </c>
      <c r="BJ437" s="1" t="s">
        <v>904</v>
      </c>
      <c r="BL437" s="1" t="s">
        <v>457</v>
      </c>
      <c r="BM437" s="378" t="s">
        <v>905</v>
      </c>
    </row>
    <row r="438" spans="1:65" ht="15.6">
      <c r="A438" s="250" t="s">
        <v>951</v>
      </c>
      <c r="B438" s="59" t="s">
        <v>221</v>
      </c>
      <c r="C438" s="354" t="s">
        <v>172</v>
      </c>
      <c r="D438" s="419"/>
      <c r="E438" s="281" t="s">
        <v>332</v>
      </c>
      <c r="F438" s="422"/>
      <c r="G438" s="317">
        <v>2023</v>
      </c>
      <c r="H438" s="323" t="s">
        <v>419</v>
      </c>
      <c r="I438" s="327" t="s">
        <v>190</v>
      </c>
      <c r="J438" s="331">
        <v>15</v>
      </c>
      <c r="K438" s="323" t="s">
        <v>637</v>
      </c>
      <c r="L438" s="323" t="s">
        <v>177</v>
      </c>
      <c r="M438" s="303" t="s">
        <v>624</v>
      </c>
      <c r="N438" s="303">
        <v>3.08</v>
      </c>
      <c r="O438" s="303">
        <v>3.08</v>
      </c>
      <c r="P438" s="303">
        <v>3.05</v>
      </c>
      <c r="Q438" s="303">
        <v>3.05</v>
      </c>
      <c r="R438" s="401">
        <v>3.6</v>
      </c>
      <c r="S438" s="401">
        <v>3.6</v>
      </c>
      <c r="T438" s="401">
        <v>3.6</v>
      </c>
      <c r="U438" s="401">
        <v>3.6</v>
      </c>
      <c r="V438" s="401">
        <v>3.6</v>
      </c>
      <c r="W438" s="401">
        <v>3.6</v>
      </c>
      <c r="X438" s="401">
        <v>3.6</v>
      </c>
      <c r="Y438" s="401">
        <v>3.6</v>
      </c>
      <c r="Z438" s="59">
        <v>0.28000000000000003</v>
      </c>
      <c r="AA438" s="59">
        <v>0.28000000000000003</v>
      </c>
      <c r="AB438" s="59">
        <v>0.25</v>
      </c>
      <c r="AC438" s="304">
        <v>0</v>
      </c>
      <c r="AD438" s="402">
        <v>0.2</v>
      </c>
      <c r="AE438" s="402">
        <v>0.2</v>
      </c>
      <c r="AF438" s="402">
        <v>0.2</v>
      </c>
      <c r="AG438" s="402">
        <v>0.2</v>
      </c>
      <c r="AH438" s="402">
        <v>0.2</v>
      </c>
      <c r="AI438" s="402">
        <v>0.2</v>
      </c>
      <c r="AJ438" s="402">
        <v>0.2</v>
      </c>
      <c r="AK438" s="402">
        <v>0.2</v>
      </c>
      <c r="AL438" s="260">
        <v>32970</v>
      </c>
      <c r="AM438" s="254">
        <f t="shared" si="60"/>
        <v>9231.6</v>
      </c>
      <c r="AN438" s="260">
        <v>30463</v>
      </c>
      <c r="AO438" s="254">
        <f t="shared" si="61"/>
        <v>8529.6400000000012</v>
      </c>
      <c r="AP438" s="271">
        <v>20590</v>
      </c>
      <c r="AQ438" s="254">
        <f t="shared" si="62"/>
        <v>5147.5</v>
      </c>
      <c r="AR438" s="261">
        <v>5665</v>
      </c>
      <c r="AS438" s="257">
        <f t="shared" si="63"/>
        <v>0</v>
      </c>
      <c r="AT438" s="382">
        <v>20238</v>
      </c>
      <c r="AU438" s="257">
        <f t="shared" si="64"/>
        <v>4047.6000000000004</v>
      </c>
      <c r="AV438" s="268">
        <v>15000</v>
      </c>
      <c r="AW438" s="257">
        <f t="shared" si="65"/>
        <v>3000</v>
      </c>
      <c r="AX438" s="268">
        <v>15000</v>
      </c>
      <c r="AY438" s="257">
        <f t="shared" si="66"/>
        <v>3000</v>
      </c>
      <c r="AZ438" s="268">
        <v>18000</v>
      </c>
      <c r="BA438" s="257">
        <f t="shared" si="67"/>
        <v>3600</v>
      </c>
      <c r="BB438" s="268">
        <v>15000</v>
      </c>
      <c r="BC438" s="257">
        <f t="shared" si="68"/>
        <v>3000</v>
      </c>
      <c r="BD438" s="268">
        <v>13000</v>
      </c>
      <c r="BE438" s="257">
        <f t="shared" si="69"/>
        <v>2600</v>
      </c>
      <c r="BF438" s="59">
        <v>20000</v>
      </c>
      <c r="BG438" s="257">
        <f t="shared" si="70"/>
        <v>4000</v>
      </c>
      <c r="BH438" s="59">
        <v>15000</v>
      </c>
      <c r="BI438" s="257">
        <f t="shared" si="71"/>
        <v>3000</v>
      </c>
      <c r="BJ438" s="1" t="s">
        <v>906</v>
      </c>
      <c r="BK438" s="1" t="s">
        <v>532</v>
      </c>
      <c r="BL438" s="1" t="s">
        <v>457</v>
      </c>
      <c r="BM438" s="378" t="s">
        <v>907</v>
      </c>
    </row>
    <row r="439" spans="1:65" ht="15.6">
      <c r="A439" s="250" t="s">
        <v>951</v>
      </c>
      <c r="B439" s="59" t="s">
        <v>221</v>
      </c>
      <c r="C439" s="354" t="s">
        <v>172</v>
      </c>
      <c r="D439" s="419"/>
      <c r="E439" s="281" t="s">
        <v>332</v>
      </c>
      <c r="F439" s="422"/>
      <c r="G439" s="317">
        <v>2023</v>
      </c>
      <c r="H439" s="323" t="s">
        <v>419</v>
      </c>
      <c r="I439" s="332" t="s">
        <v>183</v>
      </c>
      <c r="J439" s="331">
        <v>15</v>
      </c>
      <c r="K439" s="323" t="s">
        <v>210</v>
      </c>
      <c r="L439" s="323" t="s">
        <v>177</v>
      </c>
      <c r="M439" s="303" t="s">
        <v>624</v>
      </c>
      <c r="N439" s="303">
        <v>8.5</v>
      </c>
      <c r="O439" s="303">
        <v>8.5</v>
      </c>
      <c r="P439" s="303">
        <v>8.4</v>
      </c>
      <c r="Q439" s="303">
        <v>8.4</v>
      </c>
      <c r="R439" s="401">
        <v>9</v>
      </c>
      <c r="S439" s="401">
        <v>9</v>
      </c>
      <c r="T439" s="401">
        <v>9</v>
      </c>
      <c r="U439" s="401">
        <v>9</v>
      </c>
      <c r="V439" s="401">
        <v>9</v>
      </c>
      <c r="W439" s="401">
        <v>9</v>
      </c>
      <c r="X439" s="401">
        <v>9</v>
      </c>
      <c r="Y439" s="401">
        <v>9</v>
      </c>
      <c r="Z439" s="59">
        <v>1</v>
      </c>
      <c r="AA439" s="59">
        <v>1</v>
      </c>
      <c r="AB439" s="59">
        <v>1.1000000000000001</v>
      </c>
      <c r="AC439" s="304">
        <v>0</v>
      </c>
      <c r="AD439" s="402">
        <v>1.0999999999999996</v>
      </c>
      <c r="AE439" s="402">
        <v>1.0999999999999996</v>
      </c>
      <c r="AF439" s="402">
        <v>1.0999999999999996</v>
      </c>
      <c r="AG439" s="402">
        <v>1.0999999999999996</v>
      </c>
      <c r="AH439" s="402">
        <v>1.0999999999999996</v>
      </c>
      <c r="AI439" s="402">
        <v>1.0999999999999996</v>
      </c>
      <c r="AJ439" s="402">
        <v>1.0999999999999996</v>
      </c>
      <c r="AK439" s="402">
        <v>1.0999999999999996</v>
      </c>
      <c r="AL439" s="260">
        <v>8320</v>
      </c>
      <c r="AM439" s="254">
        <f t="shared" si="60"/>
        <v>8320</v>
      </c>
      <c r="AN439" s="260">
        <v>7120</v>
      </c>
      <c r="AO439" s="254">
        <f t="shared" si="61"/>
        <v>7120</v>
      </c>
      <c r="AP439" s="260">
        <v>16270</v>
      </c>
      <c r="AQ439" s="254">
        <f t="shared" si="62"/>
        <v>17897</v>
      </c>
      <c r="AR439" s="260">
        <v>3240</v>
      </c>
      <c r="AS439" s="257">
        <f t="shared" si="63"/>
        <v>0</v>
      </c>
      <c r="AT439" s="260">
        <v>2440</v>
      </c>
      <c r="AU439" s="257">
        <f t="shared" si="64"/>
        <v>2683.9999999999991</v>
      </c>
      <c r="AV439" s="268">
        <v>5000</v>
      </c>
      <c r="AW439" s="257">
        <f t="shared" si="65"/>
        <v>5499.9999999999982</v>
      </c>
      <c r="AX439" s="268">
        <v>5000</v>
      </c>
      <c r="AY439" s="257">
        <f t="shared" si="66"/>
        <v>5499.9999999999982</v>
      </c>
      <c r="AZ439" s="268">
        <v>5000</v>
      </c>
      <c r="BA439" s="257">
        <f t="shared" si="67"/>
        <v>5499.9999999999982</v>
      </c>
      <c r="BB439" s="268">
        <v>5000</v>
      </c>
      <c r="BC439" s="257">
        <f t="shared" si="68"/>
        <v>5499.9999999999982</v>
      </c>
      <c r="BD439" s="268">
        <v>5000</v>
      </c>
      <c r="BE439" s="257">
        <f t="shared" si="69"/>
        <v>5499.9999999999982</v>
      </c>
      <c r="BF439" s="59">
        <v>6000</v>
      </c>
      <c r="BG439" s="257">
        <f t="shared" si="70"/>
        <v>6599.9999999999982</v>
      </c>
      <c r="BH439" s="59">
        <v>5000</v>
      </c>
      <c r="BI439" s="257">
        <f t="shared" si="71"/>
        <v>5499.9999999999982</v>
      </c>
      <c r="BJ439" s="1" t="s">
        <v>908</v>
      </c>
      <c r="BK439" s="1" t="s">
        <v>532</v>
      </c>
      <c r="BL439" s="1" t="s">
        <v>457</v>
      </c>
      <c r="BM439" s="378" t="s">
        <v>909</v>
      </c>
    </row>
    <row r="440" spans="1:65" ht="15.6">
      <c r="A440" s="250" t="s">
        <v>951</v>
      </c>
      <c r="B440" s="59" t="s">
        <v>221</v>
      </c>
      <c r="C440" s="354" t="s">
        <v>172</v>
      </c>
      <c r="D440" s="419"/>
      <c r="E440" s="281" t="s">
        <v>332</v>
      </c>
      <c r="F440" s="422"/>
      <c r="G440" s="317">
        <v>2023</v>
      </c>
      <c r="H440" s="323" t="s">
        <v>419</v>
      </c>
      <c r="I440" s="327" t="s">
        <v>190</v>
      </c>
      <c r="J440" s="331">
        <v>15</v>
      </c>
      <c r="K440" s="323" t="s">
        <v>210</v>
      </c>
      <c r="L440" s="323" t="s">
        <v>177</v>
      </c>
      <c r="M440" s="303" t="s">
        <v>624</v>
      </c>
      <c r="N440" s="303">
        <v>4.75</v>
      </c>
      <c r="O440" s="303">
        <v>4.75</v>
      </c>
      <c r="P440" s="303">
        <v>4.75</v>
      </c>
      <c r="Q440" s="303">
        <v>4.75</v>
      </c>
      <c r="R440" s="401">
        <v>5.5</v>
      </c>
      <c r="S440" s="401">
        <v>5.5</v>
      </c>
      <c r="T440" s="401">
        <v>5.5</v>
      </c>
      <c r="U440" s="401">
        <v>5.5</v>
      </c>
      <c r="V440" s="401">
        <v>5.5</v>
      </c>
      <c r="W440" s="401">
        <v>5.5</v>
      </c>
      <c r="X440" s="401">
        <v>5.5</v>
      </c>
      <c r="Y440" s="401">
        <v>5.5</v>
      </c>
      <c r="Z440" s="59">
        <v>0.35</v>
      </c>
      <c r="AA440" s="59">
        <v>0.35</v>
      </c>
      <c r="AB440" s="59">
        <v>0.35</v>
      </c>
      <c r="AC440" s="304">
        <v>0</v>
      </c>
      <c r="AD440" s="402">
        <v>0.5</v>
      </c>
      <c r="AE440" s="402">
        <v>0.5</v>
      </c>
      <c r="AF440" s="402">
        <v>0.5</v>
      </c>
      <c r="AG440" s="402">
        <v>0.5</v>
      </c>
      <c r="AH440" s="402">
        <v>0.5</v>
      </c>
      <c r="AI440" s="402">
        <v>0.5</v>
      </c>
      <c r="AJ440" s="402">
        <v>0.5</v>
      </c>
      <c r="AK440" s="402">
        <v>0.5</v>
      </c>
      <c r="AL440" s="260">
        <v>2920</v>
      </c>
      <c r="AM440" s="254">
        <f t="shared" si="60"/>
        <v>1021.9999999999999</v>
      </c>
      <c r="AN440" s="260">
        <v>18679</v>
      </c>
      <c r="AO440" s="254">
        <f t="shared" si="61"/>
        <v>6537.65</v>
      </c>
      <c r="AP440" s="260">
        <v>4080</v>
      </c>
      <c r="AQ440" s="254">
        <f t="shared" si="62"/>
        <v>1428</v>
      </c>
      <c r="AR440" s="260">
        <v>1320</v>
      </c>
      <c r="AS440" s="257">
        <f t="shared" si="63"/>
        <v>0</v>
      </c>
      <c r="AT440" s="260">
        <v>4639</v>
      </c>
      <c r="AU440" s="257">
        <f t="shared" si="64"/>
        <v>2319.5</v>
      </c>
      <c r="AV440" s="260">
        <v>1000</v>
      </c>
      <c r="AW440" s="257">
        <f t="shared" si="65"/>
        <v>500</v>
      </c>
      <c r="AX440" s="260">
        <v>1000</v>
      </c>
      <c r="AY440" s="257">
        <f t="shared" si="66"/>
        <v>500</v>
      </c>
      <c r="AZ440" s="260">
        <v>1000</v>
      </c>
      <c r="BA440" s="257">
        <f t="shared" si="67"/>
        <v>500</v>
      </c>
      <c r="BB440" s="260">
        <v>1000</v>
      </c>
      <c r="BC440" s="257">
        <f t="shared" si="68"/>
        <v>500</v>
      </c>
      <c r="BD440" s="260">
        <v>1000</v>
      </c>
      <c r="BE440" s="257">
        <f t="shared" si="69"/>
        <v>500</v>
      </c>
      <c r="BF440" s="260">
        <v>1000</v>
      </c>
      <c r="BG440" s="257">
        <f t="shared" si="70"/>
        <v>500</v>
      </c>
      <c r="BH440" s="260">
        <v>1000</v>
      </c>
      <c r="BI440" s="257">
        <f t="shared" si="71"/>
        <v>500</v>
      </c>
      <c r="BJ440" s="1" t="s">
        <v>910</v>
      </c>
      <c r="BK440" s="1" t="s">
        <v>532</v>
      </c>
      <c r="BL440" s="1" t="s">
        <v>457</v>
      </c>
      <c r="BM440" s="378" t="s">
        <v>911</v>
      </c>
    </row>
    <row r="441" spans="1:65" ht="15.6">
      <c r="A441" s="250" t="s">
        <v>951</v>
      </c>
      <c r="B441" s="59" t="s">
        <v>221</v>
      </c>
      <c r="C441" s="354" t="s">
        <v>172</v>
      </c>
      <c r="D441" s="419"/>
      <c r="E441" s="281" t="s">
        <v>332</v>
      </c>
      <c r="F441" s="422"/>
      <c r="G441" s="317">
        <v>2023</v>
      </c>
      <c r="H441" s="323" t="s">
        <v>419</v>
      </c>
      <c r="I441" s="332" t="s">
        <v>183</v>
      </c>
      <c r="J441" s="331">
        <v>15</v>
      </c>
      <c r="K441" s="328" t="s">
        <v>243</v>
      </c>
      <c r="L441" s="323" t="s">
        <v>177</v>
      </c>
      <c r="M441" s="303" t="s">
        <v>624</v>
      </c>
      <c r="N441" s="303">
        <v>7.8</v>
      </c>
      <c r="O441" s="303">
        <v>7.8</v>
      </c>
      <c r="P441" s="303">
        <v>7.75</v>
      </c>
      <c r="Q441" s="303">
        <v>7.75</v>
      </c>
      <c r="R441" s="401">
        <v>8.1999999999999993</v>
      </c>
      <c r="S441" s="401">
        <v>8.1999999999999993</v>
      </c>
      <c r="T441" s="401">
        <v>8.1999999999999993</v>
      </c>
      <c r="U441" s="401">
        <v>8.1999999999999993</v>
      </c>
      <c r="V441" s="401">
        <v>8.1999999999999993</v>
      </c>
      <c r="W441" s="401">
        <v>8.1999999999999993</v>
      </c>
      <c r="X441" s="401">
        <v>8.1999999999999993</v>
      </c>
      <c r="Y441" s="401">
        <v>8.1999999999999993</v>
      </c>
      <c r="Z441" s="59">
        <v>0.6</v>
      </c>
      <c r="AA441" s="59">
        <v>0.6</v>
      </c>
      <c r="AB441" s="59">
        <v>0.65</v>
      </c>
      <c r="AC441" s="304">
        <v>0</v>
      </c>
      <c r="AD441" s="402">
        <v>0.5</v>
      </c>
      <c r="AE441" s="402">
        <v>0.5</v>
      </c>
      <c r="AF441" s="402">
        <v>0.5</v>
      </c>
      <c r="AG441" s="402">
        <v>0.5</v>
      </c>
      <c r="AH441" s="402">
        <v>0.5</v>
      </c>
      <c r="AI441" s="402">
        <v>0.5</v>
      </c>
      <c r="AJ441" s="402">
        <v>0.5</v>
      </c>
      <c r="AK441" s="402">
        <v>0.5</v>
      </c>
      <c r="AL441" s="260">
        <v>29640</v>
      </c>
      <c r="AM441" s="254">
        <f t="shared" si="60"/>
        <v>17784</v>
      </c>
      <c r="AN441" s="260">
        <v>61675</v>
      </c>
      <c r="AO441" s="254">
        <f t="shared" si="61"/>
        <v>37005</v>
      </c>
      <c r="AP441" s="271">
        <v>22393</v>
      </c>
      <c r="AQ441" s="254">
        <f t="shared" si="62"/>
        <v>14555.45</v>
      </c>
      <c r="AR441" s="256">
        <v>18480</v>
      </c>
      <c r="AS441" s="257">
        <f t="shared" si="63"/>
        <v>0</v>
      </c>
      <c r="AT441" s="382">
        <v>51983</v>
      </c>
      <c r="AU441" s="257">
        <f t="shared" si="64"/>
        <v>25991.5</v>
      </c>
      <c r="AV441" s="268">
        <v>20000</v>
      </c>
      <c r="AW441" s="257">
        <f t="shared" si="65"/>
        <v>10000</v>
      </c>
      <c r="AX441" s="268">
        <v>20000</v>
      </c>
      <c r="AY441" s="257">
        <f t="shared" si="66"/>
        <v>10000</v>
      </c>
      <c r="AZ441" s="268">
        <v>25000</v>
      </c>
      <c r="BA441" s="257">
        <f t="shared" si="67"/>
        <v>12500</v>
      </c>
      <c r="BB441" s="268">
        <v>20000</v>
      </c>
      <c r="BC441" s="257">
        <f t="shared" si="68"/>
        <v>10000</v>
      </c>
      <c r="BD441" s="268">
        <v>20000</v>
      </c>
      <c r="BE441" s="257">
        <f t="shared" si="69"/>
        <v>10000</v>
      </c>
      <c r="BF441" s="59">
        <v>30000</v>
      </c>
      <c r="BG441" s="257">
        <f t="shared" si="70"/>
        <v>15000</v>
      </c>
      <c r="BH441" s="59">
        <v>15000</v>
      </c>
      <c r="BI441" s="257">
        <f t="shared" si="71"/>
        <v>7500</v>
      </c>
      <c r="BJ441" s="1" t="s">
        <v>912</v>
      </c>
      <c r="BK441" s="1" t="s">
        <v>532</v>
      </c>
      <c r="BL441" s="1" t="s">
        <v>457</v>
      </c>
      <c r="BM441" s="378" t="s">
        <v>913</v>
      </c>
    </row>
    <row r="442" spans="1:65" ht="15.6">
      <c r="A442" s="250" t="s">
        <v>951</v>
      </c>
      <c r="B442" s="59" t="s">
        <v>221</v>
      </c>
      <c r="C442" s="354" t="s">
        <v>172</v>
      </c>
      <c r="D442" s="419"/>
      <c r="E442" s="281" t="s">
        <v>332</v>
      </c>
      <c r="F442" s="422"/>
      <c r="G442" s="317">
        <v>2023</v>
      </c>
      <c r="H442" s="323" t="s">
        <v>419</v>
      </c>
      <c r="I442" s="327" t="s">
        <v>190</v>
      </c>
      <c r="J442" s="331">
        <v>15</v>
      </c>
      <c r="K442" s="328" t="s">
        <v>243</v>
      </c>
      <c r="L442" s="323" t="s">
        <v>177</v>
      </c>
      <c r="M442" s="303" t="s">
        <v>624</v>
      </c>
      <c r="N442" s="303">
        <v>3.08</v>
      </c>
      <c r="O442" s="303">
        <v>3.08</v>
      </c>
      <c r="P442" s="303">
        <v>3.05</v>
      </c>
      <c r="Q442" s="303">
        <v>3.05</v>
      </c>
      <c r="R442" s="401">
        <v>3.6</v>
      </c>
      <c r="S442" s="401">
        <v>3.6</v>
      </c>
      <c r="T442" s="401">
        <v>3.6</v>
      </c>
      <c r="U442" s="401">
        <v>3.6</v>
      </c>
      <c r="V442" s="401">
        <v>3.6</v>
      </c>
      <c r="W442" s="401">
        <v>3.6</v>
      </c>
      <c r="X442" s="401">
        <v>3.6</v>
      </c>
      <c r="Y442" s="401">
        <v>3.6</v>
      </c>
      <c r="Z442" s="59">
        <v>0.28000000000000003</v>
      </c>
      <c r="AA442" s="59">
        <v>0.28000000000000003</v>
      </c>
      <c r="AB442" s="59">
        <v>0.25</v>
      </c>
      <c r="AC442" s="304">
        <v>0</v>
      </c>
      <c r="AD442" s="402">
        <v>0.2</v>
      </c>
      <c r="AE442" s="402">
        <v>0.2</v>
      </c>
      <c r="AF442" s="402">
        <v>0.2</v>
      </c>
      <c r="AG442" s="402">
        <v>0.2</v>
      </c>
      <c r="AH442" s="402">
        <v>0.2</v>
      </c>
      <c r="AI442" s="402">
        <v>0.2</v>
      </c>
      <c r="AJ442" s="402">
        <v>0.2</v>
      </c>
      <c r="AK442" s="402">
        <v>0.2</v>
      </c>
      <c r="AL442" s="260">
        <v>77695</v>
      </c>
      <c r="AM442" s="254">
        <f t="shared" si="60"/>
        <v>21754.600000000002</v>
      </c>
      <c r="AN442" s="260">
        <v>91623</v>
      </c>
      <c r="AO442" s="254">
        <f t="shared" si="61"/>
        <v>25654.440000000002</v>
      </c>
      <c r="AP442" s="271">
        <v>33320</v>
      </c>
      <c r="AQ442" s="254">
        <f t="shared" si="62"/>
        <v>8330</v>
      </c>
      <c r="AR442" s="261">
        <v>48183</v>
      </c>
      <c r="AS442" s="257">
        <f t="shared" si="63"/>
        <v>0</v>
      </c>
      <c r="AT442" s="382">
        <v>143798</v>
      </c>
      <c r="AU442" s="257">
        <f t="shared" si="64"/>
        <v>28759.600000000002</v>
      </c>
      <c r="AV442" s="268">
        <v>60000</v>
      </c>
      <c r="AW442" s="257">
        <f t="shared" si="65"/>
        <v>12000</v>
      </c>
      <c r="AX442" s="268">
        <v>60000</v>
      </c>
      <c r="AY442" s="257">
        <f t="shared" si="66"/>
        <v>12000</v>
      </c>
      <c r="AZ442" s="268">
        <v>70000</v>
      </c>
      <c r="BA442" s="257">
        <f t="shared" si="67"/>
        <v>14000</v>
      </c>
      <c r="BB442" s="268">
        <v>60000</v>
      </c>
      <c r="BC442" s="257">
        <f t="shared" si="68"/>
        <v>12000</v>
      </c>
      <c r="BD442" s="268">
        <v>60000</v>
      </c>
      <c r="BE442" s="257">
        <f t="shared" si="69"/>
        <v>12000</v>
      </c>
      <c r="BF442" s="59">
        <v>80000</v>
      </c>
      <c r="BG442" s="257">
        <f t="shared" si="70"/>
        <v>16000</v>
      </c>
      <c r="BH442" s="59">
        <v>50000</v>
      </c>
      <c r="BI442" s="257">
        <f t="shared" si="71"/>
        <v>10000</v>
      </c>
      <c r="BJ442" s="1" t="s">
        <v>914</v>
      </c>
      <c r="BK442" s="1" t="s">
        <v>532</v>
      </c>
      <c r="BL442" s="1" t="s">
        <v>457</v>
      </c>
      <c r="BM442" s="378" t="s">
        <v>915</v>
      </c>
    </row>
    <row r="443" spans="1:65" ht="15.6">
      <c r="A443" s="250" t="s">
        <v>951</v>
      </c>
      <c r="B443" s="59" t="s">
        <v>221</v>
      </c>
      <c r="C443" s="354" t="s">
        <v>172</v>
      </c>
      <c r="D443" s="419"/>
      <c r="E443" s="281" t="s">
        <v>332</v>
      </c>
      <c r="F443" s="422"/>
      <c r="G443" s="317">
        <v>2023</v>
      </c>
      <c r="H443" s="323" t="s">
        <v>419</v>
      </c>
      <c r="I443" s="332" t="s">
        <v>183</v>
      </c>
      <c r="J443" s="331">
        <v>15</v>
      </c>
      <c r="K443" s="323" t="s">
        <v>247</v>
      </c>
      <c r="L443" s="323" t="s">
        <v>177</v>
      </c>
      <c r="M443" s="303" t="s">
        <v>624</v>
      </c>
      <c r="N443" s="303">
        <v>8.5</v>
      </c>
      <c r="O443" s="303">
        <v>8.5</v>
      </c>
      <c r="P443" s="303">
        <v>8.4</v>
      </c>
      <c r="Q443" s="303">
        <v>8.4</v>
      </c>
      <c r="R443" s="401">
        <v>9</v>
      </c>
      <c r="S443" s="401">
        <v>9</v>
      </c>
      <c r="T443" s="401">
        <v>9</v>
      </c>
      <c r="U443" s="401">
        <v>9</v>
      </c>
      <c r="V443" s="401">
        <v>9</v>
      </c>
      <c r="W443" s="401">
        <v>9</v>
      </c>
      <c r="X443" s="401">
        <v>9</v>
      </c>
      <c r="Y443" s="401">
        <v>9</v>
      </c>
      <c r="Z443" s="59">
        <v>1</v>
      </c>
      <c r="AA443" s="59">
        <v>1</v>
      </c>
      <c r="AB443" s="59">
        <v>1.1000000000000001</v>
      </c>
      <c r="AC443" s="304">
        <v>0</v>
      </c>
      <c r="AD443" s="402">
        <v>1.0999999999999996</v>
      </c>
      <c r="AE443" s="402">
        <v>1.0999999999999996</v>
      </c>
      <c r="AF443" s="402">
        <v>1.0999999999999996</v>
      </c>
      <c r="AG443" s="402">
        <v>1.0999999999999996</v>
      </c>
      <c r="AH443" s="402">
        <v>1.0999999999999996</v>
      </c>
      <c r="AI443" s="402">
        <v>1.0999999999999996</v>
      </c>
      <c r="AJ443" s="402">
        <v>1.0999999999999996</v>
      </c>
      <c r="AK443" s="402">
        <v>1.0999999999999996</v>
      </c>
      <c r="AL443" s="260"/>
      <c r="AM443" s="254">
        <f t="shared" si="60"/>
        <v>0</v>
      </c>
      <c r="AN443" s="260"/>
      <c r="AO443" s="254">
        <f t="shared" si="61"/>
        <v>0</v>
      </c>
      <c r="AP443" s="274"/>
      <c r="AQ443" s="254">
        <f t="shared" si="62"/>
        <v>0</v>
      </c>
      <c r="AR443" s="256"/>
      <c r="AS443" s="257">
        <f t="shared" si="63"/>
        <v>0</v>
      </c>
      <c r="AT443" s="382"/>
      <c r="AU443" s="257">
        <f t="shared" si="64"/>
        <v>0</v>
      </c>
      <c r="AV443" s="268"/>
      <c r="AW443" s="257">
        <f t="shared" si="65"/>
        <v>0</v>
      </c>
      <c r="AX443" s="268"/>
      <c r="AY443" s="257">
        <f t="shared" si="66"/>
        <v>0</v>
      </c>
      <c r="AZ443" s="268"/>
      <c r="BA443" s="257">
        <f t="shared" si="67"/>
        <v>0</v>
      </c>
      <c r="BB443" s="268"/>
      <c r="BC443" s="257">
        <f t="shared" si="68"/>
        <v>0</v>
      </c>
      <c r="BD443" s="59"/>
      <c r="BE443" s="257">
        <f t="shared" si="69"/>
        <v>0</v>
      </c>
      <c r="BF443" s="59"/>
      <c r="BG443" s="257">
        <f t="shared" si="70"/>
        <v>0</v>
      </c>
      <c r="BH443" s="59"/>
      <c r="BI443" s="257">
        <f t="shared" si="71"/>
        <v>0</v>
      </c>
      <c r="BJ443" s="1" t="s">
        <v>916</v>
      </c>
      <c r="BK443" s="1" t="s">
        <v>532</v>
      </c>
      <c r="BL443" s="1" t="s">
        <v>457</v>
      </c>
      <c r="BM443" s="378" t="s">
        <v>917</v>
      </c>
    </row>
    <row r="444" spans="1:65" ht="15.6">
      <c r="A444" s="250" t="s">
        <v>951</v>
      </c>
      <c r="B444" s="59" t="s">
        <v>221</v>
      </c>
      <c r="C444" s="354" t="s">
        <v>172</v>
      </c>
      <c r="D444" s="419"/>
      <c r="E444" s="281" t="s">
        <v>332</v>
      </c>
      <c r="F444" s="422"/>
      <c r="G444" s="317">
        <v>2023</v>
      </c>
      <c r="H444" s="323" t="s">
        <v>419</v>
      </c>
      <c r="I444" s="332" t="s">
        <v>183</v>
      </c>
      <c r="J444" s="331">
        <v>15</v>
      </c>
      <c r="K444" s="323" t="s">
        <v>899</v>
      </c>
      <c r="L444" s="323" t="s">
        <v>177</v>
      </c>
      <c r="M444" s="303" t="s">
        <v>624</v>
      </c>
      <c r="N444" s="303">
        <v>8.5</v>
      </c>
      <c r="O444" s="303">
        <v>8.5</v>
      </c>
      <c r="P444" s="303">
        <v>8.4</v>
      </c>
      <c r="Q444" s="303">
        <v>8.4</v>
      </c>
      <c r="R444" s="401">
        <v>9</v>
      </c>
      <c r="S444" s="401">
        <v>9</v>
      </c>
      <c r="T444" s="401">
        <v>9</v>
      </c>
      <c r="U444" s="401">
        <v>9</v>
      </c>
      <c r="V444" s="401">
        <v>9</v>
      </c>
      <c r="W444" s="401">
        <v>9</v>
      </c>
      <c r="X444" s="401">
        <v>9</v>
      </c>
      <c r="Y444" s="401">
        <v>9</v>
      </c>
      <c r="Z444" s="59">
        <v>1</v>
      </c>
      <c r="AA444" s="59">
        <v>1</v>
      </c>
      <c r="AB444" s="59">
        <v>1.1000000000000001</v>
      </c>
      <c r="AC444" s="304">
        <v>0</v>
      </c>
      <c r="AD444" s="402">
        <v>1.0999999999999996</v>
      </c>
      <c r="AE444" s="402">
        <v>1.0999999999999996</v>
      </c>
      <c r="AF444" s="402">
        <v>1.0999999999999996</v>
      </c>
      <c r="AG444" s="402">
        <v>1.0999999999999996</v>
      </c>
      <c r="AH444" s="402">
        <v>1.0999999999999996</v>
      </c>
      <c r="AI444" s="402">
        <v>1.0999999999999996</v>
      </c>
      <c r="AJ444" s="402">
        <v>1.0999999999999996</v>
      </c>
      <c r="AK444" s="402">
        <v>1.0999999999999996</v>
      </c>
      <c r="AL444" s="260"/>
      <c r="AM444" s="254">
        <f t="shared" si="60"/>
        <v>0</v>
      </c>
      <c r="AN444" s="260"/>
      <c r="AO444" s="254">
        <f t="shared" si="61"/>
        <v>0</v>
      </c>
      <c r="AP444" s="274"/>
      <c r="AQ444" s="254">
        <f t="shared" si="62"/>
        <v>0</v>
      </c>
      <c r="AR444" s="256"/>
      <c r="AS444" s="257">
        <f t="shared" si="63"/>
        <v>0</v>
      </c>
      <c r="AT444" s="382"/>
      <c r="AU444" s="257">
        <f t="shared" si="64"/>
        <v>0</v>
      </c>
      <c r="AV444" s="268"/>
      <c r="AW444" s="257">
        <f t="shared" si="65"/>
        <v>0</v>
      </c>
      <c r="AX444" s="268"/>
      <c r="AY444" s="257">
        <f t="shared" si="66"/>
        <v>0</v>
      </c>
      <c r="AZ444" s="268"/>
      <c r="BA444" s="257">
        <f t="shared" si="67"/>
        <v>0</v>
      </c>
      <c r="BB444" s="268"/>
      <c r="BC444" s="257">
        <f t="shared" si="68"/>
        <v>0</v>
      </c>
      <c r="BD444" s="59"/>
      <c r="BE444" s="257">
        <f t="shared" si="69"/>
        <v>0</v>
      </c>
      <c r="BF444" s="59"/>
      <c r="BG444" s="257">
        <f t="shared" si="70"/>
        <v>0</v>
      </c>
      <c r="BH444" s="59"/>
      <c r="BI444" s="257">
        <f t="shared" si="71"/>
        <v>0</v>
      </c>
      <c r="BJ444" s="1" t="s">
        <v>918</v>
      </c>
      <c r="BK444" s="1" t="s">
        <v>532</v>
      </c>
      <c r="BL444" s="1" t="s">
        <v>457</v>
      </c>
      <c r="BM444" s="378" t="s">
        <v>919</v>
      </c>
    </row>
    <row r="445" spans="1:65" ht="15.6">
      <c r="A445" s="250" t="s">
        <v>951</v>
      </c>
      <c r="B445" s="59" t="s">
        <v>221</v>
      </c>
      <c r="C445" s="354" t="s">
        <v>172</v>
      </c>
      <c r="D445" s="419"/>
      <c r="E445" s="281" t="s">
        <v>332</v>
      </c>
      <c r="F445" s="422"/>
      <c r="G445" s="317">
        <v>2023</v>
      </c>
      <c r="H445" s="323" t="s">
        <v>419</v>
      </c>
      <c r="I445" s="332" t="s">
        <v>183</v>
      </c>
      <c r="J445" s="331">
        <v>15</v>
      </c>
      <c r="K445" s="323" t="s">
        <v>422</v>
      </c>
      <c r="L445" s="323" t="s">
        <v>177</v>
      </c>
      <c r="M445" s="303" t="s">
        <v>624</v>
      </c>
      <c r="N445" s="303">
        <v>8.5</v>
      </c>
      <c r="O445" s="303">
        <v>8.5</v>
      </c>
      <c r="P445" s="303">
        <v>8.4</v>
      </c>
      <c r="Q445" s="303">
        <v>8.4</v>
      </c>
      <c r="R445" s="401">
        <v>9</v>
      </c>
      <c r="S445" s="401">
        <v>9</v>
      </c>
      <c r="T445" s="401">
        <v>9</v>
      </c>
      <c r="U445" s="401">
        <v>9</v>
      </c>
      <c r="V445" s="401">
        <v>9</v>
      </c>
      <c r="W445" s="401">
        <v>9</v>
      </c>
      <c r="X445" s="401">
        <v>9</v>
      </c>
      <c r="Y445" s="401">
        <v>9</v>
      </c>
      <c r="Z445" s="59">
        <v>1</v>
      </c>
      <c r="AA445" s="59">
        <v>1</v>
      </c>
      <c r="AB445" s="59">
        <v>1.1000000000000001</v>
      </c>
      <c r="AC445" s="304">
        <v>0</v>
      </c>
      <c r="AD445" s="402">
        <v>1.0999999999999996</v>
      </c>
      <c r="AE445" s="402">
        <v>1.0999999999999996</v>
      </c>
      <c r="AF445" s="402">
        <v>1.0999999999999996</v>
      </c>
      <c r="AG445" s="402">
        <v>1.0999999999999996</v>
      </c>
      <c r="AH445" s="402">
        <v>1.0999999999999996</v>
      </c>
      <c r="AI445" s="402">
        <v>1.0999999999999996</v>
      </c>
      <c r="AJ445" s="402">
        <v>1.0999999999999996</v>
      </c>
      <c r="AK445" s="402">
        <v>1.0999999999999996</v>
      </c>
      <c r="AL445" s="260"/>
      <c r="AM445" s="254">
        <f t="shared" si="60"/>
        <v>0</v>
      </c>
      <c r="AN445" s="260"/>
      <c r="AO445" s="254">
        <f t="shared" si="61"/>
        <v>0</v>
      </c>
      <c r="AP445" s="274"/>
      <c r="AQ445" s="254">
        <f t="shared" si="62"/>
        <v>0</v>
      </c>
      <c r="AR445" s="256"/>
      <c r="AS445" s="257">
        <f t="shared" si="63"/>
        <v>0</v>
      </c>
      <c r="AT445" s="382"/>
      <c r="AU445" s="257">
        <f t="shared" si="64"/>
        <v>0</v>
      </c>
      <c r="AV445" s="268"/>
      <c r="AW445" s="257">
        <f t="shared" si="65"/>
        <v>0</v>
      </c>
      <c r="AX445" s="268"/>
      <c r="AY445" s="257">
        <f t="shared" si="66"/>
        <v>0</v>
      </c>
      <c r="AZ445" s="268"/>
      <c r="BA445" s="257">
        <f t="shared" si="67"/>
        <v>0</v>
      </c>
      <c r="BB445" s="268"/>
      <c r="BC445" s="257">
        <f t="shared" si="68"/>
        <v>0</v>
      </c>
      <c r="BD445" s="59"/>
      <c r="BE445" s="257">
        <f t="shared" si="69"/>
        <v>0</v>
      </c>
      <c r="BF445" s="59"/>
      <c r="BG445" s="257">
        <f t="shared" si="70"/>
        <v>0</v>
      </c>
      <c r="BH445" s="59"/>
      <c r="BI445" s="257">
        <f t="shared" si="71"/>
        <v>0</v>
      </c>
      <c r="BJ445" s="1" t="s">
        <v>920</v>
      </c>
      <c r="BK445" s="1" t="s">
        <v>532</v>
      </c>
      <c r="BL445" s="1" t="s">
        <v>457</v>
      </c>
      <c r="BM445" s="378" t="s">
        <v>921</v>
      </c>
    </row>
    <row r="446" spans="1:65" ht="15.6">
      <c r="A446" s="250" t="s">
        <v>951</v>
      </c>
      <c r="B446" s="59" t="s">
        <v>221</v>
      </c>
      <c r="C446" s="354" t="s">
        <v>172</v>
      </c>
      <c r="D446" s="419"/>
      <c r="E446" s="281" t="s">
        <v>332</v>
      </c>
      <c r="F446" s="422"/>
      <c r="G446" s="317">
        <v>2023</v>
      </c>
      <c r="H446" s="323" t="s">
        <v>419</v>
      </c>
      <c r="I446" s="332" t="s">
        <v>183</v>
      </c>
      <c r="J446" s="331">
        <v>15</v>
      </c>
      <c r="K446" s="323" t="s">
        <v>423</v>
      </c>
      <c r="L446" s="323" t="s">
        <v>177</v>
      </c>
      <c r="M446" s="303" t="s">
        <v>624</v>
      </c>
      <c r="N446" s="303">
        <v>8.5</v>
      </c>
      <c r="O446" s="303">
        <v>8.5</v>
      </c>
      <c r="P446" s="303">
        <v>8.4</v>
      </c>
      <c r="Q446" s="303">
        <v>8.4</v>
      </c>
      <c r="R446" s="401">
        <v>9</v>
      </c>
      <c r="S446" s="401">
        <v>9</v>
      </c>
      <c r="T446" s="401">
        <v>9</v>
      </c>
      <c r="U446" s="401">
        <v>9</v>
      </c>
      <c r="V446" s="401">
        <v>9</v>
      </c>
      <c r="W446" s="401">
        <v>9</v>
      </c>
      <c r="X446" s="401">
        <v>9</v>
      </c>
      <c r="Y446" s="401">
        <v>9</v>
      </c>
      <c r="Z446" s="59">
        <v>1</v>
      </c>
      <c r="AA446" s="59">
        <v>1</v>
      </c>
      <c r="AB446" s="59">
        <v>1.1000000000000001</v>
      </c>
      <c r="AC446" s="304">
        <v>0</v>
      </c>
      <c r="AD446" s="402">
        <v>1.0999999999999996</v>
      </c>
      <c r="AE446" s="402">
        <v>1.0999999999999996</v>
      </c>
      <c r="AF446" s="402">
        <v>1.0999999999999996</v>
      </c>
      <c r="AG446" s="402">
        <v>1.0999999999999996</v>
      </c>
      <c r="AH446" s="402">
        <v>1.0999999999999996</v>
      </c>
      <c r="AI446" s="402">
        <v>1.0999999999999996</v>
      </c>
      <c r="AJ446" s="402">
        <v>1.0999999999999996</v>
      </c>
      <c r="AK446" s="402">
        <v>1.0999999999999996</v>
      </c>
      <c r="AL446" s="260"/>
      <c r="AM446" s="254">
        <f t="shared" si="60"/>
        <v>0</v>
      </c>
      <c r="AN446" s="260"/>
      <c r="AO446" s="254">
        <f t="shared" si="61"/>
        <v>0</v>
      </c>
      <c r="AP446" s="274"/>
      <c r="AQ446" s="254">
        <f t="shared" si="62"/>
        <v>0</v>
      </c>
      <c r="AR446" s="256"/>
      <c r="AS446" s="257">
        <f t="shared" si="63"/>
        <v>0</v>
      </c>
      <c r="AT446" s="382"/>
      <c r="AU446" s="257">
        <f t="shared" si="64"/>
        <v>0</v>
      </c>
      <c r="AV446" s="268"/>
      <c r="AW446" s="257">
        <f t="shared" si="65"/>
        <v>0</v>
      </c>
      <c r="AX446" s="268"/>
      <c r="AY446" s="257">
        <f t="shared" si="66"/>
        <v>0</v>
      </c>
      <c r="AZ446" s="268"/>
      <c r="BA446" s="257">
        <f t="shared" si="67"/>
        <v>0</v>
      </c>
      <c r="BB446" s="268"/>
      <c r="BC446" s="257">
        <f t="shared" si="68"/>
        <v>0</v>
      </c>
      <c r="BD446" s="59"/>
      <c r="BE446" s="257">
        <f t="shared" si="69"/>
        <v>0</v>
      </c>
      <c r="BF446" s="59"/>
      <c r="BG446" s="257">
        <f t="shared" si="70"/>
        <v>0</v>
      </c>
      <c r="BH446" s="59"/>
      <c r="BI446" s="257">
        <f t="shared" si="71"/>
        <v>0</v>
      </c>
      <c r="BJ446" s="1" t="s">
        <v>922</v>
      </c>
      <c r="BK446" s="1" t="s">
        <v>532</v>
      </c>
      <c r="BL446" s="1" t="s">
        <v>457</v>
      </c>
      <c r="BM446" s="378" t="s">
        <v>923</v>
      </c>
    </row>
    <row r="447" spans="1:65" ht="15.6">
      <c r="A447" s="250" t="s">
        <v>951</v>
      </c>
      <c r="B447" s="59" t="s">
        <v>221</v>
      </c>
      <c r="C447" s="354" t="s">
        <v>172</v>
      </c>
      <c r="D447" s="419"/>
      <c r="E447" s="281" t="s">
        <v>332</v>
      </c>
      <c r="F447" s="422"/>
      <c r="G447" s="317">
        <v>2023</v>
      </c>
      <c r="H447" s="323" t="s">
        <v>419</v>
      </c>
      <c r="I447" s="327" t="s">
        <v>190</v>
      </c>
      <c r="J447" s="331">
        <v>15</v>
      </c>
      <c r="K447" s="328" t="s">
        <v>924</v>
      </c>
      <c r="L447" s="323" t="s">
        <v>177</v>
      </c>
      <c r="M447" s="303" t="s">
        <v>624</v>
      </c>
      <c r="N447" s="303">
        <v>3.08</v>
      </c>
      <c r="O447" s="303">
        <v>3.08</v>
      </c>
      <c r="P447" s="303">
        <v>3.05</v>
      </c>
      <c r="Q447" s="303">
        <v>3.05</v>
      </c>
      <c r="R447" s="401">
        <v>3.6</v>
      </c>
      <c r="S447" s="401">
        <v>3.6</v>
      </c>
      <c r="T447" s="401">
        <v>3.6</v>
      </c>
      <c r="U447" s="401">
        <v>3.6</v>
      </c>
      <c r="V447" s="401">
        <v>3.6</v>
      </c>
      <c r="W447" s="401">
        <v>3.6</v>
      </c>
      <c r="X447" s="401">
        <v>3.6</v>
      </c>
      <c r="Y447" s="401">
        <v>3.6</v>
      </c>
      <c r="Z447" s="59">
        <v>0.28000000000000003</v>
      </c>
      <c r="AA447" s="59">
        <v>0.28000000000000003</v>
      </c>
      <c r="AB447" s="59">
        <v>0.25</v>
      </c>
      <c r="AC447" s="304">
        <v>0</v>
      </c>
      <c r="AD447" s="402">
        <v>0.2</v>
      </c>
      <c r="AE447" s="402">
        <v>0.2</v>
      </c>
      <c r="AF447" s="402">
        <v>0.2</v>
      </c>
      <c r="AG447" s="402">
        <v>0.2</v>
      </c>
      <c r="AH447" s="402">
        <v>0.2</v>
      </c>
      <c r="AI447" s="402">
        <v>0.2</v>
      </c>
      <c r="AJ447" s="402">
        <v>0.2</v>
      </c>
      <c r="AK447" s="402">
        <v>0.2</v>
      </c>
      <c r="AL447" s="260"/>
      <c r="AM447" s="254">
        <f t="shared" si="60"/>
        <v>0</v>
      </c>
      <c r="AN447" s="260"/>
      <c r="AO447" s="254">
        <f t="shared" si="61"/>
        <v>0</v>
      </c>
      <c r="AP447" s="274"/>
      <c r="AQ447" s="254">
        <f t="shared" si="62"/>
        <v>0</v>
      </c>
      <c r="AR447" s="256"/>
      <c r="AS447" s="257">
        <f t="shared" si="63"/>
        <v>0</v>
      </c>
      <c r="AT447" s="382"/>
      <c r="AU447" s="257">
        <f t="shared" si="64"/>
        <v>0</v>
      </c>
      <c r="AV447" s="268"/>
      <c r="AW447" s="257">
        <f t="shared" si="65"/>
        <v>0</v>
      </c>
      <c r="AX447" s="268"/>
      <c r="AY447" s="257">
        <f t="shared" si="66"/>
        <v>0</v>
      </c>
      <c r="AZ447" s="268"/>
      <c r="BA447" s="257">
        <f t="shared" si="67"/>
        <v>0</v>
      </c>
      <c r="BB447" s="268"/>
      <c r="BC447" s="257">
        <f t="shared" si="68"/>
        <v>0</v>
      </c>
      <c r="BD447" s="59"/>
      <c r="BE447" s="257">
        <f t="shared" si="69"/>
        <v>0</v>
      </c>
      <c r="BF447" s="59"/>
      <c r="BG447" s="257">
        <f t="shared" si="70"/>
        <v>0</v>
      </c>
      <c r="BH447" s="59"/>
      <c r="BI447" s="257">
        <f t="shared" si="71"/>
        <v>0</v>
      </c>
      <c r="BJ447" s="1" t="s">
        <v>925</v>
      </c>
      <c r="BK447" s="1" t="s">
        <v>532</v>
      </c>
      <c r="BL447" s="1" t="s">
        <v>457</v>
      </c>
      <c r="BM447" s="378" t="s">
        <v>926</v>
      </c>
    </row>
    <row r="448" spans="1:65" ht="15.6">
      <c r="A448" s="250" t="s">
        <v>951</v>
      </c>
      <c r="B448" s="59" t="s">
        <v>221</v>
      </c>
      <c r="C448" s="354" t="s">
        <v>172</v>
      </c>
      <c r="D448" s="419"/>
      <c r="E448" s="281" t="s">
        <v>332</v>
      </c>
      <c r="F448" s="422"/>
      <c r="G448" s="317">
        <v>2023</v>
      </c>
      <c r="H448" s="323" t="s">
        <v>419</v>
      </c>
      <c r="I448" s="332" t="s">
        <v>183</v>
      </c>
      <c r="J448" s="331">
        <v>15</v>
      </c>
      <c r="K448" s="328" t="s">
        <v>854</v>
      </c>
      <c r="L448" s="323" t="s">
        <v>177</v>
      </c>
      <c r="M448" s="303" t="s">
        <v>624</v>
      </c>
      <c r="N448" s="303">
        <v>8.5</v>
      </c>
      <c r="O448" s="303">
        <v>8.5</v>
      </c>
      <c r="P448" s="303">
        <v>8.4</v>
      </c>
      <c r="Q448" s="303">
        <v>8.4</v>
      </c>
      <c r="R448" s="401">
        <v>9</v>
      </c>
      <c r="S448" s="401">
        <v>9</v>
      </c>
      <c r="T448" s="401">
        <v>9</v>
      </c>
      <c r="U448" s="401">
        <v>9</v>
      </c>
      <c r="V448" s="401">
        <v>9</v>
      </c>
      <c r="W448" s="401">
        <v>9</v>
      </c>
      <c r="X448" s="401">
        <v>9</v>
      </c>
      <c r="Y448" s="401">
        <v>9</v>
      </c>
      <c r="Z448" s="59">
        <v>1</v>
      </c>
      <c r="AA448" s="59">
        <v>1</v>
      </c>
      <c r="AB448" s="59">
        <v>1.1000000000000001</v>
      </c>
      <c r="AC448" s="304">
        <v>0</v>
      </c>
      <c r="AD448" s="402">
        <v>1.1000000000000001</v>
      </c>
      <c r="AE448" s="402">
        <v>1.1000000000000001</v>
      </c>
      <c r="AF448" s="402">
        <v>1.1000000000000001</v>
      </c>
      <c r="AG448" s="402">
        <v>1.1000000000000001</v>
      </c>
      <c r="AH448" s="402">
        <v>1.1000000000000001</v>
      </c>
      <c r="AI448" s="402">
        <v>1.1000000000000001</v>
      </c>
      <c r="AJ448" s="402">
        <v>1.1000000000000001</v>
      </c>
      <c r="AK448" s="402">
        <v>1.1000000000000001</v>
      </c>
      <c r="AL448" s="260"/>
      <c r="AM448" s="254">
        <f t="shared" si="60"/>
        <v>0</v>
      </c>
      <c r="AN448" s="260"/>
      <c r="AO448" s="254">
        <f t="shared" si="61"/>
        <v>0</v>
      </c>
      <c r="AP448" s="274"/>
      <c r="AQ448" s="254">
        <f t="shared" si="62"/>
        <v>0</v>
      </c>
      <c r="AR448" s="256"/>
      <c r="AS448" s="257">
        <f t="shared" si="63"/>
        <v>0</v>
      </c>
      <c r="AT448" s="382"/>
      <c r="AU448" s="257">
        <f t="shared" si="64"/>
        <v>0</v>
      </c>
      <c r="AV448" s="268"/>
      <c r="AW448" s="257">
        <f t="shared" si="65"/>
        <v>0</v>
      </c>
      <c r="AX448" s="268"/>
      <c r="AY448" s="257">
        <f t="shared" si="66"/>
        <v>0</v>
      </c>
      <c r="AZ448" s="268"/>
      <c r="BA448" s="257">
        <f t="shared" si="67"/>
        <v>0</v>
      </c>
      <c r="BB448" s="268"/>
      <c r="BC448" s="257">
        <f t="shared" si="68"/>
        <v>0</v>
      </c>
      <c r="BD448" s="59"/>
      <c r="BE448" s="257">
        <f t="shared" si="69"/>
        <v>0</v>
      </c>
      <c r="BF448" s="59"/>
      <c r="BG448" s="257">
        <f t="shared" si="70"/>
        <v>0</v>
      </c>
      <c r="BH448" s="59"/>
      <c r="BI448" s="257">
        <f t="shared" si="71"/>
        <v>0</v>
      </c>
      <c r="BJ448" s="1" t="s">
        <v>927</v>
      </c>
      <c r="BK448" s="1" t="s">
        <v>532</v>
      </c>
      <c r="BL448" s="1" t="s">
        <v>457</v>
      </c>
      <c r="BM448" s="378" t="s">
        <v>928</v>
      </c>
    </row>
    <row r="449" spans="1:65" ht="15.6">
      <c r="A449" s="250" t="s">
        <v>951</v>
      </c>
      <c r="B449" s="59" t="s">
        <v>221</v>
      </c>
      <c r="C449" s="354" t="s">
        <v>172</v>
      </c>
      <c r="D449" s="419"/>
      <c r="E449" s="281" t="s">
        <v>332</v>
      </c>
      <c r="F449" s="422"/>
      <c r="G449" s="317">
        <v>2023</v>
      </c>
      <c r="H449" s="323" t="s">
        <v>419</v>
      </c>
      <c r="I449" s="332" t="s">
        <v>183</v>
      </c>
      <c r="J449" s="331">
        <v>15</v>
      </c>
      <c r="K449" s="328" t="s">
        <v>857</v>
      </c>
      <c r="L449" s="323" t="s">
        <v>177</v>
      </c>
      <c r="M449" s="303" t="s">
        <v>624</v>
      </c>
      <c r="N449" s="303">
        <v>8.5</v>
      </c>
      <c r="O449" s="303">
        <v>8.5</v>
      </c>
      <c r="P449" s="303">
        <v>8.4</v>
      </c>
      <c r="Q449" s="303">
        <v>8.4</v>
      </c>
      <c r="R449" s="401">
        <v>9</v>
      </c>
      <c r="S449" s="401">
        <v>9</v>
      </c>
      <c r="T449" s="401">
        <v>9</v>
      </c>
      <c r="U449" s="401">
        <v>9</v>
      </c>
      <c r="V449" s="401">
        <v>9</v>
      </c>
      <c r="W449" s="401">
        <v>9</v>
      </c>
      <c r="X449" s="401">
        <v>9</v>
      </c>
      <c r="Y449" s="401">
        <v>9</v>
      </c>
      <c r="Z449" s="59">
        <v>1</v>
      </c>
      <c r="AA449" s="59">
        <v>1</v>
      </c>
      <c r="AB449" s="59">
        <v>1.1000000000000001</v>
      </c>
      <c r="AC449" s="304">
        <v>0</v>
      </c>
      <c r="AD449" s="402">
        <v>1.1000000000000001</v>
      </c>
      <c r="AE449" s="402">
        <v>1.1000000000000001</v>
      </c>
      <c r="AF449" s="402">
        <v>1.1000000000000001</v>
      </c>
      <c r="AG449" s="402">
        <v>1.1000000000000001</v>
      </c>
      <c r="AH449" s="402">
        <v>1.1000000000000001</v>
      </c>
      <c r="AI449" s="402">
        <v>1.1000000000000001</v>
      </c>
      <c r="AJ449" s="402">
        <v>1.1000000000000001</v>
      </c>
      <c r="AK449" s="402">
        <v>1.1000000000000001</v>
      </c>
      <c r="AL449" s="260"/>
      <c r="AM449" s="254">
        <f t="shared" si="60"/>
        <v>0</v>
      </c>
      <c r="AN449" s="260"/>
      <c r="AO449" s="254">
        <f t="shared" si="61"/>
        <v>0</v>
      </c>
      <c r="AP449" s="274"/>
      <c r="AQ449" s="254">
        <f t="shared" si="62"/>
        <v>0</v>
      </c>
      <c r="AR449" s="256"/>
      <c r="AS449" s="257">
        <f t="shared" si="63"/>
        <v>0</v>
      </c>
      <c r="AT449" s="382"/>
      <c r="AU449" s="257">
        <f t="shared" si="64"/>
        <v>0</v>
      </c>
      <c r="AV449" s="268"/>
      <c r="AW449" s="257">
        <f t="shared" si="65"/>
        <v>0</v>
      </c>
      <c r="AX449" s="268"/>
      <c r="AY449" s="257">
        <f t="shared" si="66"/>
        <v>0</v>
      </c>
      <c r="AZ449" s="268"/>
      <c r="BA449" s="257">
        <f t="shared" si="67"/>
        <v>0</v>
      </c>
      <c r="BB449" s="268"/>
      <c r="BC449" s="257">
        <f t="shared" si="68"/>
        <v>0</v>
      </c>
      <c r="BD449" s="59"/>
      <c r="BE449" s="257">
        <f t="shared" si="69"/>
        <v>0</v>
      </c>
      <c r="BF449" s="59"/>
      <c r="BG449" s="257">
        <f t="shared" si="70"/>
        <v>0</v>
      </c>
      <c r="BH449" s="59"/>
      <c r="BI449" s="257">
        <f t="shared" si="71"/>
        <v>0</v>
      </c>
      <c r="BJ449" s="1" t="s">
        <v>929</v>
      </c>
      <c r="BK449" s="1" t="s">
        <v>532</v>
      </c>
      <c r="BL449" s="1" t="s">
        <v>457</v>
      </c>
      <c r="BM449" s="378" t="s">
        <v>930</v>
      </c>
    </row>
    <row r="450" spans="1:65" ht="15.6">
      <c r="A450" s="250" t="s">
        <v>951</v>
      </c>
      <c r="B450" s="59" t="s">
        <v>221</v>
      </c>
      <c r="C450" s="354" t="s">
        <v>172</v>
      </c>
      <c r="D450" s="419"/>
      <c r="E450" s="281" t="s">
        <v>332</v>
      </c>
      <c r="F450" s="422"/>
      <c r="G450" s="317">
        <v>2023</v>
      </c>
      <c r="H450" s="323" t="s">
        <v>419</v>
      </c>
      <c r="I450" s="332" t="s">
        <v>183</v>
      </c>
      <c r="J450" s="331">
        <v>15</v>
      </c>
      <c r="K450" s="323" t="s">
        <v>637</v>
      </c>
      <c r="L450" s="323" t="s">
        <v>177</v>
      </c>
      <c r="M450" s="303" t="s">
        <v>624</v>
      </c>
      <c r="N450" s="303">
        <v>8.5</v>
      </c>
      <c r="O450" s="303">
        <v>8.5</v>
      </c>
      <c r="P450" s="303">
        <v>8.4</v>
      </c>
      <c r="Q450" s="303">
        <v>8.4</v>
      </c>
      <c r="R450" s="401">
        <v>9</v>
      </c>
      <c r="S450" s="401">
        <v>9</v>
      </c>
      <c r="T450" s="401">
        <v>9</v>
      </c>
      <c r="U450" s="401">
        <v>9</v>
      </c>
      <c r="V450" s="401">
        <v>9</v>
      </c>
      <c r="W450" s="401">
        <v>9</v>
      </c>
      <c r="X450" s="401">
        <v>9</v>
      </c>
      <c r="Y450" s="401">
        <v>9</v>
      </c>
      <c r="Z450" s="59">
        <v>1</v>
      </c>
      <c r="AA450" s="59">
        <v>1</v>
      </c>
      <c r="AB450" s="59">
        <v>1.1000000000000001</v>
      </c>
      <c r="AC450" s="304">
        <v>0</v>
      </c>
      <c r="AD450" s="402">
        <v>1.1000000000000001</v>
      </c>
      <c r="AE450" s="402">
        <v>1.1000000000000001</v>
      </c>
      <c r="AF450" s="402">
        <v>1.1000000000000001</v>
      </c>
      <c r="AG450" s="402">
        <v>1.1000000000000001</v>
      </c>
      <c r="AH450" s="402">
        <v>1.1000000000000001</v>
      </c>
      <c r="AI450" s="402">
        <v>1.1000000000000001</v>
      </c>
      <c r="AJ450" s="402">
        <v>1.1000000000000001</v>
      </c>
      <c r="AK450" s="402">
        <v>1.1000000000000001</v>
      </c>
      <c r="AL450" s="260"/>
      <c r="AM450" s="254">
        <f t="shared" si="60"/>
        <v>0</v>
      </c>
      <c r="AN450" s="260"/>
      <c r="AO450" s="254">
        <f t="shared" si="61"/>
        <v>0</v>
      </c>
      <c r="AP450" s="274"/>
      <c r="AQ450" s="254">
        <f t="shared" si="62"/>
        <v>0</v>
      </c>
      <c r="AR450" s="268"/>
      <c r="AS450" s="257">
        <f t="shared" si="63"/>
        <v>0</v>
      </c>
      <c r="AT450" s="382"/>
      <c r="AU450" s="257">
        <f t="shared" si="64"/>
        <v>0</v>
      </c>
      <c r="AV450" s="268"/>
      <c r="AW450" s="257">
        <f t="shared" si="65"/>
        <v>0</v>
      </c>
      <c r="AX450" s="268"/>
      <c r="AY450" s="257">
        <f t="shared" si="66"/>
        <v>0</v>
      </c>
      <c r="AZ450" s="268"/>
      <c r="BA450" s="257">
        <f t="shared" si="67"/>
        <v>0</v>
      </c>
      <c r="BB450" s="268"/>
      <c r="BC450" s="257">
        <f t="shared" si="68"/>
        <v>0</v>
      </c>
      <c r="BD450" s="59"/>
      <c r="BE450" s="257">
        <f t="shared" si="69"/>
        <v>0</v>
      </c>
      <c r="BF450" s="59"/>
      <c r="BG450" s="257">
        <f t="shared" si="70"/>
        <v>0</v>
      </c>
      <c r="BH450" s="59"/>
      <c r="BI450" s="257">
        <f t="shared" si="71"/>
        <v>0</v>
      </c>
      <c r="BJ450" s="1" t="s">
        <v>931</v>
      </c>
      <c r="BK450" s="1" t="s">
        <v>532</v>
      </c>
      <c r="BL450" s="1" t="s">
        <v>457</v>
      </c>
      <c r="BM450" s="378" t="s">
        <v>932</v>
      </c>
    </row>
    <row r="451" spans="1:65" ht="15.6">
      <c r="A451" s="250" t="s">
        <v>951</v>
      </c>
      <c r="B451" s="59" t="s">
        <v>221</v>
      </c>
      <c r="C451" s="354" t="s">
        <v>172</v>
      </c>
      <c r="D451" s="419"/>
      <c r="E451" s="281" t="s">
        <v>332</v>
      </c>
      <c r="F451" s="422"/>
      <c r="G451" s="317">
        <v>2023</v>
      </c>
      <c r="H451" s="323" t="s">
        <v>419</v>
      </c>
      <c r="I451" s="332" t="s">
        <v>357</v>
      </c>
      <c r="J451" s="331">
        <v>15</v>
      </c>
      <c r="K451" s="323" t="s">
        <v>637</v>
      </c>
      <c r="L451" s="323" t="s">
        <v>464</v>
      </c>
      <c r="M451" s="303" t="s">
        <v>933</v>
      </c>
      <c r="N451" s="303">
        <v>3.08</v>
      </c>
      <c r="O451" s="303">
        <v>3.08</v>
      </c>
      <c r="P451" s="303">
        <v>3.05</v>
      </c>
      <c r="Q451" s="303">
        <v>3.05</v>
      </c>
      <c r="R451" s="401">
        <v>3.6</v>
      </c>
      <c r="S451" s="401">
        <v>3.6</v>
      </c>
      <c r="T451" s="401">
        <v>3.6</v>
      </c>
      <c r="U451" s="401">
        <v>3.6</v>
      </c>
      <c r="V451" s="401">
        <v>3.6</v>
      </c>
      <c r="W451" s="401">
        <v>3.6</v>
      </c>
      <c r="X451" s="401">
        <v>3.6</v>
      </c>
      <c r="Y451" s="401">
        <v>3.6</v>
      </c>
      <c r="Z451" s="59">
        <v>0.28000000000000003</v>
      </c>
      <c r="AA451" s="59">
        <v>0.28000000000000003</v>
      </c>
      <c r="AB451" s="59">
        <v>0.25</v>
      </c>
      <c r="AC451" s="304">
        <v>0</v>
      </c>
      <c r="AD451" s="402">
        <v>0.2</v>
      </c>
      <c r="AE451" s="402">
        <v>0.2</v>
      </c>
      <c r="AF451" s="402">
        <v>0.2</v>
      </c>
      <c r="AG451" s="402">
        <v>0.2</v>
      </c>
      <c r="AH451" s="402">
        <v>0.2</v>
      </c>
      <c r="AI451" s="402">
        <v>0.2</v>
      </c>
      <c r="AJ451" s="402">
        <v>0.2</v>
      </c>
      <c r="AK451" s="402">
        <v>0.2</v>
      </c>
      <c r="AL451" s="260"/>
      <c r="AM451" s="254">
        <f t="shared" si="60"/>
        <v>0</v>
      </c>
      <c r="AN451" s="260"/>
      <c r="AO451" s="254">
        <f t="shared" si="61"/>
        <v>0</v>
      </c>
      <c r="AP451" s="260"/>
      <c r="AQ451" s="254">
        <f t="shared" si="62"/>
        <v>0</v>
      </c>
      <c r="AR451" s="260"/>
      <c r="AS451" s="257">
        <f t="shared" si="63"/>
        <v>0</v>
      </c>
      <c r="AT451" s="383"/>
      <c r="AU451" s="257">
        <f t="shared" si="64"/>
        <v>0</v>
      </c>
      <c r="AV451" s="392"/>
      <c r="AW451" s="257">
        <f t="shared" si="65"/>
        <v>0</v>
      </c>
      <c r="AX451" s="260"/>
      <c r="AY451" s="257">
        <f t="shared" si="66"/>
        <v>0</v>
      </c>
      <c r="AZ451" s="260"/>
      <c r="BA451" s="257">
        <f t="shared" si="67"/>
        <v>0</v>
      </c>
      <c r="BB451" s="268"/>
      <c r="BC451" s="257">
        <f t="shared" si="68"/>
        <v>0</v>
      </c>
      <c r="BD451" s="268"/>
      <c r="BE451" s="257">
        <f t="shared" si="69"/>
        <v>0</v>
      </c>
      <c r="BF451" s="268"/>
      <c r="BG451" s="257">
        <f t="shared" si="70"/>
        <v>0</v>
      </c>
      <c r="BH451" s="268"/>
      <c r="BI451" s="257">
        <f t="shared" si="71"/>
        <v>0</v>
      </c>
      <c r="BJ451" s="1" t="s">
        <v>887</v>
      </c>
      <c r="BL451" s="1" t="s">
        <v>457</v>
      </c>
      <c r="BM451" s="378" t="s">
        <v>888</v>
      </c>
    </row>
    <row r="452" spans="1:65" ht="15.6">
      <c r="A452" s="250" t="s">
        <v>951</v>
      </c>
      <c r="B452" s="59" t="s">
        <v>221</v>
      </c>
      <c r="C452" s="354" t="s">
        <v>172</v>
      </c>
      <c r="D452" s="419"/>
      <c r="E452" s="281" t="s">
        <v>332</v>
      </c>
      <c r="F452" s="422"/>
      <c r="G452" s="317">
        <v>2023</v>
      </c>
      <c r="H452" s="323" t="s">
        <v>421</v>
      </c>
      <c r="I452" s="330" t="s">
        <v>359</v>
      </c>
      <c r="J452" s="331">
        <v>15</v>
      </c>
      <c r="K452" s="323" t="s">
        <v>210</v>
      </c>
      <c r="L452" s="323" t="s">
        <v>464</v>
      </c>
      <c r="M452" s="303" t="s">
        <v>933</v>
      </c>
      <c r="N452" s="303">
        <v>8.5</v>
      </c>
      <c r="O452" s="303">
        <v>8.5</v>
      </c>
      <c r="P452" s="303">
        <v>8.4</v>
      </c>
      <c r="Q452" s="303">
        <v>8.4</v>
      </c>
      <c r="R452" s="401">
        <v>9</v>
      </c>
      <c r="S452" s="401">
        <v>9</v>
      </c>
      <c r="T452" s="401">
        <v>9</v>
      </c>
      <c r="U452" s="401">
        <v>9</v>
      </c>
      <c r="V452" s="401">
        <v>9</v>
      </c>
      <c r="W452" s="401">
        <v>9</v>
      </c>
      <c r="X452" s="401">
        <v>9</v>
      </c>
      <c r="Y452" s="401">
        <v>9</v>
      </c>
      <c r="Z452" s="59">
        <v>1</v>
      </c>
      <c r="AA452" s="59">
        <v>1</v>
      </c>
      <c r="AB452" s="59">
        <v>1.1000000000000001</v>
      </c>
      <c r="AC452" s="304">
        <v>0</v>
      </c>
      <c r="AD452" s="402">
        <v>1.0999999999999996</v>
      </c>
      <c r="AE452" s="402">
        <v>1.0999999999999996</v>
      </c>
      <c r="AF452" s="402">
        <v>1.0999999999999996</v>
      </c>
      <c r="AG452" s="402">
        <v>1.0999999999999996</v>
      </c>
      <c r="AH452" s="402">
        <v>1.0999999999999996</v>
      </c>
      <c r="AI452" s="402">
        <v>1.0999999999999996</v>
      </c>
      <c r="AJ452" s="402">
        <v>1.0999999999999996</v>
      </c>
      <c r="AK452" s="402">
        <v>1.0999999999999996</v>
      </c>
      <c r="AL452" s="260"/>
      <c r="AM452" s="254">
        <f t="shared" si="60"/>
        <v>0</v>
      </c>
      <c r="AN452" s="260"/>
      <c r="AO452" s="254">
        <f t="shared" si="61"/>
        <v>0</v>
      </c>
      <c r="AP452" s="270"/>
      <c r="AQ452" s="254">
        <f t="shared" si="62"/>
        <v>0</v>
      </c>
      <c r="AR452" s="270"/>
      <c r="AS452" s="257">
        <f t="shared" si="63"/>
        <v>0</v>
      </c>
      <c r="AT452" s="382"/>
      <c r="AU452" s="257">
        <f t="shared" si="64"/>
        <v>0</v>
      </c>
      <c r="AV452" s="268"/>
      <c r="AW452" s="257">
        <f t="shared" si="65"/>
        <v>0</v>
      </c>
      <c r="AX452" s="270"/>
      <c r="AY452" s="257">
        <f t="shared" si="66"/>
        <v>0</v>
      </c>
      <c r="AZ452" s="270"/>
      <c r="BA452" s="257">
        <f t="shared" si="67"/>
        <v>0</v>
      </c>
      <c r="BB452" s="268"/>
      <c r="BC452" s="257">
        <f t="shared" si="68"/>
        <v>0</v>
      </c>
      <c r="BD452" s="268"/>
      <c r="BE452" s="257">
        <f t="shared" si="69"/>
        <v>0</v>
      </c>
      <c r="BF452" s="268"/>
      <c r="BG452" s="257">
        <f t="shared" si="70"/>
        <v>0</v>
      </c>
      <c r="BH452" s="268"/>
      <c r="BI452" s="257">
        <f t="shared" si="71"/>
        <v>0</v>
      </c>
      <c r="BJ452" s="1" t="s">
        <v>889</v>
      </c>
      <c r="BL452" s="1" t="s">
        <v>457</v>
      </c>
      <c r="BM452" s="378" t="s">
        <v>890</v>
      </c>
    </row>
    <row r="453" spans="1:65" ht="15.6">
      <c r="A453" s="250" t="s">
        <v>951</v>
      </c>
      <c r="B453" s="59" t="s">
        <v>221</v>
      </c>
      <c r="C453" s="354" t="s">
        <v>172</v>
      </c>
      <c r="D453" s="419"/>
      <c r="E453" s="281" t="s">
        <v>332</v>
      </c>
      <c r="F453" s="422"/>
      <c r="G453" s="317">
        <v>2023</v>
      </c>
      <c r="H453" s="323" t="s">
        <v>421</v>
      </c>
      <c r="I453" s="332" t="s">
        <v>357</v>
      </c>
      <c r="J453" s="331">
        <v>15</v>
      </c>
      <c r="K453" s="323" t="s">
        <v>210</v>
      </c>
      <c r="L453" s="323" t="s">
        <v>464</v>
      </c>
      <c r="M453" s="303" t="s">
        <v>933</v>
      </c>
      <c r="N453" s="303">
        <v>4.75</v>
      </c>
      <c r="O453" s="303">
        <v>4.75</v>
      </c>
      <c r="P453" s="303">
        <v>4.75</v>
      </c>
      <c r="Q453" s="303">
        <v>4.75</v>
      </c>
      <c r="R453" s="401">
        <v>5.5</v>
      </c>
      <c r="S453" s="401">
        <v>5.5</v>
      </c>
      <c r="T453" s="401">
        <v>5.5</v>
      </c>
      <c r="U453" s="401">
        <v>5.5</v>
      </c>
      <c r="V453" s="401">
        <v>5.5</v>
      </c>
      <c r="W453" s="401">
        <v>5.5</v>
      </c>
      <c r="X453" s="401">
        <v>5.5</v>
      </c>
      <c r="Y453" s="401">
        <v>5.5</v>
      </c>
      <c r="Z453" s="59">
        <v>0.35</v>
      </c>
      <c r="AA453" s="59">
        <v>0.35</v>
      </c>
      <c r="AB453" s="59">
        <v>0.35</v>
      </c>
      <c r="AC453" s="304">
        <v>0</v>
      </c>
      <c r="AD453" s="402">
        <v>0.5</v>
      </c>
      <c r="AE453" s="402">
        <v>0.5</v>
      </c>
      <c r="AF453" s="402">
        <v>0.5</v>
      </c>
      <c r="AG453" s="402">
        <v>0.5</v>
      </c>
      <c r="AH453" s="402">
        <v>0.5</v>
      </c>
      <c r="AI453" s="402">
        <v>0.5</v>
      </c>
      <c r="AJ453" s="402">
        <v>0.5</v>
      </c>
      <c r="AK453" s="402">
        <v>0.5</v>
      </c>
      <c r="AL453" s="260"/>
      <c r="AM453" s="254">
        <f t="shared" si="60"/>
        <v>0</v>
      </c>
      <c r="AN453" s="260"/>
      <c r="AO453" s="254">
        <f t="shared" si="61"/>
        <v>0</v>
      </c>
      <c r="AP453" s="260"/>
      <c r="AQ453" s="254">
        <f t="shared" si="62"/>
        <v>0</v>
      </c>
      <c r="AR453" s="260"/>
      <c r="AS453" s="257">
        <f t="shared" si="63"/>
        <v>0</v>
      </c>
      <c r="AT453" s="382"/>
      <c r="AU453" s="257">
        <f t="shared" si="64"/>
        <v>0</v>
      </c>
      <c r="AV453" s="268"/>
      <c r="AW453" s="257">
        <f t="shared" si="65"/>
        <v>0</v>
      </c>
      <c r="AX453" s="270"/>
      <c r="AY453" s="257">
        <f t="shared" si="66"/>
        <v>0</v>
      </c>
      <c r="AZ453" s="270"/>
      <c r="BA453" s="257">
        <f t="shared" si="67"/>
        <v>0</v>
      </c>
      <c r="BB453" s="268"/>
      <c r="BC453" s="257">
        <f t="shared" si="68"/>
        <v>0</v>
      </c>
      <c r="BD453" s="268"/>
      <c r="BE453" s="257">
        <f t="shared" si="69"/>
        <v>0</v>
      </c>
      <c r="BF453" s="268"/>
      <c r="BG453" s="257">
        <f t="shared" si="70"/>
        <v>0</v>
      </c>
      <c r="BH453" s="268"/>
      <c r="BI453" s="257">
        <f t="shared" si="71"/>
        <v>0</v>
      </c>
      <c r="BJ453" s="1" t="s">
        <v>891</v>
      </c>
      <c r="BL453" s="1" t="s">
        <v>457</v>
      </c>
      <c r="BM453" s="378" t="s">
        <v>892</v>
      </c>
    </row>
    <row r="454" spans="1:65" ht="15.6">
      <c r="A454" s="250" t="s">
        <v>951</v>
      </c>
      <c r="B454" s="59" t="s">
        <v>221</v>
      </c>
      <c r="C454" s="354" t="s">
        <v>172</v>
      </c>
      <c r="D454" s="419"/>
      <c r="E454" s="281" t="s">
        <v>332</v>
      </c>
      <c r="F454" s="422"/>
      <c r="G454" s="317">
        <v>2023</v>
      </c>
      <c r="H454" s="323" t="s">
        <v>421</v>
      </c>
      <c r="I454" s="330" t="s">
        <v>359</v>
      </c>
      <c r="J454" s="331">
        <v>15</v>
      </c>
      <c r="K454" s="328" t="s">
        <v>243</v>
      </c>
      <c r="L454" s="323" t="s">
        <v>464</v>
      </c>
      <c r="M454" s="303" t="s">
        <v>933</v>
      </c>
      <c r="N454" s="303">
        <v>7.8</v>
      </c>
      <c r="O454" s="303">
        <v>7.8</v>
      </c>
      <c r="P454" s="303">
        <v>7.75</v>
      </c>
      <c r="Q454" s="303">
        <v>7.75</v>
      </c>
      <c r="R454" s="401">
        <v>8.1999999999999993</v>
      </c>
      <c r="S454" s="401">
        <v>8.1999999999999993</v>
      </c>
      <c r="T454" s="401">
        <v>8.1999999999999993</v>
      </c>
      <c r="U454" s="401">
        <v>8.1999999999999993</v>
      </c>
      <c r="V454" s="401">
        <v>8.1999999999999993</v>
      </c>
      <c r="W454" s="401">
        <v>8.1999999999999993</v>
      </c>
      <c r="X454" s="401">
        <v>8.1999999999999993</v>
      </c>
      <c r="Y454" s="401">
        <v>8.1999999999999993</v>
      </c>
      <c r="Z454" s="59">
        <v>0.6</v>
      </c>
      <c r="AA454" s="59">
        <v>0.6</v>
      </c>
      <c r="AB454" s="59">
        <v>0.65</v>
      </c>
      <c r="AC454" s="304">
        <v>0</v>
      </c>
      <c r="AD454" s="402">
        <v>0.5</v>
      </c>
      <c r="AE454" s="402">
        <v>0.5</v>
      </c>
      <c r="AF454" s="402">
        <v>0.5</v>
      </c>
      <c r="AG454" s="402">
        <v>0.5</v>
      </c>
      <c r="AH454" s="402">
        <v>0.5</v>
      </c>
      <c r="AI454" s="402">
        <v>0.5</v>
      </c>
      <c r="AJ454" s="402">
        <v>0.5</v>
      </c>
      <c r="AK454" s="402">
        <v>0.5</v>
      </c>
      <c r="AL454" s="260"/>
      <c r="AM454" s="254">
        <f t="shared" si="60"/>
        <v>0</v>
      </c>
      <c r="AN454" s="260"/>
      <c r="AO454" s="254">
        <f t="shared" si="61"/>
        <v>0</v>
      </c>
      <c r="AP454" s="260"/>
      <c r="AQ454" s="254">
        <f t="shared" si="62"/>
        <v>0</v>
      </c>
      <c r="AR454" s="260"/>
      <c r="AS454" s="257">
        <f t="shared" si="63"/>
        <v>0</v>
      </c>
      <c r="AT454" s="383"/>
      <c r="AU454" s="257">
        <f t="shared" si="64"/>
        <v>0</v>
      </c>
      <c r="AV454" s="392"/>
      <c r="AW454" s="257">
        <f t="shared" si="65"/>
        <v>0</v>
      </c>
      <c r="AX454" s="260"/>
      <c r="AY454" s="257">
        <f t="shared" si="66"/>
        <v>0</v>
      </c>
      <c r="AZ454" s="260"/>
      <c r="BA454" s="257">
        <f t="shared" si="67"/>
        <v>0</v>
      </c>
      <c r="BB454" s="268"/>
      <c r="BC454" s="257">
        <f t="shared" si="68"/>
        <v>0</v>
      </c>
      <c r="BD454" s="268"/>
      <c r="BE454" s="257">
        <f t="shared" si="69"/>
        <v>0</v>
      </c>
      <c r="BF454" s="268"/>
      <c r="BG454" s="257">
        <f t="shared" si="70"/>
        <v>0</v>
      </c>
      <c r="BH454" s="268"/>
      <c r="BI454" s="257">
        <f t="shared" si="71"/>
        <v>0</v>
      </c>
      <c r="BJ454" s="1" t="s">
        <v>893</v>
      </c>
      <c r="BL454" s="1" t="s">
        <v>457</v>
      </c>
      <c r="BM454" s="378" t="s">
        <v>894</v>
      </c>
    </row>
    <row r="455" spans="1:65" ht="15.6">
      <c r="A455" s="250" t="s">
        <v>951</v>
      </c>
      <c r="B455" s="59" t="s">
        <v>221</v>
      </c>
      <c r="C455" s="354" t="s">
        <v>172</v>
      </c>
      <c r="D455" s="419"/>
      <c r="E455" s="281" t="s">
        <v>332</v>
      </c>
      <c r="F455" s="422"/>
      <c r="G455" s="317">
        <v>2023</v>
      </c>
      <c r="H455" s="323" t="s">
        <v>421</v>
      </c>
      <c r="I455" s="332" t="s">
        <v>357</v>
      </c>
      <c r="J455" s="331">
        <v>15</v>
      </c>
      <c r="K455" s="328" t="s">
        <v>243</v>
      </c>
      <c r="L455" s="323" t="s">
        <v>464</v>
      </c>
      <c r="M455" s="303" t="s">
        <v>933</v>
      </c>
      <c r="N455" s="303">
        <v>3.08</v>
      </c>
      <c r="O455" s="303">
        <v>3.08</v>
      </c>
      <c r="P455" s="303">
        <v>3.05</v>
      </c>
      <c r="Q455" s="303">
        <v>3.05</v>
      </c>
      <c r="R455" s="401">
        <v>3.6</v>
      </c>
      <c r="S455" s="401">
        <v>3.6</v>
      </c>
      <c r="T455" s="401">
        <v>3.6</v>
      </c>
      <c r="U455" s="401">
        <v>3.6</v>
      </c>
      <c r="V455" s="401">
        <v>3.6</v>
      </c>
      <c r="W455" s="401">
        <v>3.6</v>
      </c>
      <c r="X455" s="401">
        <v>3.6</v>
      </c>
      <c r="Y455" s="401">
        <v>3.6</v>
      </c>
      <c r="Z455" s="59">
        <v>0.28000000000000003</v>
      </c>
      <c r="AA455" s="59">
        <v>0.28000000000000003</v>
      </c>
      <c r="AB455" s="59">
        <v>0.25</v>
      </c>
      <c r="AC455" s="304">
        <v>0</v>
      </c>
      <c r="AD455" s="402">
        <v>0.2</v>
      </c>
      <c r="AE455" s="402">
        <v>0.2</v>
      </c>
      <c r="AF455" s="402">
        <v>0.2</v>
      </c>
      <c r="AG455" s="402">
        <v>0.2</v>
      </c>
      <c r="AH455" s="402">
        <v>0.2</v>
      </c>
      <c r="AI455" s="402">
        <v>0.2</v>
      </c>
      <c r="AJ455" s="402">
        <v>0.2</v>
      </c>
      <c r="AK455" s="402">
        <v>0.2</v>
      </c>
      <c r="AL455" s="260"/>
      <c r="AM455" s="254">
        <f t="shared" si="60"/>
        <v>0</v>
      </c>
      <c r="AN455" s="260"/>
      <c r="AO455" s="254">
        <f t="shared" si="61"/>
        <v>0</v>
      </c>
      <c r="AP455" s="260"/>
      <c r="AQ455" s="254">
        <f t="shared" si="62"/>
        <v>0</v>
      </c>
      <c r="AR455" s="260"/>
      <c r="AS455" s="257">
        <f t="shared" si="63"/>
        <v>0</v>
      </c>
      <c r="AT455" s="383"/>
      <c r="AU455" s="257">
        <f t="shared" si="64"/>
        <v>0</v>
      </c>
      <c r="AV455" s="392"/>
      <c r="AW455" s="257">
        <f t="shared" si="65"/>
        <v>0</v>
      </c>
      <c r="AX455" s="260"/>
      <c r="AY455" s="257">
        <f t="shared" si="66"/>
        <v>0</v>
      </c>
      <c r="AZ455" s="260"/>
      <c r="BA455" s="257">
        <f t="shared" si="67"/>
        <v>0</v>
      </c>
      <c r="BB455" s="268"/>
      <c r="BC455" s="257">
        <f t="shared" si="68"/>
        <v>0</v>
      </c>
      <c r="BD455" s="268"/>
      <c r="BE455" s="257">
        <f t="shared" si="69"/>
        <v>0</v>
      </c>
      <c r="BF455" s="268"/>
      <c r="BG455" s="257">
        <f t="shared" si="70"/>
        <v>0</v>
      </c>
      <c r="BH455" s="268"/>
      <c r="BI455" s="257">
        <f t="shared" si="71"/>
        <v>0</v>
      </c>
      <c r="BJ455" s="1" t="s">
        <v>895</v>
      </c>
      <c r="BL455" s="1" t="s">
        <v>457</v>
      </c>
      <c r="BM455" s="378" t="s">
        <v>896</v>
      </c>
    </row>
    <row r="456" spans="1:65" ht="15.6">
      <c r="A456" s="250" t="s">
        <v>951</v>
      </c>
      <c r="B456" s="59" t="s">
        <v>221</v>
      </c>
      <c r="C456" s="354" t="s">
        <v>172</v>
      </c>
      <c r="D456" s="419"/>
      <c r="E456" s="281" t="s">
        <v>332</v>
      </c>
      <c r="F456" s="422"/>
      <c r="G456" s="317">
        <v>2023</v>
      </c>
      <c r="H456" s="323" t="s">
        <v>421</v>
      </c>
      <c r="I456" s="330" t="s">
        <v>359</v>
      </c>
      <c r="J456" s="331">
        <v>15</v>
      </c>
      <c r="K456" s="323" t="s">
        <v>247</v>
      </c>
      <c r="L456" s="323" t="s">
        <v>464</v>
      </c>
      <c r="M456" s="303" t="s">
        <v>933</v>
      </c>
      <c r="N456" s="303">
        <v>8.5</v>
      </c>
      <c r="O456" s="303">
        <v>8.5</v>
      </c>
      <c r="P456" s="303">
        <v>8.4</v>
      </c>
      <c r="Q456" s="303">
        <v>8.4</v>
      </c>
      <c r="R456" s="401">
        <v>9</v>
      </c>
      <c r="S456" s="401">
        <v>9</v>
      </c>
      <c r="T456" s="401">
        <v>9</v>
      </c>
      <c r="U456" s="401">
        <v>9</v>
      </c>
      <c r="V456" s="401">
        <v>9</v>
      </c>
      <c r="W456" s="401">
        <v>9</v>
      </c>
      <c r="X456" s="401">
        <v>9</v>
      </c>
      <c r="Y456" s="401">
        <v>9</v>
      </c>
      <c r="Z456" s="59">
        <v>1</v>
      </c>
      <c r="AA456" s="59">
        <v>1</v>
      </c>
      <c r="AB456" s="59">
        <v>1.1000000000000001</v>
      </c>
      <c r="AC456" s="304">
        <v>0</v>
      </c>
      <c r="AD456" s="402">
        <v>1.0999999999999996</v>
      </c>
      <c r="AE456" s="402">
        <v>1.0999999999999996</v>
      </c>
      <c r="AF456" s="402">
        <v>1.0999999999999996</v>
      </c>
      <c r="AG456" s="402">
        <v>1.0999999999999996</v>
      </c>
      <c r="AH456" s="402">
        <v>1.0999999999999996</v>
      </c>
      <c r="AI456" s="402">
        <v>1.0999999999999996</v>
      </c>
      <c r="AJ456" s="402">
        <v>1.0999999999999996</v>
      </c>
      <c r="AK456" s="402">
        <v>1.0999999999999996</v>
      </c>
      <c r="AL456" s="260"/>
      <c r="AM456" s="254">
        <f t="shared" si="60"/>
        <v>0</v>
      </c>
      <c r="AN456" s="260"/>
      <c r="AO456" s="254">
        <f t="shared" si="61"/>
        <v>0</v>
      </c>
      <c r="AP456" s="260"/>
      <c r="AQ456" s="254">
        <f t="shared" si="62"/>
        <v>0</v>
      </c>
      <c r="AR456" s="260"/>
      <c r="AS456" s="257">
        <f t="shared" si="63"/>
        <v>0</v>
      </c>
      <c r="AT456" s="383"/>
      <c r="AU456" s="257">
        <f t="shared" si="64"/>
        <v>0</v>
      </c>
      <c r="AV456" s="392"/>
      <c r="AW456" s="257">
        <f t="shared" si="65"/>
        <v>0</v>
      </c>
      <c r="AX456" s="260"/>
      <c r="AY456" s="257">
        <f t="shared" si="66"/>
        <v>0</v>
      </c>
      <c r="AZ456" s="260"/>
      <c r="BA456" s="257">
        <f t="shared" si="67"/>
        <v>0</v>
      </c>
      <c r="BB456" s="268"/>
      <c r="BC456" s="257">
        <f t="shared" si="68"/>
        <v>0</v>
      </c>
      <c r="BD456" s="256"/>
      <c r="BE456" s="257">
        <f t="shared" si="69"/>
        <v>0</v>
      </c>
      <c r="BF456" s="256"/>
      <c r="BG456" s="257">
        <f t="shared" si="70"/>
        <v>0</v>
      </c>
      <c r="BH456" s="256"/>
      <c r="BI456" s="257">
        <f t="shared" si="71"/>
        <v>0</v>
      </c>
      <c r="BJ456" s="1" t="s">
        <v>897</v>
      </c>
      <c r="BL456" s="1" t="s">
        <v>457</v>
      </c>
      <c r="BM456" s="378" t="s">
        <v>898</v>
      </c>
    </row>
    <row r="457" spans="1:65" ht="15.6">
      <c r="A457" s="250" t="s">
        <v>951</v>
      </c>
      <c r="B457" s="59" t="s">
        <v>221</v>
      </c>
      <c r="C457" s="354" t="s">
        <v>172</v>
      </c>
      <c r="D457" s="419"/>
      <c r="E457" s="281" t="s">
        <v>332</v>
      </c>
      <c r="F457" s="422"/>
      <c r="G457" s="317">
        <v>2023</v>
      </c>
      <c r="H457" s="323" t="s">
        <v>421</v>
      </c>
      <c r="I457" s="330" t="s">
        <v>359</v>
      </c>
      <c r="J457" s="331">
        <v>15</v>
      </c>
      <c r="K457" s="323" t="s">
        <v>899</v>
      </c>
      <c r="L457" s="323" t="s">
        <v>464</v>
      </c>
      <c r="M457" s="303" t="s">
        <v>933</v>
      </c>
      <c r="N457" s="303">
        <v>8.5</v>
      </c>
      <c r="O457" s="303">
        <v>8.5</v>
      </c>
      <c r="P457" s="303">
        <v>8.4</v>
      </c>
      <c r="Q457" s="303">
        <v>8.4</v>
      </c>
      <c r="R457" s="401">
        <v>9</v>
      </c>
      <c r="S457" s="401">
        <v>9</v>
      </c>
      <c r="T457" s="401">
        <v>9</v>
      </c>
      <c r="U457" s="401">
        <v>9</v>
      </c>
      <c r="V457" s="401">
        <v>9</v>
      </c>
      <c r="W457" s="401">
        <v>9</v>
      </c>
      <c r="X457" s="401">
        <v>9</v>
      </c>
      <c r="Y457" s="401">
        <v>9</v>
      </c>
      <c r="Z457" s="59">
        <v>1</v>
      </c>
      <c r="AA457" s="59">
        <v>1</v>
      </c>
      <c r="AB457" s="59">
        <v>1.1000000000000001</v>
      </c>
      <c r="AC457" s="304">
        <v>0</v>
      </c>
      <c r="AD457" s="402">
        <v>1.0999999999999996</v>
      </c>
      <c r="AE457" s="402">
        <v>1.0999999999999996</v>
      </c>
      <c r="AF457" s="402">
        <v>1.0999999999999996</v>
      </c>
      <c r="AG457" s="402">
        <v>1.0999999999999996</v>
      </c>
      <c r="AH457" s="402">
        <v>1.0999999999999996</v>
      </c>
      <c r="AI457" s="402">
        <v>1.0999999999999996</v>
      </c>
      <c r="AJ457" s="402">
        <v>1.0999999999999996</v>
      </c>
      <c r="AK457" s="402">
        <v>1.0999999999999996</v>
      </c>
      <c r="AL457" s="260"/>
      <c r="AM457" s="254">
        <f t="shared" si="60"/>
        <v>0</v>
      </c>
      <c r="AN457" s="260"/>
      <c r="AO457" s="254">
        <f t="shared" si="61"/>
        <v>0</v>
      </c>
      <c r="AP457" s="260"/>
      <c r="AQ457" s="254">
        <f t="shared" si="62"/>
        <v>0</v>
      </c>
      <c r="AR457" s="260"/>
      <c r="AS457" s="257">
        <f t="shared" si="63"/>
        <v>0</v>
      </c>
      <c r="AT457" s="383"/>
      <c r="AU457" s="257">
        <f t="shared" si="64"/>
        <v>0</v>
      </c>
      <c r="AV457" s="392"/>
      <c r="AW457" s="257">
        <f t="shared" si="65"/>
        <v>0</v>
      </c>
      <c r="AX457" s="260"/>
      <c r="AY457" s="257">
        <f t="shared" si="66"/>
        <v>0</v>
      </c>
      <c r="AZ457" s="260"/>
      <c r="BA457" s="257">
        <f t="shared" si="67"/>
        <v>0</v>
      </c>
      <c r="BB457" s="268"/>
      <c r="BC457" s="257">
        <f t="shared" si="68"/>
        <v>0</v>
      </c>
      <c r="BD457" s="256"/>
      <c r="BE457" s="257">
        <f t="shared" si="69"/>
        <v>0</v>
      </c>
      <c r="BF457" s="256"/>
      <c r="BG457" s="257">
        <f t="shared" si="70"/>
        <v>0</v>
      </c>
      <c r="BH457" s="256"/>
      <c r="BI457" s="257">
        <f t="shared" si="71"/>
        <v>0</v>
      </c>
      <c r="BJ457" s="1" t="s">
        <v>900</v>
      </c>
      <c r="BL457" s="1" t="s">
        <v>457</v>
      </c>
      <c r="BM457" s="378" t="s">
        <v>901</v>
      </c>
    </row>
    <row r="458" spans="1:65" ht="15.6">
      <c r="A458" s="250" t="s">
        <v>951</v>
      </c>
      <c r="B458" s="59" t="s">
        <v>221</v>
      </c>
      <c r="C458" s="354" t="s">
        <v>172</v>
      </c>
      <c r="D458" s="419"/>
      <c r="E458" s="281" t="s">
        <v>332</v>
      </c>
      <c r="F458" s="422"/>
      <c r="G458" s="317">
        <v>2023</v>
      </c>
      <c r="H458" s="323" t="s">
        <v>419</v>
      </c>
      <c r="I458" s="332" t="s">
        <v>183</v>
      </c>
      <c r="J458" s="331">
        <v>15</v>
      </c>
      <c r="K458" s="323" t="s">
        <v>422</v>
      </c>
      <c r="L458" s="323" t="s">
        <v>464</v>
      </c>
      <c r="M458" s="303" t="s">
        <v>933</v>
      </c>
      <c r="N458" s="303">
        <v>8.5</v>
      </c>
      <c r="O458" s="303">
        <v>8.5</v>
      </c>
      <c r="P458" s="303">
        <v>8.4</v>
      </c>
      <c r="Q458" s="303">
        <v>8.4</v>
      </c>
      <c r="R458" s="401">
        <v>9</v>
      </c>
      <c r="S458" s="401">
        <v>9</v>
      </c>
      <c r="T458" s="401">
        <v>9</v>
      </c>
      <c r="U458" s="401">
        <v>9</v>
      </c>
      <c r="V458" s="401">
        <v>9</v>
      </c>
      <c r="W458" s="401">
        <v>9</v>
      </c>
      <c r="X458" s="401">
        <v>9</v>
      </c>
      <c r="Y458" s="401">
        <v>9</v>
      </c>
      <c r="Z458" s="59">
        <v>1</v>
      </c>
      <c r="AA458" s="59">
        <v>1</v>
      </c>
      <c r="AB458" s="59">
        <v>1.1000000000000001</v>
      </c>
      <c r="AC458" s="304">
        <v>0</v>
      </c>
      <c r="AD458" s="402">
        <v>1.0999999999999996</v>
      </c>
      <c r="AE458" s="402">
        <v>1.0999999999999996</v>
      </c>
      <c r="AF458" s="402">
        <v>1.0999999999999996</v>
      </c>
      <c r="AG458" s="402">
        <v>1.0999999999999996</v>
      </c>
      <c r="AH458" s="402">
        <v>1.0999999999999996</v>
      </c>
      <c r="AI458" s="402">
        <v>1.0999999999999996</v>
      </c>
      <c r="AJ458" s="402">
        <v>1.0999999999999996</v>
      </c>
      <c r="AK458" s="402">
        <v>1.0999999999999996</v>
      </c>
      <c r="AL458" s="260"/>
      <c r="AM458" s="254">
        <f t="shared" si="60"/>
        <v>0</v>
      </c>
      <c r="AN458" s="260"/>
      <c r="AO458" s="254">
        <f t="shared" si="61"/>
        <v>0</v>
      </c>
      <c r="AP458" s="260"/>
      <c r="AQ458" s="254">
        <f t="shared" si="62"/>
        <v>0</v>
      </c>
      <c r="AR458" s="260"/>
      <c r="AS458" s="257">
        <f t="shared" si="63"/>
        <v>0</v>
      </c>
      <c r="AT458" s="383"/>
      <c r="AU458" s="257">
        <f t="shared" si="64"/>
        <v>0</v>
      </c>
      <c r="AV458" s="392"/>
      <c r="AW458" s="257">
        <f t="shared" si="65"/>
        <v>0</v>
      </c>
      <c r="AX458" s="260"/>
      <c r="AY458" s="257">
        <f t="shared" si="66"/>
        <v>0</v>
      </c>
      <c r="AZ458" s="260"/>
      <c r="BA458" s="257">
        <f t="shared" si="67"/>
        <v>0</v>
      </c>
      <c r="BB458" s="268"/>
      <c r="BC458" s="257">
        <f t="shared" si="68"/>
        <v>0</v>
      </c>
      <c r="BD458" s="256"/>
      <c r="BE458" s="257">
        <f t="shared" si="69"/>
        <v>0</v>
      </c>
      <c r="BF458" s="256"/>
      <c r="BG458" s="257">
        <f t="shared" si="70"/>
        <v>0</v>
      </c>
      <c r="BH458" s="256"/>
      <c r="BI458" s="257">
        <f t="shared" si="71"/>
        <v>0</v>
      </c>
      <c r="BJ458" s="1" t="s">
        <v>902</v>
      </c>
      <c r="BL458" s="1" t="s">
        <v>457</v>
      </c>
      <c r="BM458" s="378" t="s">
        <v>903</v>
      </c>
    </row>
    <row r="459" spans="1:65" ht="15.6">
      <c r="A459" s="250" t="s">
        <v>951</v>
      </c>
      <c r="B459" s="59" t="s">
        <v>221</v>
      </c>
      <c r="C459" s="354" t="s">
        <v>172</v>
      </c>
      <c r="D459" s="419"/>
      <c r="E459" s="281" t="s">
        <v>332</v>
      </c>
      <c r="F459" s="422"/>
      <c r="G459" s="317">
        <v>2023</v>
      </c>
      <c r="H459" s="323" t="s">
        <v>419</v>
      </c>
      <c r="I459" s="332" t="s">
        <v>183</v>
      </c>
      <c r="J459" s="331">
        <v>15</v>
      </c>
      <c r="K459" s="323" t="s">
        <v>423</v>
      </c>
      <c r="L459" s="323" t="s">
        <v>464</v>
      </c>
      <c r="M459" s="303" t="s">
        <v>933</v>
      </c>
      <c r="N459" s="303">
        <v>8.5</v>
      </c>
      <c r="O459" s="303">
        <v>8.5</v>
      </c>
      <c r="P459" s="303">
        <v>8.4</v>
      </c>
      <c r="Q459" s="303">
        <v>8.4</v>
      </c>
      <c r="R459" s="401">
        <v>9</v>
      </c>
      <c r="S459" s="401">
        <v>9</v>
      </c>
      <c r="T459" s="401">
        <v>9</v>
      </c>
      <c r="U459" s="401">
        <v>9</v>
      </c>
      <c r="V459" s="401">
        <v>9</v>
      </c>
      <c r="W459" s="401">
        <v>9</v>
      </c>
      <c r="X459" s="401">
        <v>9</v>
      </c>
      <c r="Y459" s="401">
        <v>9</v>
      </c>
      <c r="Z459" s="59">
        <v>1</v>
      </c>
      <c r="AA459" s="59">
        <v>1</v>
      </c>
      <c r="AB459" s="59">
        <v>1.1000000000000001</v>
      </c>
      <c r="AC459" s="304">
        <v>0</v>
      </c>
      <c r="AD459" s="402">
        <v>1.0999999999999996</v>
      </c>
      <c r="AE459" s="402">
        <v>1.0999999999999996</v>
      </c>
      <c r="AF459" s="402">
        <v>1.0999999999999996</v>
      </c>
      <c r="AG459" s="402">
        <v>1.0999999999999996</v>
      </c>
      <c r="AH459" s="402">
        <v>1.0999999999999996</v>
      </c>
      <c r="AI459" s="402">
        <v>1.0999999999999996</v>
      </c>
      <c r="AJ459" s="402">
        <v>1.0999999999999996</v>
      </c>
      <c r="AK459" s="402">
        <v>1.0999999999999996</v>
      </c>
      <c r="AL459" s="260"/>
      <c r="AM459" s="254">
        <f t="shared" si="60"/>
        <v>0</v>
      </c>
      <c r="AN459" s="260"/>
      <c r="AO459" s="254">
        <f t="shared" si="61"/>
        <v>0</v>
      </c>
      <c r="AP459" s="260"/>
      <c r="AQ459" s="254">
        <f t="shared" si="62"/>
        <v>0</v>
      </c>
      <c r="AR459" s="260"/>
      <c r="AS459" s="257">
        <f t="shared" si="63"/>
        <v>0</v>
      </c>
      <c r="AT459" s="383"/>
      <c r="AU459" s="257">
        <f t="shared" si="64"/>
        <v>0</v>
      </c>
      <c r="AV459" s="392"/>
      <c r="AW459" s="257">
        <f t="shared" si="65"/>
        <v>0</v>
      </c>
      <c r="AX459" s="260"/>
      <c r="AY459" s="257">
        <f t="shared" si="66"/>
        <v>0</v>
      </c>
      <c r="AZ459" s="260"/>
      <c r="BA459" s="257">
        <f t="shared" si="67"/>
        <v>0</v>
      </c>
      <c r="BB459" s="268"/>
      <c r="BC459" s="257">
        <f t="shared" si="68"/>
        <v>0</v>
      </c>
      <c r="BD459" s="256"/>
      <c r="BE459" s="257">
        <f t="shared" si="69"/>
        <v>0</v>
      </c>
      <c r="BF459" s="256"/>
      <c r="BG459" s="257">
        <f t="shared" si="70"/>
        <v>0</v>
      </c>
      <c r="BH459" s="256"/>
      <c r="BI459" s="257">
        <f t="shared" si="71"/>
        <v>0</v>
      </c>
      <c r="BJ459" s="1" t="s">
        <v>904</v>
      </c>
      <c r="BL459" s="1" t="s">
        <v>457</v>
      </c>
      <c r="BM459" s="378" t="s">
        <v>905</v>
      </c>
    </row>
    <row r="460" spans="1:65" ht="15.6">
      <c r="A460" s="250" t="s">
        <v>951</v>
      </c>
      <c r="B460" s="59" t="s">
        <v>221</v>
      </c>
      <c r="C460" s="354" t="s">
        <v>172</v>
      </c>
      <c r="D460" s="419"/>
      <c r="E460" s="281" t="s">
        <v>332</v>
      </c>
      <c r="F460" s="422"/>
      <c r="G460" s="317">
        <v>2023</v>
      </c>
      <c r="H460" s="323" t="s">
        <v>419</v>
      </c>
      <c r="I460" s="332" t="s">
        <v>357</v>
      </c>
      <c r="J460" s="331">
        <v>15</v>
      </c>
      <c r="K460" s="323" t="s">
        <v>637</v>
      </c>
      <c r="L460" s="323" t="s">
        <v>464</v>
      </c>
      <c r="M460" s="303" t="s">
        <v>933</v>
      </c>
      <c r="N460" s="303">
        <v>3.08</v>
      </c>
      <c r="O460" s="303">
        <v>3.08</v>
      </c>
      <c r="P460" s="303">
        <v>3.05</v>
      </c>
      <c r="Q460" s="303">
        <v>3.05</v>
      </c>
      <c r="R460" s="401">
        <v>3.6</v>
      </c>
      <c r="S460" s="401">
        <v>3.6</v>
      </c>
      <c r="T460" s="401">
        <v>3.6</v>
      </c>
      <c r="U460" s="401">
        <v>3.6</v>
      </c>
      <c r="V460" s="401">
        <v>3.6</v>
      </c>
      <c r="W460" s="401">
        <v>3.6</v>
      </c>
      <c r="X460" s="401">
        <v>3.6</v>
      </c>
      <c r="Y460" s="401">
        <v>3.6</v>
      </c>
      <c r="Z460" s="59">
        <v>0.28000000000000003</v>
      </c>
      <c r="AA460" s="59">
        <v>0.28000000000000003</v>
      </c>
      <c r="AB460" s="59">
        <v>0.25</v>
      </c>
      <c r="AC460" s="304">
        <v>0</v>
      </c>
      <c r="AD460" s="402">
        <v>0.2</v>
      </c>
      <c r="AE460" s="402">
        <v>0.2</v>
      </c>
      <c r="AF460" s="402">
        <v>0.2</v>
      </c>
      <c r="AG460" s="402">
        <v>0.2</v>
      </c>
      <c r="AH460" s="402">
        <v>0.2</v>
      </c>
      <c r="AI460" s="402">
        <v>0.2</v>
      </c>
      <c r="AJ460" s="402">
        <v>0.2</v>
      </c>
      <c r="AK460" s="402">
        <v>0.2</v>
      </c>
      <c r="AL460" s="260">
        <v>13400</v>
      </c>
      <c r="AM460" s="254">
        <f t="shared" si="60"/>
        <v>3752.0000000000005</v>
      </c>
      <c r="AN460" s="260">
        <v>14760</v>
      </c>
      <c r="AO460" s="254">
        <f t="shared" si="61"/>
        <v>4132.8</v>
      </c>
      <c r="AP460" s="260">
        <v>10000</v>
      </c>
      <c r="AQ460" s="254">
        <f t="shared" si="62"/>
        <v>2500</v>
      </c>
      <c r="AR460" s="260">
        <v>4000</v>
      </c>
      <c r="AS460" s="257">
        <f t="shared" si="63"/>
        <v>0</v>
      </c>
      <c r="AT460" s="383">
        <v>7720</v>
      </c>
      <c r="AU460" s="257">
        <f t="shared" si="64"/>
        <v>1544</v>
      </c>
      <c r="AV460" s="392">
        <v>10000</v>
      </c>
      <c r="AW460" s="257">
        <f t="shared" si="65"/>
        <v>2000</v>
      </c>
      <c r="AX460" s="392">
        <v>10000</v>
      </c>
      <c r="AY460" s="257">
        <f t="shared" si="66"/>
        <v>2000</v>
      </c>
      <c r="AZ460" s="392">
        <v>10000</v>
      </c>
      <c r="BA460" s="257">
        <f t="shared" si="67"/>
        <v>2000</v>
      </c>
      <c r="BB460" s="392">
        <v>10000</v>
      </c>
      <c r="BC460" s="257">
        <f t="shared" si="68"/>
        <v>2000</v>
      </c>
      <c r="BD460" s="392">
        <v>10000</v>
      </c>
      <c r="BE460" s="257">
        <f t="shared" si="69"/>
        <v>2000</v>
      </c>
      <c r="BF460" s="256">
        <v>20000</v>
      </c>
      <c r="BG460" s="257">
        <f t="shared" si="70"/>
        <v>4000</v>
      </c>
      <c r="BH460" s="256">
        <v>10000</v>
      </c>
      <c r="BI460" s="257">
        <f t="shared" si="71"/>
        <v>2000</v>
      </c>
      <c r="BJ460" s="1" t="s">
        <v>906</v>
      </c>
      <c r="BK460" s="1" t="s">
        <v>532</v>
      </c>
      <c r="BL460" s="1" t="s">
        <v>457</v>
      </c>
      <c r="BM460" s="378" t="s">
        <v>907</v>
      </c>
    </row>
    <row r="461" spans="1:65" ht="15.6">
      <c r="A461" s="250" t="s">
        <v>951</v>
      </c>
      <c r="B461" s="59" t="s">
        <v>221</v>
      </c>
      <c r="C461" s="354" t="s">
        <v>172</v>
      </c>
      <c r="D461" s="419"/>
      <c r="E461" s="281" t="s">
        <v>332</v>
      </c>
      <c r="F461" s="422"/>
      <c r="G461" s="317">
        <v>2023</v>
      </c>
      <c r="H461" s="323" t="s">
        <v>421</v>
      </c>
      <c r="I461" s="330" t="s">
        <v>359</v>
      </c>
      <c r="J461" s="331">
        <v>15</v>
      </c>
      <c r="K461" s="323" t="s">
        <v>210</v>
      </c>
      <c r="L461" s="323" t="s">
        <v>464</v>
      </c>
      <c r="M461" s="303" t="s">
        <v>933</v>
      </c>
      <c r="N461" s="303">
        <v>8.5</v>
      </c>
      <c r="O461" s="303">
        <v>8.5</v>
      </c>
      <c r="P461" s="303">
        <v>8.4</v>
      </c>
      <c r="Q461" s="303">
        <v>8.4</v>
      </c>
      <c r="R461" s="401">
        <v>9</v>
      </c>
      <c r="S461" s="401">
        <v>9</v>
      </c>
      <c r="T461" s="401">
        <v>9</v>
      </c>
      <c r="U461" s="401">
        <v>9</v>
      </c>
      <c r="V461" s="401">
        <v>9</v>
      </c>
      <c r="W461" s="401">
        <v>9</v>
      </c>
      <c r="X461" s="401">
        <v>9</v>
      </c>
      <c r="Y461" s="401">
        <v>9</v>
      </c>
      <c r="Z461" s="59">
        <v>1</v>
      </c>
      <c r="AA461" s="59">
        <v>1</v>
      </c>
      <c r="AB461" s="59">
        <v>1.1000000000000001</v>
      </c>
      <c r="AC461" s="304">
        <v>0</v>
      </c>
      <c r="AD461" s="402">
        <v>1.0999999999999996</v>
      </c>
      <c r="AE461" s="402">
        <v>1.0999999999999996</v>
      </c>
      <c r="AF461" s="402">
        <v>1.0999999999999996</v>
      </c>
      <c r="AG461" s="402">
        <v>1.0999999999999996</v>
      </c>
      <c r="AH461" s="402">
        <v>1.0999999999999996</v>
      </c>
      <c r="AI461" s="402">
        <v>1.0999999999999996</v>
      </c>
      <c r="AJ461" s="402">
        <v>1.0999999999999996</v>
      </c>
      <c r="AK461" s="402">
        <v>1.0999999999999996</v>
      </c>
      <c r="AL461" s="260"/>
      <c r="AM461" s="254">
        <f t="shared" si="60"/>
        <v>0</v>
      </c>
      <c r="AN461" s="260"/>
      <c r="AO461" s="254">
        <f t="shared" si="61"/>
        <v>0</v>
      </c>
      <c r="AP461" s="260">
        <v>320</v>
      </c>
      <c r="AQ461" s="254">
        <f t="shared" si="62"/>
        <v>352</v>
      </c>
      <c r="AR461" s="260">
        <v>160</v>
      </c>
      <c r="AS461" s="257">
        <f t="shared" si="63"/>
        <v>0</v>
      </c>
      <c r="AT461" s="260">
        <v>1840</v>
      </c>
      <c r="AU461" s="257">
        <f t="shared" si="64"/>
        <v>2023.9999999999993</v>
      </c>
      <c r="AV461" s="260">
        <v>3000</v>
      </c>
      <c r="AW461" s="257">
        <f t="shared" si="65"/>
        <v>3299.9999999999991</v>
      </c>
      <c r="AX461" s="260">
        <v>3000</v>
      </c>
      <c r="AY461" s="257">
        <f t="shared" si="66"/>
        <v>3299.9999999999991</v>
      </c>
      <c r="AZ461" s="260">
        <v>3000</v>
      </c>
      <c r="BA461" s="257">
        <f t="shared" si="67"/>
        <v>3299.9999999999991</v>
      </c>
      <c r="BB461" s="260">
        <v>3000</v>
      </c>
      <c r="BC461" s="257">
        <f t="shared" si="68"/>
        <v>3299.9999999999991</v>
      </c>
      <c r="BD461" s="260">
        <v>3000</v>
      </c>
      <c r="BE461" s="257">
        <f t="shared" si="69"/>
        <v>3299.9999999999991</v>
      </c>
      <c r="BF461" s="260">
        <v>3000</v>
      </c>
      <c r="BG461" s="257">
        <f t="shared" si="70"/>
        <v>3299.9999999999991</v>
      </c>
      <c r="BH461" s="260">
        <v>3000</v>
      </c>
      <c r="BI461" s="257">
        <f t="shared" si="71"/>
        <v>3299.9999999999991</v>
      </c>
      <c r="BJ461" s="1" t="s">
        <v>908</v>
      </c>
      <c r="BK461" s="1" t="s">
        <v>532</v>
      </c>
      <c r="BL461" s="1" t="s">
        <v>457</v>
      </c>
      <c r="BM461" s="378" t="s">
        <v>909</v>
      </c>
    </row>
    <row r="462" spans="1:65" ht="15.6">
      <c r="A462" s="250" t="s">
        <v>951</v>
      </c>
      <c r="B462" s="59" t="s">
        <v>221</v>
      </c>
      <c r="C462" s="354" t="s">
        <v>172</v>
      </c>
      <c r="D462" s="419"/>
      <c r="E462" s="281" t="s">
        <v>332</v>
      </c>
      <c r="F462" s="422"/>
      <c r="G462" s="317">
        <v>2023</v>
      </c>
      <c r="H462" s="323" t="s">
        <v>421</v>
      </c>
      <c r="I462" s="332" t="s">
        <v>357</v>
      </c>
      <c r="J462" s="331">
        <v>15</v>
      </c>
      <c r="K462" s="323" t="s">
        <v>210</v>
      </c>
      <c r="L462" s="323" t="s">
        <v>464</v>
      </c>
      <c r="M462" s="303" t="s">
        <v>933</v>
      </c>
      <c r="N462" s="303">
        <v>4.75</v>
      </c>
      <c r="O462" s="303">
        <v>4.75</v>
      </c>
      <c r="P462" s="303">
        <v>4.75</v>
      </c>
      <c r="Q462" s="303">
        <v>4.75</v>
      </c>
      <c r="R462" s="401">
        <v>5.5</v>
      </c>
      <c r="S462" s="401">
        <v>5.5</v>
      </c>
      <c r="T462" s="401">
        <v>5.5</v>
      </c>
      <c r="U462" s="401">
        <v>5.5</v>
      </c>
      <c r="V462" s="401">
        <v>5.5</v>
      </c>
      <c r="W462" s="401">
        <v>5.5</v>
      </c>
      <c r="X462" s="401">
        <v>5.5</v>
      </c>
      <c r="Y462" s="401">
        <v>5.5</v>
      </c>
      <c r="Z462" s="59">
        <v>0.35</v>
      </c>
      <c r="AA462" s="59">
        <v>0.35</v>
      </c>
      <c r="AB462" s="59">
        <v>0.35</v>
      </c>
      <c r="AC462" s="304">
        <v>0</v>
      </c>
      <c r="AD462" s="402">
        <v>0.5</v>
      </c>
      <c r="AE462" s="402">
        <v>0.5</v>
      </c>
      <c r="AF462" s="402">
        <v>0.5</v>
      </c>
      <c r="AG462" s="402">
        <v>0.5</v>
      </c>
      <c r="AH462" s="402">
        <v>0.5</v>
      </c>
      <c r="AI462" s="402">
        <v>0.5</v>
      </c>
      <c r="AJ462" s="402">
        <v>0.5</v>
      </c>
      <c r="AK462" s="402">
        <v>0.5</v>
      </c>
      <c r="AL462" s="260">
        <v>40</v>
      </c>
      <c r="AM462" s="254">
        <f t="shared" si="60"/>
        <v>14</v>
      </c>
      <c r="AN462" s="260"/>
      <c r="AO462" s="254">
        <f t="shared" si="61"/>
        <v>0</v>
      </c>
      <c r="AP462" s="260"/>
      <c r="AQ462" s="254">
        <f t="shared" si="62"/>
        <v>0</v>
      </c>
      <c r="AR462" s="260">
        <v>160</v>
      </c>
      <c r="AS462" s="257">
        <f t="shared" si="63"/>
        <v>0</v>
      </c>
      <c r="AT462" s="260"/>
      <c r="AU462" s="257">
        <f t="shared" si="64"/>
        <v>0</v>
      </c>
      <c r="AV462" s="260">
        <v>1000</v>
      </c>
      <c r="AW462" s="257">
        <f t="shared" si="65"/>
        <v>500</v>
      </c>
      <c r="AX462" s="260">
        <v>1000</v>
      </c>
      <c r="AY462" s="257">
        <f t="shared" si="66"/>
        <v>500</v>
      </c>
      <c r="AZ462" s="260">
        <v>1000</v>
      </c>
      <c r="BA462" s="257">
        <f t="shared" si="67"/>
        <v>500</v>
      </c>
      <c r="BB462" s="260">
        <v>1000</v>
      </c>
      <c r="BC462" s="257">
        <f t="shared" si="68"/>
        <v>500</v>
      </c>
      <c r="BD462" s="260">
        <v>1000</v>
      </c>
      <c r="BE462" s="257">
        <f t="shared" si="69"/>
        <v>500</v>
      </c>
      <c r="BF462" s="260">
        <v>1000</v>
      </c>
      <c r="BG462" s="257">
        <f t="shared" si="70"/>
        <v>500</v>
      </c>
      <c r="BH462" s="260">
        <v>1000</v>
      </c>
      <c r="BI462" s="257">
        <f t="shared" si="71"/>
        <v>500</v>
      </c>
      <c r="BJ462" s="1" t="s">
        <v>910</v>
      </c>
      <c r="BK462" s="1" t="s">
        <v>532</v>
      </c>
      <c r="BL462" s="1" t="s">
        <v>457</v>
      </c>
      <c r="BM462" s="378" t="s">
        <v>911</v>
      </c>
    </row>
    <row r="463" spans="1:65" ht="15.6">
      <c r="A463" s="250" t="s">
        <v>951</v>
      </c>
      <c r="B463" s="59" t="s">
        <v>221</v>
      </c>
      <c r="C463" s="354" t="s">
        <v>172</v>
      </c>
      <c r="D463" s="419"/>
      <c r="E463" s="281" t="s">
        <v>332</v>
      </c>
      <c r="F463" s="422"/>
      <c r="G463" s="317">
        <v>2023</v>
      </c>
      <c r="H463" s="323" t="s">
        <v>421</v>
      </c>
      <c r="I463" s="330" t="s">
        <v>359</v>
      </c>
      <c r="J463" s="331">
        <v>15</v>
      </c>
      <c r="K463" s="328" t="s">
        <v>243</v>
      </c>
      <c r="L463" s="323" t="s">
        <v>464</v>
      </c>
      <c r="M463" s="303" t="s">
        <v>933</v>
      </c>
      <c r="N463" s="303">
        <v>7.8</v>
      </c>
      <c r="O463" s="303">
        <v>7.8</v>
      </c>
      <c r="P463" s="303">
        <v>7.75</v>
      </c>
      <c r="Q463" s="303">
        <v>7.75</v>
      </c>
      <c r="R463" s="401">
        <v>8.1999999999999993</v>
      </c>
      <c r="S463" s="401">
        <v>8.1999999999999993</v>
      </c>
      <c r="T463" s="401">
        <v>8.1999999999999993</v>
      </c>
      <c r="U463" s="401">
        <v>8.1999999999999993</v>
      </c>
      <c r="V463" s="401">
        <v>8.1999999999999993</v>
      </c>
      <c r="W463" s="401">
        <v>8.1999999999999993</v>
      </c>
      <c r="X463" s="401">
        <v>8.1999999999999993</v>
      </c>
      <c r="Y463" s="401">
        <v>8.1999999999999993</v>
      </c>
      <c r="Z463" s="59">
        <v>0.6</v>
      </c>
      <c r="AA463" s="59">
        <v>0.6</v>
      </c>
      <c r="AB463" s="59">
        <v>0.65</v>
      </c>
      <c r="AC463" s="304">
        <v>0</v>
      </c>
      <c r="AD463" s="402">
        <v>0.5</v>
      </c>
      <c r="AE463" s="402">
        <v>0.5</v>
      </c>
      <c r="AF463" s="402">
        <v>0.5</v>
      </c>
      <c r="AG463" s="402">
        <v>0.5</v>
      </c>
      <c r="AH463" s="402">
        <v>0.5</v>
      </c>
      <c r="AI463" s="402">
        <v>0.5</v>
      </c>
      <c r="AJ463" s="402">
        <v>0.5</v>
      </c>
      <c r="AK463" s="402">
        <v>0.5</v>
      </c>
      <c r="AL463" s="260">
        <v>7960</v>
      </c>
      <c r="AM463" s="254">
        <f t="shared" ref="AM463:AM519" si="72">Z463*AL463</f>
        <v>4776</v>
      </c>
      <c r="AN463" s="260">
        <v>600</v>
      </c>
      <c r="AO463" s="254">
        <f t="shared" ref="AO463:AO519" si="73">AA463*AN463</f>
        <v>360</v>
      </c>
      <c r="AP463" s="260">
        <v>3838</v>
      </c>
      <c r="AQ463" s="254">
        <f t="shared" ref="AQ463:AQ518" si="74">AB463*AP463</f>
        <v>2494.7000000000003</v>
      </c>
      <c r="AR463" s="260">
        <v>480</v>
      </c>
      <c r="AS463" s="257">
        <f t="shared" ref="AS463:AS519" si="75">AC463*AR463</f>
        <v>0</v>
      </c>
      <c r="AT463" s="383"/>
      <c r="AU463" s="257">
        <f t="shared" ref="AU463:AU518" si="76">AD463*AT463</f>
        <v>0</v>
      </c>
      <c r="AV463" s="392">
        <v>15000</v>
      </c>
      <c r="AW463" s="257">
        <f t="shared" ref="AW463:AW518" si="77">AE463*AV463</f>
        <v>7500</v>
      </c>
      <c r="AX463" s="392">
        <v>15000</v>
      </c>
      <c r="AY463" s="257">
        <f t="shared" ref="AY463:AY519" si="78">AF463*AX463</f>
        <v>7500</v>
      </c>
      <c r="AZ463" s="260">
        <v>20000</v>
      </c>
      <c r="BA463" s="257">
        <f t="shared" ref="BA463:BA518" si="79">AG463*AZ463</f>
        <v>10000</v>
      </c>
      <c r="BB463" s="260">
        <v>20000</v>
      </c>
      <c r="BC463" s="257">
        <f t="shared" ref="BC463:BC519" si="80">AH463*BB463</f>
        <v>10000</v>
      </c>
      <c r="BD463" s="260">
        <v>20000</v>
      </c>
      <c r="BE463" s="257">
        <f t="shared" ref="BE463:BE519" si="81">AI463*BD463</f>
        <v>10000</v>
      </c>
      <c r="BF463" s="256">
        <v>25000</v>
      </c>
      <c r="BG463" s="257">
        <f t="shared" ref="BG463:BG519" si="82">AJ463*BF463</f>
        <v>12500</v>
      </c>
      <c r="BH463" s="256">
        <v>20000</v>
      </c>
      <c r="BI463" s="257">
        <f t="shared" ref="BI463:BI519" si="83">AK463*BH463</f>
        <v>10000</v>
      </c>
      <c r="BJ463" s="1" t="s">
        <v>912</v>
      </c>
      <c r="BK463" s="1" t="s">
        <v>532</v>
      </c>
      <c r="BL463" s="1" t="s">
        <v>457</v>
      </c>
      <c r="BM463" s="378" t="s">
        <v>913</v>
      </c>
    </row>
    <row r="464" spans="1:65" ht="15.6">
      <c r="A464" s="250" t="s">
        <v>951</v>
      </c>
      <c r="B464" s="59" t="s">
        <v>221</v>
      </c>
      <c r="C464" s="354" t="s">
        <v>172</v>
      </c>
      <c r="D464" s="419"/>
      <c r="E464" s="281" t="s">
        <v>332</v>
      </c>
      <c r="F464" s="422"/>
      <c r="G464" s="317">
        <v>2023</v>
      </c>
      <c r="H464" s="323" t="s">
        <v>421</v>
      </c>
      <c r="I464" s="332" t="s">
        <v>357</v>
      </c>
      <c r="J464" s="331">
        <v>15</v>
      </c>
      <c r="K464" s="328" t="s">
        <v>243</v>
      </c>
      <c r="L464" s="323" t="s">
        <v>464</v>
      </c>
      <c r="M464" s="303" t="s">
        <v>933</v>
      </c>
      <c r="N464" s="303">
        <v>3.08</v>
      </c>
      <c r="O464" s="303">
        <v>3.08</v>
      </c>
      <c r="P464" s="303">
        <v>3.05</v>
      </c>
      <c r="Q464" s="303">
        <v>3.05</v>
      </c>
      <c r="R464" s="401">
        <v>3.6</v>
      </c>
      <c r="S464" s="401">
        <v>3.6</v>
      </c>
      <c r="T464" s="401">
        <v>3.6</v>
      </c>
      <c r="U464" s="401">
        <v>3.6</v>
      </c>
      <c r="V464" s="401">
        <v>3.6</v>
      </c>
      <c r="W464" s="401">
        <v>3.6</v>
      </c>
      <c r="X464" s="401">
        <v>3.6</v>
      </c>
      <c r="Y464" s="401">
        <v>3.6</v>
      </c>
      <c r="Z464" s="59">
        <v>0.28000000000000003</v>
      </c>
      <c r="AA464" s="59">
        <v>0.28000000000000003</v>
      </c>
      <c r="AB464" s="59">
        <v>0.25</v>
      </c>
      <c r="AC464" s="304">
        <v>0</v>
      </c>
      <c r="AD464" s="402">
        <v>0.2</v>
      </c>
      <c r="AE464" s="402">
        <v>0.2</v>
      </c>
      <c r="AF464" s="402">
        <v>0.2</v>
      </c>
      <c r="AG464" s="402">
        <v>0.2</v>
      </c>
      <c r="AH464" s="402">
        <v>0.2</v>
      </c>
      <c r="AI464" s="402">
        <v>0.2</v>
      </c>
      <c r="AJ464" s="402">
        <v>0.2</v>
      </c>
      <c r="AK464" s="402">
        <v>0.2</v>
      </c>
      <c r="AL464" s="260">
        <v>32798</v>
      </c>
      <c r="AM464" s="254">
        <f t="shared" si="72"/>
        <v>9183.44</v>
      </c>
      <c r="AN464" s="260">
        <v>19920</v>
      </c>
      <c r="AO464" s="254">
        <f t="shared" si="73"/>
        <v>5577.6</v>
      </c>
      <c r="AP464" s="260">
        <v>12240</v>
      </c>
      <c r="AQ464" s="254">
        <f t="shared" si="74"/>
        <v>3060</v>
      </c>
      <c r="AR464" s="260">
        <v>2799</v>
      </c>
      <c r="AS464" s="257">
        <f t="shared" si="75"/>
        <v>0</v>
      </c>
      <c r="AT464" s="383">
        <v>13200</v>
      </c>
      <c r="AU464" s="257">
        <f t="shared" si="76"/>
        <v>2640</v>
      </c>
      <c r="AV464" s="392">
        <v>50000</v>
      </c>
      <c r="AW464" s="257">
        <f t="shared" si="77"/>
        <v>10000</v>
      </c>
      <c r="AX464" s="392">
        <v>50000</v>
      </c>
      <c r="AY464" s="257">
        <f t="shared" si="78"/>
        <v>10000</v>
      </c>
      <c r="AZ464" s="392">
        <v>50000</v>
      </c>
      <c r="BA464" s="257">
        <f t="shared" si="79"/>
        <v>10000</v>
      </c>
      <c r="BB464" s="392">
        <v>50000</v>
      </c>
      <c r="BC464" s="257">
        <f t="shared" si="80"/>
        <v>10000</v>
      </c>
      <c r="BD464" s="392">
        <v>50000</v>
      </c>
      <c r="BE464" s="257">
        <f t="shared" si="81"/>
        <v>10000</v>
      </c>
      <c r="BF464" s="256">
        <v>60000</v>
      </c>
      <c r="BG464" s="257">
        <f t="shared" si="82"/>
        <v>12000</v>
      </c>
      <c r="BH464" s="256">
        <v>50000</v>
      </c>
      <c r="BI464" s="257">
        <f t="shared" si="83"/>
        <v>10000</v>
      </c>
      <c r="BJ464" s="1" t="s">
        <v>914</v>
      </c>
      <c r="BK464" s="1" t="s">
        <v>532</v>
      </c>
      <c r="BL464" s="1" t="s">
        <v>457</v>
      </c>
      <c r="BM464" s="378" t="s">
        <v>915</v>
      </c>
    </row>
    <row r="465" spans="1:65" ht="15.6">
      <c r="A465" s="250" t="s">
        <v>951</v>
      </c>
      <c r="B465" s="59" t="s">
        <v>221</v>
      </c>
      <c r="C465" s="354" t="s">
        <v>172</v>
      </c>
      <c r="D465" s="419"/>
      <c r="E465" s="281" t="s">
        <v>332</v>
      </c>
      <c r="F465" s="422"/>
      <c r="G465" s="317">
        <v>2023</v>
      </c>
      <c r="H465" s="323" t="s">
        <v>421</v>
      </c>
      <c r="I465" s="330" t="s">
        <v>359</v>
      </c>
      <c r="J465" s="331">
        <v>15</v>
      </c>
      <c r="K465" s="323" t="s">
        <v>247</v>
      </c>
      <c r="L465" s="323" t="s">
        <v>464</v>
      </c>
      <c r="M465" s="303" t="s">
        <v>933</v>
      </c>
      <c r="N465" s="303">
        <v>8.5</v>
      </c>
      <c r="O465" s="303">
        <v>8.5</v>
      </c>
      <c r="P465" s="303">
        <v>8.4</v>
      </c>
      <c r="Q465" s="303">
        <v>8.4</v>
      </c>
      <c r="R465" s="401">
        <v>9</v>
      </c>
      <c r="S465" s="401">
        <v>9</v>
      </c>
      <c r="T465" s="401">
        <v>9</v>
      </c>
      <c r="U465" s="401">
        <v>9</v>
      </c>
      <c r="V465" s="401">
        <v>9</v>
      </c>
      <c r="W465" s="401">
        <v>9</v>
      </c>
      <c r="X465" s="401">
        <v>9</v>
      </c>
      <c r="Y465" s="401">
        <v>9</v>
      </c>
      <c r="Z465" s="59">
        <v>1</v>
      </c>
      <c r="AA465" s="59">
        <v>1</v>
      </c>
      <c r="AB465" s="59">
        <v>1.1000000000000001</v>
      </c>
      <c r="AC465" s="304">
        <v>0</v>
      </c>
      <c r="AD465" s="402">
        <v>1.0999999999999996</v>
      </c>
      <c r="AE465" s="402">
        <v>1.0999999999999996</v>
      </c>
      <c r="AF465" s="402">
        <v>1.0999999999999996</v>
      </c>
      <c r="AG465" s="402">
        <v>1.0999999999999996</v>
      </c>
      <c r="AH465" s="402">
        <v>1.0999999999999996</v>
      </c>
      <c r="AI465" s="402">
        <v>1.0999999999999996</v>
      </c>
      <c r="AJ465" s="402">
        <v>1.0999999999999996</v>
      </c>
      <c r="AK465" s="402">
        <v>1.0999999999999996</v>
      </c>
      <c r="AL465" s="260"/>
      <c r="AM465" s="254">
        <f t="shared" si="72"/>
        <v>0</v>
      </c>
      <c r="AN465" s="260"/>
      <c r="AO465" s="254">
        <f t="shared" si="73"/>
        <v>0</v>
      </c>
      <c r="AP465" s="260"/>
      <c r="AQ465" s="254">
        <f t="shared" si="74"/>
        <v>0</v>
      </c>
      <c r="AR465" s="260"/>
      <c r="AS465" s="257">
        <f t="shared" si="75"/>
        <v>0</v>
      </c>
      <c r="AT465" s="383"/>
      <c r="AU465" s="257">
        <f t="shared" si="76"/>
        <v>0</v>
      </c>
      <c r="AV465" s="392"/>
      <c r="AW465" s="257">
        <f t="shared" si="77"/>
        <v>0</v>
      </c>
      <c r="AX465" s="260"/>
      <c r="AY465" s="257">
        <f t="shared" si="78"/>
        <v>0</v>
      </c>
      <c r="AZ465" s="260"/>
      <c r="BA465" s="257">
        <f t="shared" si="79"/>
        <v>0</v>
      </c>
      <c r="BB465" s="268"/>
      <c r="BC465" s="257">
        <f t="shared" si="80"/>
        <v>0</v>
      </c>
      <c r="BD465" s="256"/>
      <c r="BE465" s="257">
        <f t="shared" si="81"/>
        <v>0</v>
      </c>
      <c r="BF465" s="256"/>
      <c r="BG465" s="257">
        <f t="shared" si="82"/>
        <v>0</v>
      </c>
      <c r="BH465" s="256"/>
      <c r="BI465" s="257">
        <f t="shared" si="83"/>
        <v>0</v>
      </c>
      <c r="BJ465" s="1" t="s">
        <v>916</v>
      </c>
      <c r="BK465" s="1" t="s">
        <v>532</v>
      </c>
      <c r="BL465" s="1" t="s">
        <v>457</v>
      </c>
      <c r="BM465" s="378" t="s">
        <v>917</v>
      </c>
    </row>
    <row r="466" spans="1:65" ht="15.6">
      <c r="A466" s="250" t="s">
        <v>951</v>
      </c>
      <c r="B466" s="59" t="s">
        <v>221</v>
      </c>
      <c r="C466" s="354" t="s">
        <v>172</v>
      </c>
      <c r="D466" s="419"/>
      <c r="E466" s="281" t="s">
        <v>332</v>
      </c>
      <c r="F466" s="422"/>
      <c r="G466" s="317">
        <v>2023</v>
      </c>
      <c r="H466" s="323" t="s">
        <v>421</v>
      </c>
      <c r="I466" s="330" t="s">
        <v>359</v>
      </c>
      <c r="J466" s="331">
        <v>15</v>
      </c>
      <c r="K466" s="323" t="s">
        <v>899</v>
      </c>
      <c r="L466" s="323" t="s">
        <v>464</v>
      </c>
      <c r="M466" s="303" t="s">
        <v>933</v>
      </c>
      <c r="N466" s="303">
        <v>8.5</v>
      </c>
      <c r="O466" s="303">
        <v>8.5</v>
      </c>
      <c r="P466" s="303">
        <v>8.4</v>
      </c>
      <c r="Q466" s="303">
        <v>8.4</v>
      </c>
      <c r="R466" s="401">
        <v>9</v>
      </c>
      <c r="S466" s="401">
        <v>9</v>
      </c>
      <c r="T466" s="401">
        <v>9</v>
      </c>
      <c r="U466" s="401">
        <v>9</v>
      </c>
      <c r="V466" s="401">
        <v>9</v>
      </c>
      <c r="W466" s="401">
        <v>9</v>
      </c>
      <c r="X466" s="401">
        <v>9</v>
      </c>
      <c r="Y466" s="401">
        <v>9</v>
      </c>
      <c r="Z466" s="59">
        <v>1</v>
      </c>
      <c r="AA466" s="59">
        <v>1</v>
      </c>
      <c r="AB466" s="59">
        <v>1.1000000000000001</v>
      </c>
      <c r="AC466" s="304">
        <v>0</v>
      </c>
      <c r="AD466" s="402">
        <v>1.0999999999999996</v>
      </c>
      <c r="AE466" s="402">
        <v>1.0999999999999996</v>
      </c>
      <c r="AF466" s="402">
        <v>1.0999999999999996</v>
      </c>
      <c r="AG466" s="402">
        <v>1.0999999999999996</v>
      </c>
      <c r="AH466" s="402">
        <v>1.0999999999999996</v>
      </c>
      <c r="AI466" s="402">
        <v>1.0999999999999996</v>
      </c>
      <c r="AJ466" s="402">
        <v>1.0999999999999996</v>
      </c>
      <c r="AK466" s="402">
        <v>1.0999999999999996</v>
      </c>
      <c r="AL466" s="260"/>
      <c r="AM466" s="254">
        <f t="shared" si="72"/>
        <v>0</v>
      </c>
      <c r="AN466" s="260"/>
      <c r="AO466" s="254">
        <f t="shared" si="73"/>
        <v>0</v>
      </c>
      <c r="AP466" s="260"/>
      <c r="AQ466" s="254">
        <f t="shared" si="74"/>
        <v>0</v>
      </c>
      <c r="AR466" s="260"/>
      <c r="AS466" s="257">
        <f t="shared" si="75"/>
        <v>0</v>
      </c>
      <c r="AT466" s="383"/>
      <c r="AU466" s="257">
        <f t="shared" si="76"/>
        <v>0</v>
      </c>
      <c r="AV466" s="392"/>
      <c r="AW466" s="257">
        <f t="shared" si="77"/>
        <v>0</v>
      </c>
      <c r="AX466" s="260"/>
      <c r="AY466" s="257">
        <f t="shared" si="78"/>
        <v>0</v>
      </c>
      <c r="AZ466" s="260"/>
      <c r="BA466" s="257">
        <f t="shared" si="79"/>
        <v>0</v>
      </c>
      <c r="BB466" s="268"/>
      <c r="BC466" s="257">
        <f t="shared" si="80"/>
        <v>0</v>
      </c>
      <c r="BD466" s="256"/>
      <c r="BE466" s="257">
        <f t="shared" si="81"/>
        <v>0</v>
      </c>
      <c r="BF466" s="256"/>
      <c r="BG466" s="257">
        <f t="shared" si="82"/>
        <v>0</v>
      </c>
      <c r="BH466" s="256"/>
      <c r="BI466" s="257">
        <f t="shared" si="83"/>
        <v>0</v>
      </c>
      <c r="BJ466" s="1" t="s">
        <v>918</v>
      </c>
      <c r="BK466" s="1" t="s">
        <v>532</v>
      </c>
      <c r="BL466" s="1" t="s">
        <v>457</v>
      </c>
      <c r="BM466" s="378" t="s">
        <v>919</v>
      </c>
    </row>
    <row r="467" spans="1:65" ht="15.6">
      <c r="A467" s="250" t="s">
        <v>951</v>
      </c>
      <c r="B467" s="59" t="s">
        <v>221</v>
      </c>
      <c r="C467" s="354" t="s">
        <v>172</v>
      </c>
      <c r="D467" s="419"/>
      <c r="E467" s="281" t="s">
        <v>332</v>
      </c>
      <c r="F467" s="422"/>
      <c r="G467" s="317">
        <v>2023</v>
      </c>
      <c r="H467" s="323" t="s">
        <v>419</v>
      </c>
      <c r="I467" s="332" t="s">
        <v>183</v>
      </c>
      <c r="J467" s="331">
        <v>15</v>
      </c>
      <c r="K467" s="323" t="s">
        <v>422</v>
      </c>
      <c r="L467" s="323" t="s">
        <v>464</v>
      </c>
      <c r="M467" s="303" t="s">
        <v>933</v>
      </c>
      <c r="N467" s="303">
        <v>8.5</v>
      </c>
      <c r="O467" s="303">
        <v>8.5</v>
      </c>
      <c r="P467" s="303">
        <v>8.4</v>
      </c>
      <c r="Q467" s="303">
        <v>8.4</v>
      </c>
      <c r="R467" s="401">
        <v>9</v>
      </c>
      <c r="S467" s="401">
        <v>9</v>
      </c>
      <c r="T467" s="401">
        <v>9</v>
      </c>
      <c r="U467" s="401">
        <v>9</v>
      </c>
      <c r="V467" s="401">
        <v>9</v>
      </c>
      <c r="W467" s="401">
        <v>9</v>
      </c>
      <c r="X467" s="401">
        <v>9</v>
      </c>
      <c r="Y467" s="401">
        <v>9</v>
      </c>
      <c r="Z467" s="59">
        <v>1</v>
      </c>
      <c r="AA467" s="59">
        <v>1</v>
      </c>
      <c r="AB467" s="59">
        <v>1.1000000000000001</v>
      </c>
      <c r="AC467" s="304">
        <v>0</v>
      </c>
      <c r="AD467" s="402">
        <v>1.0999999999999996</v>
      </c>
      <c r="AE467" s="402">
        <v>1.0999999999999996</v>
      </c>
      <c r="AF467" s="402">
        <v>1.0999999999999996</v>
      </c>
      <c r="AG467" s="402">
        <v>1.0999999999999996</v>
      </c>
      <c r="AH467" s="402">
        <v>1.0999999999999996</v>
      </c>
      <c r="AI467" s="402">
        <v>1.0999999999999996</v>
      </c>
      <c r="AJ467" s="402">
        <v>1.0999999999999996</v>
      </c>
      <c r="AK467" s="402">
        <v>1.0999999999999996</v>
      </c>
      <c r="AL467" s="260"/>
      <c r="AM467" s="254">
        <f t="shared" si="72"/>
        <v>0</v>
      </c>
      <c r="AN467" s="260"/>
      <c r="AO467" s="254">
        <f t="shared" si="73"/>
        <v>0</v>
      </c>
      <c r="AP467" s="260"/>
      <c r="AQ467" s="254">
        <f t="shared" si="74"/>
        <v>0</v>
      </c>
      <c r="AR467" s="260"/>
      <c r="AS467" s="257">
        <f t="shared" si="75"/>
        <v>0</v>
      </c>
      <c r="AT467" s="383"/>
      <c r="AU467" s="257">
        <f t="shared" si="76"/>
        <v>0</v>
      </c>
      <c r="AV467" s="392"/>
      <c r="AW467" s="257">
        <f t="shared" si="77"/>
        <v>0</v>
      </c>
      <c r="AX467" s="260"/>
      <c r="AY467" s="257">
        <f t="shared" si="78"/>
        <v>0</v>
      </c>
      <c r="AZ467" s="260"/>
      <c r="BA467" s="257">
        <f t="shared" si="79"/>
        <v>0</v>
      </c>
      <c r="BB467" s="268"/>
      <c r="BC467" s="257">
        <f t="shared" si="80"/>
        <v>0</v>
      </c>
      <c r="BD467" s="256"/>
      <c r="BE467" s="257">
        <f t="shared" si="81"/>
        <v>0</v>
      </c>
      <c r="BF467" s="256"/>
      <c r="BG467" s="257">
        <f t="shared" si="82"/>
        <v>0</v>
      </c>
      <c r="BH467" s="256"/>
      <c r="BI467" s="257">
        <f t="shared" si="83"/>
        <v>0</v>
      </c>
      <c r="BJ467" s="1" t="s">
        <v>920</v>
      </c>
      <c r="BK467" s="1" t="s">
        <v>532</v>
      </c>
      <c r="BL467" s="1" t="s">
        <v>457</v>
      </c>
      <c r="BM467" s="378" t="s">
        <v>921</v>
      </c>
    </row>
    <row r="468" spans="1:65" ht="15.6">
      <c r="A468" s="250" t="s">
        <v>951</v>
      </c>
      <c r="B468" s="59" t="s">
        <v>221</v>
      </c>
      <c r="C468" s="354" t="s">
        <v>172</v>
      </c>
      <c r="D468" s="419"/>
      <c r="E468" s="281" t="s">
        <v>332</v>
      </c>
      <c r="F468" s="422"/>
      <c r="G468" s="317">
        <v>2023</v>
      </c>
      <c r="H468" s="323" t="s">
        <v>419</v>
      </c>
      <c r="I468" s="332" t="s">
        <v>183</v>
      </c>
      <c r="J468" s="331">
        <v>15</v>
      </c>
      <c r="K468" s="323" t="s">
        <v>423</v>
      </c>
      <c r="L468" s="323" t="s">
        <v>464</v>
      </c>
      <c r="M468" s="303" t="s">
        <v>933</v>
      </c>
      <c r="N468" s="303">
        <v>8.5</v>
      </c>
      <c r="O468" s="303">
        <v>8.5</v>
      </c>
      <c r="P468" s="303">
        <v>8.4</v>
      </c>
      <c r="Q468" s="303">
        <v>8.4</v>
      </c>
      <c r="R468" s="401">
        <v>9</v>
      </c>
      <c r="S468" s="401">
        <v>9</v>
      </c>
      <c r="T468" s="401">
        <v>9</v>
      </c>
      <c r="U468" s="401">
        <v>9</v>
      </c>
      <c r="V468" s="401">
        <v>9</v>
      </c>
      <c r="W468" s="401">
        <v>9</v>
      </c>
      <c r="X468" s="401">
        <v>9</v>
      </c>
      <c r="Y468" s="401">
        <v>9</v>
      </c>
      <c r="Z468" s="59">
        <v>1</v>
      </c>
      <c r="AA468" s="59">
        <v>1</v>
      </c>
      <c r="AB468" s="59">
        <v>1.1000000000000001</v>
      </c>
      <c r="AC468" s="304">
        <v>0</v>
      </c>
      <c r="AD468" s="402">
        <v>1.0999999999999996</v>
      </c>
      <c r="AE468" s="402">
        <v>1.0999999999999996</v>
      </c>
      <c r="AF468" s="402">
        <v>1.0999999999999996</v>
      </c>
      <c r="AG468" s="402">
        <v>1.0999999999999996</v>
      </c>
      <c r="AH468" s="402">
        <v>1.0999999999999996</v>
      </c>
      <c r="AI468" s="402">
        <v>1.0999999999999996</v>
      </c>
      <c r="AJ468" s="402">
        <v>1.0999999999999996</v>
      </c>
      <c r="AK468" s="402">
        <v>1.0999999999999996</v>
      </c>
      <c r="AL468" s="260"/>
      <c r="AM468" s="254">
        <f t="shared" si="72"/>
        <v>0</v>
      </c>
      <c r="AN468" s="260"/>
      <c r="AO468" s="254">
        <f t="shared" si="73"/>
        <v>0</v>
      </c>
      <c r="AP468" s="260"/>
      <c r="AQ468" s="254">
        <f t="shared" si="74"/>
        <v>0</v>
      </c>
      <c r="AR468" s="260"/>
      <c r="AS468" s="257">
        <f t="shared" si="75"/>
        <v>0</v>
      </c>
      <c r="AT468" s="383"/>
      <c r="AU468" s="257">
        <f t="shared" si="76"/>
        <v>0</v>
      </c>
      <c r="AV468" s="392"/>
      <c r="AW468" s="257">
        <f t="shared" si="77"/>
        <v>0</v>
      </c>
      <c r="AX468" s="260"/>
      <c r="AY468" s="257">
        <f t="shared" si="78"/>
        <v>0</v>
      </c>
      <c r="AZ468" s="260"/>
      <c r="BA468" s="257">
        <f t="shared" si="79"/>
        <v>0</v>
      </c>
      <c r="BB468" s="268"/>
      <c r="BC468" s="257">
        <f t="shared" si="80"/>
        <v>0</v>
      </c>
      <c r="BD468" s="256"/>
      <c r="BE468" s="257">
        <f t="shared" si="81"/>
        <v>0</v>
      </c>
      <c r="BF468" s="256"/>
      <c r="BG468" s="257">
        <f t="shared" si="82"/>
        <v>0</v>
      </c>
      <c r="BH468" s="256"/>
      <c r="BI468" s="257">
        <f t="shared" si="83"/>
        <v>0</v>
      </c>
      <c r="BJ468" s="1" t="s">
        <v>922</v>
      </c>
      <c r="BK468" s="1" t="s">
        <v>532</v>
      </c>
      <c r="BL468" s="1" t="s">
        <v>457</v>
      </c>
      <c r="BM468" s="378" t="s">
        <v>923</v>
      </c>
    </row>
    <row r="469" spans="1:65" ht="15">
      <c r="A469" s="250" t="s">
        <v>951</v>
      </c>
      <c r="B469" s="59" t="s">
        <v>221</v>
      </c>
      <c r="C469" s="354" t="s">
        <v>172</v>
      </c>
      <c r="D469" s="419"/>
      <c r="E469" s="281" t="s">
        <v>332</v>
      </c>
      <c r="F469" s="422"/>
      <c r="G469" s="317">
        <v>2023</v>
      </c>
      <c r="H469" s="323" t="s">
        <v>419</v>
      </c>
      <c r="I469" s="327" t="s">
        <v>190</v>
      </c>
      <c r="J469" s="331">
        <v>15</v>
      </c>
      <c r="K469" s="328" t="s">
        <v>924</v>
      </c>
      <c r="L469" s="323" t="s">
        <v>464</v>
      </c>
      <c r="M469" s="303" t="s">
        <v>933</v>
      </c>
      <c r="N469" s="303">
        <v>3.08</v>
      </c>
      <c r="O469" s="303">
        <v>3.08</v>
      </c>
      <c r="P469" s="303">
        <v>3.05</v>
      </c>
      <c r="Q469" s="303">
        <v>3.05</v>
      </c>
      <c r="R469" s="401">
        <v>3.6</v>
      </c>
      <c r="S469" s="401">
        <v>3.6</v>
      </c>
      <c r="T469" s="401">
        <v>3.6</v>
      </c>
      <c r="U469" s="401">
        <v>3.6</v>
      </c>
      <c r="V469" s="401">
        <v>3.6</v>
      </c>
      <c r="W469" s="401">
        <v>3.6</v>
      </c>
      <c r="X469" s="401">
        <v>3.6</v>
      </c>
      <c r="Y469" s="401">
        <v>3.6</v>
      </c>
      <c r="Z469" s="59">
        <v>0.28000000000000003</v>
      </c>
      <c r="AA469" s="59">
        <v>0.28000000000000003</v>
      </c>
      <c r="AB469" s="59">
        <v>0.25</v>
      </c>
      <c r="AC469" s="304">
        <v>0</v>
      </c>
      <c r="AD469" s="402">
        <v>0.2</v>
      </c>
      <c r="AE469" s="402">
        <v>0.2</v>
      </c>
      <c r="AF469" s="402">
        <v>0.2</v>
      </c>
      <c r="AG469" s="402">
        <v>0.2</v>
      </c>
      <c r="AH469" s="402">
        <v>0.2</v>
      </c>
      <c r="AI469" s="402">
        <v>0.2</v>
      </c>
      <c r="AJ469" s="402">
        <v>0.2</v>
      </c>
      <c r="AK469" s="402">
        <v>0.2</v>
      </c>
      <c r="AL469" s="255">
        <v>12400</v>
      </c>
      <c r="AM469" s="254">
        <f t="shared" si="72"/>
        <v>3472.0000000000005</v>
      </c>
      <c r="AN469" s="255">
        <v>3800</v>
      </c>
      <c r="AO469" s="254">
        <f t="shared" si="73"/>
        <v>1064</v>
      </c>
      <c r="AP469" s="255"/>
      <c r="AQ469" s="254">
        <f t="shared" si="74"/>
        <v>0</v>
      </c>
      <c r="AR469" s="255"/>
      <c r="AS469" s="257">
        <f t="shared" si="75"/>
        <v>0</v>
      </c>
      <c r="AT469" s="255">
        <v>9080</v>
      </c>
      <c r="AU469" s="257">
        <f t="shared" si="76"/>
        <v>1816</v>
      </c>
      <c r="AV469" s="255">
        <v>5000</v>
      </c>
      <c r="AW469" s="257">
        <f t="shared" si="77"/>
        <v>1000</v>
      </c>
      <c r="AX469" s="255">
        <v>5000</v>
      </c>
      <c r="AY469" s="257">
        <f t="shared" si="78"/>
        <v>1000</v>
      </c>
      <c r="AZ469" s="255">
        <v>5000</v>
      </c>
      <c r="BA469" s="257">
        <f t="shared" si="79"/>
        <v>1000</v>
      </c>
      <c r="BB469" s="255">
        <v>5000</v>
      </c>
      <c r="BC469" s="257">
        <f t="shared" si="80"/>
        <v>1000</v>
      </c>
      <c r="BD469" s="255">
        <v>5000</v>
      </c>
      <c r="BE469" s="257">
        <f t="shared" si="81"/>
        <v>1000</v>
      </c>
      <c r="BF469" s="255">
        <v>5000</v>
      </c>
      <c r="BG469" s="257">
        <f t="shared" si="82"/>
        <v>1000</v>
      </c>
      <c r="BH469" s="255">
        <v>5000</v>
      </c>
      <c r="BI469" s="257">
        <f t="shared" si="83"/>
        <v>1000</v>
      </c>
      <c r="BJ469" s="1" t="s">
        <v>925</v>
      </c>
      <c r="BK469" s="1" t="s">
        <v>532</v>
      </c>
      <c r="BL469" s="1" t="s">
        <v>457</v>
      </c>
      <c r="BM469" s="378" t="s">
        <v>926</v>
      </c>
    </row>
    <row r="470" spans="1:65" ht="15">
      <c r="A470" s="250" t="s">
        <v>951</v>
      </c>
      <c r="B470" s="59" t="s">
        <v>221</v>
      </c>
      <c r="C470" s="354" t="s">
        <v>172</v>
      </c>
      <c r="D470" s="419"/>
      <c r="E470" s="281" t="s">
        <v>332</v>
      </c>
      <c r="F470" s="422"/>
      <c r="G470" s="317">
        <v>2023</v>
      </c>
      <c r="H470" s="323" t="s">
        <v>419</v>
      </c>
      <c r="I470" s="332" t="s">
        <v>183</v>
      </c>
      <c r="J470" s="331">
        <v>15</v>
      </c>
      <c r="K470" s="328" t="s">
        <v>854</v>
      </c>
      <c r="L470" s="323" t="s">
        <v>464</v>
      </c>
      <c r="M470" s="303" t="s">
        <v>933</v>
      </c>
      <c r="N470" s="303">
        <v>8.5</v>
      </c>
      <c r="O470" s="303">
        <v>8.5</v>
      </c>
      <c r="P470" s="303">
        <v>8.4</v>
      </c>
      <c r="Q470" s="303">
        <v>8.4</v>
      </c>
      <c r="R470" s="401">
        <v>9</v>
      </c>
      <c r="S470" s="401">
        <v>9</v>
      </c>
      <c r="T470" s="401">
        <v>9</v>
      </c>
      <c r="U470" s="401">
        <v>9</v>
      </c>
      <c r="V470" s="401">
        <v>9</v>
      </c>
      <c r="W470" s="401">
        <v>9</v>
      </c>
      <c r="X470" s="401">
        <v>9</v>
      </c>
      <c r="Y470" s="401">
        <v>9</v>
      </c>
      <c r="Z470" s="59">
        <v>1</v>
      </c>
      <c r="AA470" s="59">
        <v>1</v>
      </c>
      <c r="AB470" s="59">
        <v>1.1000000000000001</v>
      </c>
      <c r="AC470" s="304">
        <v>0</v>
      </c>
      <c r="AD470" s="402">
        <v>1.1000000000000001</v>
      </c>
      <c r="AE470" s="402">
        <v>1.1000000000000001</v>
      </c>
      <c r="AF470" s="402">
        <v>1.1000000000000001</v>
      </c>
      <c r="AG470" s="402">
        <v>1.1000000000000001</v>
      </c>
      <c r="AH470" s="402">
        <v>1.1000000000000001</v>
      </c>
      <c r="AI470" s="402">
        <v>1.1000000000000001</v>
      </c>
      <c r="AJ470" s="402">
        <v>1.1000000000000001</v>
      </c>
      <c r="AK470" s="402">
        <v>1.1000000000000001</v>
      </c>
      <c r="AL470" s="255">
        <v>440</v>
      </c>
      <c r="AM470" s="254">
        <f t="shared" si="72"/>
        <v>440</v>
      </c>
      <c r="AN470" s="255">
        <v>280</v>
      </c>
      <c r="AO470" s="254">
        <f t="shared" si="73"/>
        <v>280</v>
      </c>
      <c r="AP470" s="255">
        <v>6080</v>
      </c>
      <c r="AQ470" s="254">
        <f t="shared" si="74"/>
        <v>6688.0000000000009</v>
      </c>
      <c r="AR470" s="268"/>
      <c r="AS470" s="257">
        <f t="shared" si="75"/>
        <v>0</v>
      </c>
      <c r="AT470" s="382"/>
      <c r="AU470" s="257">
        <f t="shared" si="76"/>
        <v>0</v>
      </c>
      <c r="AV470" s="268"/>
      <c r="AW470" s="257">
        <f t="shared" si="77"/>
        <v>0</v>
      </c>
      <c r="AX470" s="59"/>
      <c r="AY470" s="257">
        <f t="shared" si="78"/>
        <v>0</v>
      </c>
      <c r="AZ470" s="59"/>
      <c r="BA470" s="257">
        <f t="shared" si="79"/>
        <v>0</v>
      </c>
      <c r="BB470" s="268"/>
      <c r="BC470" s="257">
        <f t="shared" si="80"/>
        <v>0</v>
      </c>
      <c r="BD470" s="256"/>
      <c r="BE470" s="257">
        <f t="shared" si="81"/>
        <v>0</v>
      </c>
      <c r="BF470" s="59"/>
      <c r="BG470" s="257">
        <f t="shared" si="82"/>
        <v>0</v>
      </c>
      <c r="BH470" s="59"/>
      <c r="BI470" s="257">
        <f t="shared" si="83"/>
        <v>0</v>
      </c>
      <c r="BJ470" s="1" t="s">
        <v>927</v>
      </c>
      <c r="BK470" s="1" t="s">
        <v>532</v>
      </c>
      <c r="BL470" s="1" t="s">
        <v>457</v>
      </c>
      <c r="BM470" s="378" t="s">
        <v>928</v>
      </c>
    </row>
    <row r="471" spans="1:65" ht="15">
      <c r="A471" s="250" t="s">
        <v>951</v>
      </c>
      <c r="B471" s="59" t="s">
        <v>221</v>
      </c>
      <c r="C471" s="354" t="s">
        <v>172</v>
      </c>
      <c r="D471" s="419"/>
      <c r="E471" s="281" t="s">
        <v>332</v>
      </c>
      <c r="F471" s="422"/>
      <c r="G471" s="317">
        <v>2023</v>
      </c>
      <c r="H471" s="323" t="s">
        <v>419</v>
      </c>
      <c r="I471" s="332" t="s">
        <v>183</v>
      </c>
      <c r="J471" s="331">
        <v>15</v>
      </c>
      <c r="K471" s="328" t="s">
        <v>857</v>
      </c>
      <c r="L471" s="323" t="s">
        <v>464</v>
      </c>
      <c r="M471" s="303" t="s">
        <v>933</v>
      </c>
      <c r="N471" s="303">
        <v>8.5</v>
      </c>
      <c r="O471" s="303">
        <v>8.5</v>
      </c>
      <c r="P471" s="303">
        <v>8.4</v>
      </c>
      <c r="Q471" s="303">
        <v>8.4</v>
      </c>
      <c r="R471" s="401">
        <v>9</v>
      </c>
      <c r="S471" s="401">
        <v>9</v>
      </c>
      <c r="T471" s="401">
        <v>9</v>
      </c>
      <c r="U471" s="401">
        <v>9</v>
      </c>
      <c r="V471" s="401">
        <v>9</v>
      </c>
      <c r="W471" s="401">
        <v>9</v>
      </c>
      <c r="X471" s="401">
        <v>9</v>
      </c>
      <c r="Y471" s="401">
        <v>9</v>
      </c>
      <c r="Z471" s="59">
        <v>1</v>
      </c>
      <c r="AA471" s="59">
        <v>1</v>
      </c>
      <c r="AB471" s="59">
        <v>1.1000000000000001</v>
      </c>
      <c r="AC471" s="304">
        <v>0</v>
      </c>
      <c r="AD471" s="402">
        <v>1.1000000000000001</v>
      </c>
      <c r="AE471" s="402">
        <v>1.1000000000000001</v>
      </c>
      <c r="AF471" s="402">
        <v>1.1000000000000001</v>
      </c>
      <c r="AG471" s="402">
        <v>1.1000000000000001</v>
      </c>
      <c r="AH471" s="402">
        <v>1.1000000000000001</v>
      </c>
      <c r="AI471" s="402">
        <v>1.1000000000000001</v>
      </c>
      <c r="AJ471" s="402">
        <v>1.1000000000000001</v>
      </c>
      <c r="AK471" s="402">
        <v>1.1000000000000001</v>
      </c>
      <c r="AL471" s="255">
        <v>1760</v>
      </c>
      <c r="AM471" s="254">
        <f t="shared" si="72"/>
        <v>1760</v>
      </c>
      <c r="AN471" s="255"/>
      <c r="AO471" s="254">
        <f t="shared" si="73"/>
        <v>0</v>
      </c>
      <c r="AP471" s="255">
        <v>1398</v>
      </c>
      <c r="AQ471" s="254">
        <f t="shared" si="74"/>
        <v>1537.8000000000002</v>
      </c>
      <c r="AR471" s="268"/>
      <c r="AS471" s="257">
        <f t="shared" si="75"/>
        <v>0</v>
      </c>
      <c r="AT471" s="382"/>
      <c r="AU471" s="257">
        <f t="shared" si="76"/>
        <v>0</v>
      </c>
      <c r="AV471" s="268"/>
      <c r="AW471" s="257">
        <f t="shared" si="77"/>
        <v>0</v>
      </c>
      <c r="AX471" s="59"/>
      <c r="AY471" s="257">
        <f t="shared" si="78"/>
        <v>0</v>
      </c>
      <c r="AZ471" s="59"/>
      <c r="BA471" s="257">
        <f t="shared" si="79"/>
        <v>0</v>
      </c>
      <c r="BB471" s="268"/>
      <c r="BC471" s="257">
        <f t="shared" si="80"/>
        <v>0</v>
      </c>
      <c r="BD471" s="256"/>
      <c r="BE471" s="257">
        <f t="shared" si="81"/>
        <v>0</v>
      </c>
      <c r="BF471" s="59"/>
      <c r="BG471" s="257">
        <f t="shared" si="82"/>
        <v>0</v>
      </c>
      <c r="BH471" s="59"/>
      <c r="BI471" s="257">
        <f t="shared" si="83"/>
        <v>0</v>
      </c>
      <c r="BJ471" s="1" t="s">
        <v>929</v>
      </c>
      <c r="BK471" s="1" t="s">
        <v>532</v>
      </c>
      <c r="BL471" s="1" t="s">
        <v>457</v>
      </c>
      <c r="BM471" s="378" t="s">
        <v>930</v>
      </c>
    </row>
    <row r="472" spans="1:65" ht="15">
      <c r="A472" s="250" t="s">
        <v>951</v>
      </c>
      <c r="B472" s="59" t="s">
        <v>221</v>
      </c>
      <c r="C472" s="354" t="s">
        <v>172</v>
      </c>
      <c r="D472" s="419"/>
      <c r="E472" s="281" t="s">
        <v>332</v>
      </c>
      <c r="F472" s="422"/>
      <c r="G472" s="317">
        <v>2023</v>
      </c>
      <c r="H472" s="323" t="s">
        <v>419</v>
      </c>
      <c r="I472" s="332" t="s">
        <v>183</v>
      </c>
      <c r="J472" s="331">
        <v>15</v>
      </c>
      <c r="K472" s="323" t="s">
        <v>637</v>
      </c>
      <c r="L472" s="323" t="s">
        <v>464</v>
      </c>
      <c r="M472" s="303" t="s">
        <v>933</v>
      </c>
      <c r="N472" s="303">
        <v>8.5</v>
      </c>
      <c r="O472" s="303">
        <v>8.5</v>
      </c>
      <c r="P472" s="303">
        <v>8.4</v>
      </c>
      <c r="Q472" s="303">
        <v>8.4</v>
      </c>
      <c r="R472" s="401">
        <v>9</v>
      </c>
      <c r="S472" s="401">
        <v>9</v>
      </c>
      <c r="T472" s="401">
        <v>9</v>
      </c>
      <c r="U472" s="401">
        <v>9</v>
      </c>
      <c r="V472" s="401">
        <v>9</v>
      </c>
      <c r="W472" s="401">
        <v>9</v>
      </c>
      <c r="X472" s="401">
        <v>9</v>
      </c>
      <c r="Y472" s="401">
        <v>9</v>
      </c>
      <c r="Z472" s="59">
        <v>1</v>
      </c>
      <c r="AA472" s="59">
        <v>1</v>
      </c>
      <c r="AB472" s="59">
        <v>1.1000000000000001</v>
      </c>
      <c r="AC472" s="304">
        <v>0</v>
      </c>
      <c r="AD472" s="402">
        <v>1.1000000000000001</v>
      </c>
      <c r="AE472" s="402">
        <v>1.1000000000000001</v>
      </c>
      <c r="AF472" s="402">
        <v>1.1000000000000001</v>
      </c>
      <c r="AG472" s="402">
        <v>1.1000000000000001</v>
      </c>
      <c r="AH472" s="402">
        <v>1.1000000000000001</v>
      </c>
      <c r="AI472" s="402">
        <v>1.1000000000000001</v>
      </c>
      <c r="AJ472" s="402">
        <v>1.1000000000000001</v>
      </c>
      <c r="AK472" s="402">
        <v>1.1000000000000001</v>
      </c>
      <c r="AL472" s="255"/>
      <c r="AM472" s="254">
        <f t="shared" si="72"/>
        <v>0</v>
      </c>
      <c r="AN472" s="255"/>
      <c r="AO472" s="254">
        <f t="shared" si="73"/>
        <v>0</v>
      </c>
      <c r="AP472" s="255"/>
      <c r="AQ472" s="254">
        <f t="shared" si="74"/>
        <v>0</v>
      </c>
      <c r="AR472" s="268"/>
      <c r="AS472" s="257">
        <f t="shared" si="75"/>
        <v>0</v>
      </c>
      <c r="AT472" s="382"/>
      <c r="AU472" s="257">
        <f t="shared" si="76"/>
        <v>0</v>
      </c>
      <c r="AV472" s="268"/>
      <c r="AW472" s="257">
        <f t="shared" si="77"/>
        <v>0</v>
      </c>
      <c r="AX472" s="59"/>
      <c r="AY472" s="257">
        <f t="shared" si="78"/>
        <v>0</v>
      </c>
      <c r="AZ472" s="59"/>
      <c r="BA472" s="257">
        <f t="shared" si="79"/>
        <v>0</v>
      </c>
      <c r="BB472" s="268"/>
      <c r="BC472" s="257">
        <f t="shared" si="80"/>
        <v>0</v>
      </c>
      <c r="BD472" s="59"/>
      <c r="BE472" s="257">
        <f t="shared" si="81"/>
        <v>0</v>
      </c>
      <c r="BF472" s="59"/>
      <c r="BG472" s="257">
        <f t="shared" si="82"/>
        <v>0</v>
      </c>
      <c r="BH472" s="59"/>
      <c r="BI472" s="257">
        <f t="shared" si="83"/>
        <v>0</v>
      </c>
      <c r="BJ472" s="1" t="s">
        <v>931</v>
      </c>
      <c r="BK472" s="1" t="s">
        <v>532</v>
      </c>
      <c r="BL472" s="1" t="s">
        <v>457</v>
      </c>
      <c r="BM472" s="378" t="s">
        <v>932</v>
      </c>
    </row>
    <row r="473" spans="1:65" ht="15">
      <c r="A473" s="250" t="s">
        <v>951</v>
      </c>
      <c r="B473" s="59" t="s">
        <v>221</v>
      </c>
      <c r="C473" s="354" t="s">
        <v>172</v>
      </c>
      <c r="D473" s="419"/>
      <c r="E473" s="281" t="s">
        <v>332</v>
      </c>
      <c r="F473" s="422"/>
      <c r="G473" s="317">
        <v>2026</v>
      </c>
      <c r="H473" s="323" t="s">
        <v>1104</v>
      </c>
      <c r="I473" s="332" t="s">
        <v>183</v>
      </c>
      <c r="J473" s="331">
        <v>14</v>
      </c>
      <c r="K473" s="323" t="s">
        <v>989</v>
      </c>
      <c r="L473" s="323" t="s">
        <v>177</v>
      </c>
      <c r="M473" s="303" t="s">
        <v>990</v>
      </c>
      <c r="N473" s="303">
        <v>8.4</v>
      </c>
      <c r="O473" s="303">
        <v>8.4</v>
      </c>
      <c r="P473" s="303">
        <v>8.4</v>
      </c>
      <c r="Q473" s="303">
        <v>8.4</v>
      </c>
      <c r="R473" s="401">
        <v>8.8000000000000007</v>
      </c>
      <c r="S473" s="401">
        <v>8.8000000000000007</v>
      </c>
      <c r="T473" s="401">
        <v>8.8000000000000007</v>
      </c>
      <c r="U473" s="401">
        <v>8.8000000000000007</v>
      </c>
      <c r="V473" s="401">
        <v>8.8000000000000007</v>
      </c>
      <c r="W473" s="401">
        <v>8.8000000000000007</v>
      </c>
      <c r="X473" s="401">
        <v>8.8000000000000007</v>
      </c>
      <c r="Y473" s="401">
        <v>8.8000000000000007</v>
      </c>
      <c r="Z473" s="59">
        <v>1.2000000000000002</v>
      </c>
      <c r="AA473" s="59">
        <v>1.2000000000000002</v>
      </c>
      <c r="AB473" s="59">
        <v>1.2000000000000002</v>
      </c>
      <c r="AC473" s="304">
        <v>0</v>
      </c>
      <c r="AD473" s="402">
        <v>1.1000000000000005</v>
      </c>
      <c r="AE473" s="402">
        <v>1.1000000000000005</v>
      </c>
      <c r="AF473" s="402">
        <v>1.1000000000000005</v>
      </c>
      <c r="AG473" s="402">
        <v>1.1000000000000005</v>
      </c>
      <c r="AH473" s="402">
        <v>1.1000000000000005</v>
      </c>
      <c r="AI473" s="402">
        <v>1.1000000000000005</v>
      </c>
      <c r="AJ473" s="402">
        <v>1.1000000000000005</v>
      </c>
      <c r="AK473" s="402">
        <v>1.1000000000000005</v>
      </c>
      <c r="AL473" s="255"/>
      <c r="AM473" s="254">
        <f t="shared" si="72"/>
        <v>0</v>
      </c>
      <c r="AN473" s="255"/>
      <c r="AO473" s="254">
        <f t="shared" si="73"/>
        <v>0</v>
      </c>
      <c r="AP473" s="255">
        <v>155</v>
      </c>
      <c r="AQ473" s="254">
        <f t="shared" si="74"/>
        <v>186.00000000000003</v>
      </c>
      <c r="AR473" s="268">
        <v>40</v>
      </c>
      <c r="AS473" s="257">
        <f t="shared" si="75"/>
        <v>0</v>
      </c>
      <c r="AT473" s="382">
        <v>2200</v>
      </c>
      <c r="AU473" s="257">
        <f t="shared" si="76"/>
        <v>2420.0000000000014</v>
      </c>
      <c r="AV473" s="268"/>
      <c r="AW473" s="257">
        <f t="shared" si="77"/>
        <v>0</v>
      </c>
      <c r="AX473" s="59"/>
      <c r="AY473" s="257">
        <f t="shared" si="78"/>
        <v>0</v>
      </c>
      <c r="AZ473" s="59"/>
      <c r="BA473" s="257">
        <f t="shared" si="79"/>
        <v>0</v>
      </c>
      <c r="BB473" s="268"/>
      <c r="BC473" s="257">
        <f t="shared" si="80"/>
        <v>0</v>
      </c>
      <c r="BD473" s="59"/>
      <c r="BE473" s="257">
        <f t="shared" si="81"/>
        <v>0</v>
      </c>
      <c r="BF473" s="59"/>
      <c r="BG473" s="257">
        <f t="shared" si="82"/>
        <v>0</v>
      </c>
      <c r="BH473" s="59"/>
      <c r="BI473" s="257">
        <f t="shared" si="83"/>
        <v>0</v>
      </c>
      <c r="BJ473" s="1" t="s">
        <v>1105</v>
      </c>
      <c r="BL473" s="1" t="s">
        <v>457</v>
      </c>
      <c r="BM473" s="378" t="s">
        <v>1106</v>
      </c>
    </row>
    <row r="474" spans="1:65" ht="15">
      <c r="A474" s="250" t="s">
        <v>951</v>
      </c>
      <c r="B474" s="59" t="s">
        <v>221</v>
      </c>
      <c r="C474" s="354" t="s">
        <v>172</v>
      </c>
      <c r="D474" s="419"/>
      <c r="E474" s="281" t="s">
        <v>332</v>
      </c>
      <c r="F474" s="422"/>
      <c r="G474" s="317">
        <v>2026</v>
      </c>
      <c r="H474" s="323" t="s">
        <v>1104</v>
      </c>
      <c r="I474" s="332" t="s">
        <v>183</v>
      </c>
      <c r="J474" s="331">
        <v>14</v>
      </c>
      <c r="K474" s="323" t="s">
        <v>993</v>
      </c>
      <c r="L474" s="323" t="s">
        <v>177</v>
      </c>
      <c r="M474" s="303" t="s">
        <v>990</v>
      </c>
      <c r="N474" s="303">
        <v>8.4</v>
      </c>
      <c r="O474" s="303">
        <v>8.4</v>
      </c>
      <c r="P474" s="303">
        <v>8.4</v>
      </c>
      <c r="Q474" s="303">
        <v>8.4</v>
      </c>
      <c r="R474" s="401">
        <v>8.8000000000000007</v>
      </c>
      <c r="S474" s="401">
        <v>8.8000000000000007</v>
      </c>
      <c r="T474" s="401">
        <v>8.8000000000000007</v>
      </c>
      <c r="U474" s="401">
        <v>8.8000000000000007</v>
      </c>
      <c r="V474" s="401">
        <v>8.8000000000000007</v>
      </c>
      <c r="W474" s="401">
        <v>8.8000000000000007</v>
      </c>
      <c r="X474" s="401">
        <v>8.8000000000000007</v>
      </c>
      <c r="Y474" s="401">
        <v>8.8000000000000007</v>
      </c>
      <c r="Z474" s="59">
        <v>1.2000000000000002</v>
      </c>
      <c r="AA474" s="59">
        <v>1.2000000000000002</v>
      </c>
      <c r="AB474" s="59">
        <v>1.2000000000000002</v>
      </c>
      <c r="AC474" s="304">
        <v>0</v>
      </c>
      <c r="AD474" s="402">
        <v>1.1000000000000005</v>
      </c>
      <c r="AE474" s="402">
        <v>1.1000000000000005</v>
      </c>
      <c r="AF474" s="402">
        <v>1.1000000000000005</v>
      </c>
      <c r="AG474" s="402">
        <v>1.1000000000000005</v>
      </c>
      <c r="AH474" s="402">
        <v>1.1000000000000005</v>
      </c>
      <c r="AI474" s="402">
        <v>1.1000000000000005</v>
      </c>
      <c r="AJ474" s="402">
        <v>1.1000000000000005</v>
      </c>
      <c r="AK474" s="402">
        <v>1.1000000000000005</v>
      </c>
      <c r="AL474" s="255"/>
      <c r="AM474" s="254">
        <f t="shared" si="72"/>
        <v>0</v>
      </c>
      <c r="AN474" s="255"/>
      <c r="AO474" s="254">
        <f t="shared" si="73"/>
        <v>0</v>
      </c>
      <c r="AP474" s="255">
        <v>50</v>
      </c>
      <c r="AQ474" s="254">
        <f t="shared" si="74"/>
        <v>60.000000000000007</v>
      </c>
      <c r="AR474" s="268">
        <v>40</v>
      </c>
      <c r="AS474" s="257">
        <f t="shared" si="75"/>
        <v>0</v>
      </c>
      <c r="AT474" s="382">
        <v>1080</v>
      </c>
      <c r="AU474" s="257">
        <f t="shared" si="76"/>
        <v>1188.0000000000007</v>
      </c>
      <c r="AV474" s="268"/>
      <c r="AW474" s="257">
        <f t="shared" si="77"/>
        <v>0</v>
      </c>
      <c r="AX474" s="59"/>
      <c r="AY474" s="257">
        <f t="shared" si="78"/>
        <v>0</v>
      </c>
      <c r="AZ474" s="59"/>
      <c r="BA474" s="257">
        <f t="shared" si="79"/>
        <v>0</v>
      </c>
      <c r="BB474" s="268"/>
      <c r="BC474" s="257">
        <f t="shared" si="80"/>
        <v>0</v>
      </c>
      <c r="BD474" s="59"/>
      <c r="BE474" s="257">
        <f t="shared" si="81"/>
        <v>0</v>
      </c>
      <c r="BF474" s="59"/>
      <c r="BG474" s="257">
        <f t="shared" si="82"/>
        <v>0</v>
      </c>
      <c r="BH474" s="59"/>
      <c r="BI474" s="257">
        <f t="shared" si="83"/>
        <v>0</v>
      </c>
      <c r="BJ474" s="1" t="s">
        <v>1107</v>
      </c>
      <c r="BL474" s="1" t="s">
        <v>457</v>
      </c>
      <c r="BM474" s="378" t="s">
        <v>1108</v>
      </c>
    </row>
    <row r="475" spans="1:65" ht="15">
      <c r="A475" s="250" t="s">
        <v>951</v>
      </c>
      <c r="B475" s="59" t="s">
        <v>221</v>
      </c>
      <c r="C475" s="354" t="s">
        <v>172</v>
      </c>
      <c r="D475" s="419"/>
      <c r="E475" s="281" t="s">
        <v>332</v>
      </c>
      <c r="F475" s="422"/>
      <c r="G475" s="317">
        <v>2026</v>
      </c>
      <c r="H475" s="323" t="s">
        <v>1104</v>
      </c>
      <c r="I475" s="332" t="s">
        <v>183</v>
      </c>
      <c r="J475" s="331">
        <v>14</v>
      </c>
      <c r="K475" s="323" t="s">
        <v>996</v>
      </c>
      <c r="L475" s="323" t="s">
        <v>177</v>
      </c>
      <c r="M475" s="303" t="s">
        <v>990</v>
      </c>
      <c r="N475" s="303">
        <v>8.4</v>
      </c>
      <c r="O475" s="303">
        <v>8.4</v>
      </c>
      <c r="P475" s="303">
        <v>8.4</v>
      </c>
      <c r="Q475" s="303">
        <v>8.4</v>
      </c>
      <c r="R475" s="401">
        <v>8.8000000000000007</v>
      </c>
      <c r="S475" s="401">
        <v>8.8000000000000007</v>
      </c>
      <c r="T475" s="401">
        <v>8.8000000000000007</v>
      </c>
      <c r="U475" s="401">
        <v>8.8000000000000007</v>
      </c>
      <c r="V475" s="401">
        <v>8.8000000000000007</v>
      </c>
      <c r="W475" s="401">
        <v>8.8000000000000007</v>
      </c>
      <c r="X475" s="401">
        <v>8.8000000000000007</v>
      </c>
      <c r="Y475" s="401">
        <v>8.8000000000000007</v>
      </c>
      <c r="Z475" s="59">
        <v>1.2000000000000002</v>
      </c>
      <c r="AA475" s="59">
        <v>1.2000000000000002</v>
      </c>
      <c r="AB475" s="59">
        <v>1.2000000000000002</v>
      </c>
      <c r="AC475" s="304">
        <v>0</v>
      </c>
      <c r="AD475" s="402">
        <v>1.1000000000000005</v>
      </c>
      <c r="AE475" s="402">
        <v>1.1000000000000005</v>
      </c>
      <c r="AF475" s="402">
        <v>1.1000000000000005</v>
      </c>
      <c r="AG475" s="402">
        <v>1.1000000000000005</v>
      </c>
      <c r="AH475" s="402">
        <v>1.1000000000000005</v>
      </c>
      <c r="AI475" s="402">
        <v>1.1000000000000005</v>
      </c>
      <c r="AJ475" s="402">
        <v>1.1000000000000005</v>
      </c>
      <c r="AK475" s="402">
        <v>1.1000000000000005</v>
      </c>
      <c r="AL475" s="255"/>
      <c r="AM475" s="254">
        <f t="shared" si="72"/>
        <v>0</v>
      </c>
      <c r="AN475" s="255"/>
      <c r="AO475" s="254">
        <f t="shared" si="73"/>
        <v>0</v>
      </c>
      <c r="AP475" s="255">
        <v>80</v>
      </c>
      <c r="AQ475" s="254">
        <f t="shared" si="74"/>
        <v>96.000000000000014</v>
      </c>
      <c r="AR475" s="268"/>
      <c r="AS475" s="257">
        <f t="shared" si="75"/>
        <v>0</v>
      </c>
      <c r="AT475" s="382">
        <v>38</v>
      </c>
      <c r="AU475" s="257">
        <f t="shared" si="76"/>
        <v>41.800000000000018</v>
      </c>
      <c r="AV475" s="268"/>
      <c r="AW475" s="257">
        <f t="shared" si="77"/>
        <v>0</v>
      </c>
      <c r="AX475" s="59"/>
      <c r="AY475" s="257">
        <f t="shared" si="78"/>
        <v>0</v>
      </c>
      <c r="AZ475" s="59"/>
      <c r="BA475" s="257">
        <f t="shared" si="79"/>
        <v>0</v>
      </c>
      <c r="BB475" s="268"/>
      <c r="BC475" s="257">
        <f t="shared" si="80"/>
        <v>0</v>
      </c>
      <c r="BD475" s="59"/>
      <c r="BE475" s="257">
        <f t="shared" si="81"/>
        <v>0</v>
      </c>
      <c r="BF475" s="59"/>
      <c r="BG475" s="257">
        <f t="shared" si="82"/>
        <v>0</v>
      </c>
      <c r="BH475" s="59"/>
      <c r="BI475" s="257">
        <f t="shared" si="83"/>
        <v>0</v>
      </c>
      <c r="BJ475" s="1" t="s">
        <v>1109</v>
      </c>
      <c r="BL475" s="1" t="s">
        <v>457</v>
      </c>
      <c r="BM475" s="378" t="s">
        <v>1110</v>
      </c>
    </row>
    <row r="476" spans="1:65" ht="15">
      <c r="A476" s="250" t="s">
        <v>951</v>
      </c>
      <c r="B476" s="59" t="s">
        <v>221</v>
      </c>
      <c r="C476" s="354" t="s">
        <v>172</v>
      </c>
      <c r="D476" s="419"/>
      <c r="E476" s="281" t="s">
        <v>332</v>
      </c>
      <c r="F476" s="422"/>
      <c r="G476" s="317">
        <v>2026</v>
      </c>
      <c r="H476" s="323" t="s">
        <v>1104</v>
      </c>
      <c r="I476" s="332" t="s">
        <v>183</v>
      </c>
      <c r="J476" s="331">
        <v>14</v>
      </c>
      <c r="K476" s="323" t="s">
        <v>1111</v>
      </c>
      <c r="L476" s="323" t="s">
        <v>177</v>
      </c>
      <c r="M476" s="303" t="s">
        <v>990</v>
      </c>
      <c r="N476" s="303">
        <v>9.4</v>
      </c>
      <c r="O476" s="303">
        <v>9.4</v>
      </c>
      <c r="P476" s="303">
        <v>9.4</v>
      </c>
      <c r="Q476" s="303">
        <v>9.4</v>
      </c>
      <c r="R476" s="401">
        <v>9.6</v>
      </c>
      <c r="S476" s="401">
        <v>9.6</v>
      </c>
      <c r="T476" s="401">
        <v>9.6</v>
      </c>
      <c r="U476" s="401">
        <v>9.6</v>
      </c>
      <c r="V476" s="401">
        <v>9.6</v>
      </c>
      <c r="W476" s="401">
        <v>9.6</v>
      </c>
      <c r="X476" s="401">
        <v>9.6</v>
      </c>
      <c r="Y476" s="401">
        <v>9.6</v>
      </c>
      <c r="Z476" s="59">
        <v>1.6500000000000004</v>
      </c>
      <c r="AA476" s="59">
        <v>1.6500000000000004</v>
      </c>
      <c r="AB476" s="59">
        <v>1.6500000000000004</v>
      </c>
      <c r="AC476" s="304">
        <v>0</v>
      </c>
      <c r="AD476" s="402">
        <v>1.3499999999999996</v>
      </c>
      <c r="AE476" s="402">
        <v>1.3499999999999996</v>
      </c>
      <c r="AF476" s="402">
        <v>1.3499999999999996</v>
      </c>
      <c r="AG476" s="402">
        <v>1.3499999999999996</v>
      </c>
      <c r="AH476" s="402">
        <v>1.3499999999999996</v>
      </c>
      <c r="AI476" s="402">
        <v>1.3499999999999996</v>
      </c>
      <c r="AJ476" s="402">
        <v>1.3499999999999996</v>
      </c>
      <c r="AK476" s="402">
        <v>1.3499999999999996</v>
      </c>
      <c r="AL476" s="255"/>
      <c r="AM476" s="254">
        <f t="shared" si="72"/>
        <v>0</v>
      </c>
      <c r="AN476" s="255"/>
      <c r="AO476" s="254">
        <f t="shared" si="73"/>
        <v>0</v>
      </c>
      <c r="AP476" s="255">
        <v>50</v>
      </c>
      <c r="AQ476" s="254">
        <f t="shared" si="74"/>
        <v>82.500000000000014</v>
      </c>
      <c r="AR476" s="268"/>
      <c r="AS476" s="257">
        <f t="shared" si="75"/>
        <v>0</v>
      </c>
      <c r="AT476" s="382"/>
      <c r="AU476" s="257">
        <f t="shared" si="76"/>
        <v>0</v>
      </c>
      <c r="AV476" s="268"/>
      <c r="AW476" s="257">
        <f t="shared" si="77"/>
        <v>0</v>
      </c>
      <c r="AX476" s="59"/>
      <c r="AY476" s="257">
        <f t="shared" si="78"/>
        <v>0</v>
      </c>
      <c r="AZ476" s="59"/>
      <c r="BA476" s="257">
        <f t="shared" si="79"/>
        <v>0</v>
      </c>
      <c r="BB476" s="268"/>
      <c r="BC476" s="257">
        <f t="shared" si="80"/>
        <v>0</v>
      </c>
      <c r="BD476" s="59"/>
      <c r="BE476" s="257">
        <f t="shared" si="81"/>
        <v>0</v>
      </c>
      <c r="BF476" s="59"/>
      <c r="BG476" s="257">
        <f t="shared" si="82"/>
        <v>0</v>
      </c>
      <c r="BH476" s="59"/>
      <c r="BI476" s="257">
        <f t="shared" si="83"/>
        <v>0</v>
      </c>
      <c r="BJ476" s="1" t="s">
        <v>1112</v>
      </c>
      <c r="BL476" s="1" t="s">
        <v>457</v>
      </c>
      <c r="BM476" s="378" t="s">
        <v>1113</v>
      </c>
    </row>
    <row r="477" spans="1:65" ht="15">
      <c r="A477" s="250" t="s">
        <v>951</v>
      </c>
      <c r="B477" s="59" t="s">
        <v>221</v>
      </c>
      <c r="C477" s="354" t="s">
        <v>172</v>
      </c>
      <c r="D477" s="419"/>
      <c r="E477" s="281" t="s">
        <v>332</v>
      </c>
      <c r="F477" s="422"/>
      <c r="G477" s="317">
        <v>2026</v>
      </c>
      <c r="H477" s="323" t="s">
        <v>1104</v>
      </c>
      <c r="I477" s="332" t="s">
        <v>183</v>
      </c>
      <c r="J477" s="331">
        <v>14</v>
      </c>
      <c r="K477" s="323" t="s">
        <v>1048</v>
      </c>
      <c r="L477" s="323" t="s">
        <v>177</v>
      </c>
      <c r="M477" s="303" t="s">
        <v>990</v>
      </c>
      <c r="N477" s="303">
        <v>9.4</v>
      </c>
      <c r="O477" s="303">
        <v>9.4</v>
      </c>
      <c r="P477" s="303">
        <v>9.4</v>
      </c>
      <c r="Q477" s="303">
        <v>9.4</v>
      </c>
      <c r="R477" s="401">
        <v>9.6</v>
      </c>
      <c r="S477" s="401">
        <v>9.6</v>
      </c>
      <c r="T477" s="401">
        <v>9.6</v>
      </c>
      <c r="U477" s="401">
        <v>9.6</v>
      </c>
      <c r="V477" s="401">
        <v>9.6</v>
      </c>
      <c r="W477" s="401">
        <v>9.6</v>
      </c>
      <c r="X477" s="401">
        <v>9.6</v>
      </c>
      <c r="Y477" s="401">
        <v>9.6</v>
      </c>
      <c r="Z477" s="59">
        <v>1.6500000000000004</v>
      </c>
      <c r="AA477" s="59">
        <v>1.6500000000000004</v>
      </c>
      <c r="AB477" s="59">
        <v>1.6500000000000004</v>
      </c>
      <c r="AC477" s="304">
        <v>0</v>
      </c>
      <c r="AD477" s="402">
        <v>1.3499999999999996</v>
      </c>
      <c r="AE477" s="402">
        <v>1.3499999999999996</v>
      </c>
      <c r="AF477" s="402">
        <v>1.3499999999999996</v>
      </c>
      <c r="AG477" s="402">
        <v>1.3499999999999996</v>
      </c>
      <c r="AH477" s="402">
        <v>1.3499999999999996</v>
      </c>
      <c r="AI477" s="402">
        <v>1.3499999999999996</v>
      </c>
      <c r="AJ477" s="402">
        <v>1.3499999999999996</v>
      </c>
      <c r="AK477" s="402">
        <v>1.3499999999999996</v>
      </c>
      <c r="AL477" s="255"/>
      <c r="AM477" s="254">
        <f t="shared" si="72"/>
        <v>0</v>
      </c>
      <c r="AN477" s="255"/>
      <c r="AO477" s="254">
        <f t="shared" si="73"/>
        <v>0</v>
      </c>
      <c r="AP477" s="255"/>
      <c r="AQ477" s="254">
        <f t="shared" si="74"/>
        <v>0</v>
      </c>
      <c r="AR477" s="268"/>
      <c r="AS477" s="257">
        <f t="shared" si="75"/>
        <v>0</v>
      </c>
      <c r="AT477" s="382"/>
      <c r="AU477" s="257">
        <f t="shared" si="76"/>
        <v>0</v>
      </c>
      <c r="AV477" s="268"/>
      <c r="AW477" s="257">
        <f t="shared" si="77"/>
        <v>0</v>
      </c>
      <c r="AX477" s="59"/>
      <c r="AY477" s="257">
        <f t="shared" si="78"/>
        <v>0</v>
      </c>
      <c r="AZ477" s="59"/>
      <c r="BA477" s="257">
        <f t="shared" si="79"/>
        <v>0</v>
      </c>
      <c r="BB477" s="268"/>
      <c r="BC477" s="257">
        <f t="shared" si="80"/>
        <v>0</v>
      </c>
      <c r="BD477" s="59"/>
      <c r="BE477" s="257">
        <f t="shared" si="81"/>
        <v>0</v>
      </c>
      <c r="BF477" s="59"/>
      <c r="BG477" s="257">
        <f t="shared" si="82"/>
        <v>0</v>
      </c>
      <c r="BH477" s="59"/>
      <c r="BI477" s="257">
        <f t="shared" si="83"/>
        <v>0</v>
      </c>
      <c r="BJ477" s="1" t="s">
        <v>1114</v>
      </c>
      <c r="BL477" s="1" t="s">
        <v>457</v>
      </c>
      <c r="BM477" s="378" t="s">
        <v>1115</v>
      </c>
    </row>
    <row r="478" spans="1:65" ht="15">
      <c r="A478" s="250" t="s">
        <v>951</v>
      </c>
      <c r="B478" s="59" t="s">
        <v>221</v>
      </c>
      <c r="C478" s="354" t="s">
        <v>172</v>
      </c>
      <c r="D478" s="419"/>
      <c r="E478" s="281" t="s">
        <v>332</v>
      </c>
      <c r="F478" s="422"/>
      <c r="G478" s="317">
        <v>2026</v>
      </c>
      <c r="H478" s="323" t="s">
        <v>1104</v>
      </c>
      <c r="I478" s="327" t="s">
        <v>190</v>
      </c>
      <c r="J478" s="331">
        <v>14</v>
      </c>
      <c r="K478" s="323" t="s">
        <v>989</v>
      </c>
      <c r="L478" s="323" t="s">
        <v>177</v>
      </c>
      <c r="M478" s="303" t="s">
        <v>990</v>
      </c>
      <c r="N478" s="303">
        <v>3.45</v>
      </c>
      <c r="O478" s="303">
        <v>3.45</v>
      </c>
      <c r="P478" s="303">
        <v>3.45</v>
      </c>
      <c r="Q478" s="303">
        <v>3.45</v>
      </c>
      <c r="R478" s="401">
        <v>4.05</v>
      </c>
      <c r="S478" s="401">
        <v>4.05</v>
      </c>
      <c r="T478" s="401">
        <v>4.05</v>
      </c>
      <c r="U478" s="401">
        <v>4.05</v>
      </c>
      <c r="V478" s="401">
        <v>4.05</v>
      </c>
      <c r="W478" s="401">
        <v>4.05</v>
      </c>
      <c r="X478" s="401">
        <v>4.05</v>
      </c>
      <c r="Y478" s="401">
        <v>4.05</v>
      </c>
      <c r="Z478" s="59">
        <v>0.35000000000000009</v>
      </c>
      <c r="AA478" s="59">
        <v>0.35000000000000009</v>
      </c>
      <c r="AB478" s="59">
        <v>0.35000000000000009</v>
      </c>
      <c r="AC478" s="304">
        <v>0</v>
      </c>
      <c r="AD478" s="402">
        <v>0.44999999999999973</v>
      </c>
      <c r="AE478" s="402">
        <v>0.44999999999999973</v>
      </c>
      <c r="AF478" s="402">
        <v>0.44999999999999973</v>
      </c>
      <c r="AG478" s="402">
        <v>0.44999999999999973</v>
      </c>
      <c r="AH478" s="402">
        <v>0.44999999999999973</v>
      </c>
      <c r="AI478" s="402">
        <v>0.44999999999999973</v>
      </c>
      <c r="AJ478" s="402">
        <v>0.44999999999999973</v>
      </c>
      <c r="AK478" s="402">
        <v>0.44999999999999973</v>
      </c>
      <c r="AL478" s="255"/>
      <c r="AM478" s="254">
        <f t="shared" si="72"/>
        <v>0</v>
      </c>
      <c r="AN478" s="255">
        <v>2000</v>
      </c>
      <c r="AO478" s="254">
        <f t="shared" si="73"/>
        <v>700.00000000000023</v>
      </c>
      <c r="AP478" s="255">
        <v>5914</v>
      </c>
      <c r="AQ478" s="254">
        <f t="shared" si="74"/>
        <v>2069.9000000000005</v>
      </c>
      <c r="AR478" s="268">
        <v>4833</v>
      </c>
      <c r="AS478" s="257">
        <f t="shared" si="75"/>
        <v>0</v>
      </c>
      <c r="AT478" s="382">
        <v>3918</v>
      </c>
      <c r="AU478" s="257">
        <f t="shared" si="76"/>
        <v>1763.099999999999</v>
      </c>
      <c r="AV478" s="268"/>
      <c r="AW478" s="257">
        <f t="shared" si="77"/>
        <v>0</v>
      </c>
      <c r="AX478" s="59"/>
      <c r="AY478" s="257">
        <f t="shared" si="78"/>
        <v>0</v>
      </c>
      <c r="AZ478" s="59"/>
      <c r="BA478" s="257">
        <f t="shared" si="79"/>
        <v>0</v>
      </c>
      <c r="BB478" s="268"/>
      <c r="BC478" s="257">
        <f t="shared" si="80"/>
        <v>0</v>
      </c>
      <c r="BD478" s="59"/>
      <c r="BE478" s="257">
        <f t="shared" si="81"/>
        <v>0</v>
      </c>
      <c r="BF478" s="59"/>
      <c r="BG478" s="257">
        <f t="shared" si="82"/>
        <v>0</v>
      </c>
      <c r="BH478" s="59"/>
      <c r="BI478" s="257">
        <f t="shared" si="83"/>
        <v>0</v>
      </c>
      <c r="BJ478" s="1" t="s">
        <v>1116</v>
      </c>
      <c r="BL478" s="1" t="s">
        <v>457</v>
      </c>
      <c r="BM478" s="378" t="s">
        <v>1117</v>
      </c>
    </row>
    <row r="479" spans="1:65" ht="15">
      <c r="A479" s="250" t="s">
        <v>951</v>
      </c>
      <c r="B479" s="59" t="s">
        <v>221</v>
      </c>
      <c r="C479" s="354" t="s">
        <v>172</v>
      </c>
      <c r="D479" s="419"/>
      <c r="E479" s="281" t="s">
        <v>332</v>
      </c>
      <c r="F479" s="422"/>
      <c r="G479" s="317">
        <v>2026</v>
      </c>
      <c r="H479" s="323" t="s">
        <v>1104</v>
      </c>
      <c r="I479" s="327" t="s">
        <v>190</v>
      </c>
      <c r="J479" s="331">
        <v>14</v>
      </c>
      <c r="K479" s="323" t="s">
        <v>993</v>
      </c>
      <c r="L479" s="323" t="s">
        <v>177</v>
      </c>
      <c r="M479" s="303" t="s">
        <v>990</v>
      </c>
      <c r="N479" s="303">
        <v>3.45</v>
      </c>
      <c r="O479" s="303">
        <v>3.45</v>
      </c>
      <c r="P479" s="303">
        <v>3.45</v>
      </c>
      <c r="Q479" s="303">
        <v>3.45</v>
      </c>
      <c r="R479" s="401">
        <v>4.05</v>
      </c>
      <c r="S479" s="401">
        <v>4.05</v>
      </c>
      <c r="T479" s="401">
        <v>4.05</v>
      </c>
      <c r="U479" s="401">
        <v>4.05</v>
      </c>
      <c r="V479" s="401">
        <v>4.05</v>
      </c>
      <c r="W479" s="401">
        <v>4.05</v>
      </c>
      <c r="X479" s="401">
        <v>4.05</v>
      </c>
      <c r="Y479" s="401">
        <v>4.05</v>
      </c>
      <c r="Z479" s="59">
        <v>0.35000000000000009</v>
      </c>
      <c r="AA479" s="59">
        <v>0.35000000000000009</v>
      </c>
      <c r="AB479" s="59">
        <v>0.35000000000000009</v>
      </c>
      <c r="AC479" s="304">
        <v>0</v>
      </c>
      <c r="AD479" s="402">
        <v>0.44999999999999973</v>
      </c>
      <c r="AE479" s="402">
        <v>0.44999999999999973</v>
      </c>
      <c r="AF479" s="402">
        <v>0.44999999999999973</v>
      </c>
      <c r="AG479" s="402">
        <v>0.44999999999999973</v>
      </c>
      <c r="AH479" s="402">
        <v>0.44999999999999973</v>
      </c>
      <c r="AI479" s="402">
        <v>0.44999999999999973</v>
      </c>
      <c r="AJ479" s="402">
        <v>0.44999999999999973</v>
      </c>
      <c r="AK479" s="402">
        <v>0.44999999999999973</v>
      </c>
      <c r="AL479" s="255"/>
      <c r="AM479" s="254">
        <f t="shared" si="72"/>
        <v>0</v>
      </c>
      <c r="AN479" s="255"/>
      <c r="AO479" s="254">
        <f t="shared" si="73"/>
        <v>0</v>
      </c>
      <c r="AP479" s="255">
        <v>50</v>
      </c>
      <c r="AQ479" s="254">
        <f t="shared" si="74"/>
        <v>17.500000000000004</v>
      </c>
      <c r="AR479" s="268">
        <v>40</v>
      </c>
      <c r="AS479" s="257">
        <f t="shared" si="75"/>
        <v>0</v>
      </c>
      <c r="AT479" s="382">
        <v>80</v>
      </c>
      <c r="AU479" s="257">
        <f t="shared" si="76"/>
        <v>35.999999999999979</v>
      </c>
      <c r="AV479" s="268"/>
      <c r="AW479" s="257">
        <f t="shared" si="77"/>
        <v>0</v>
      </c>
      <c r="AX479" s="59"/>
      <c r="AY479" s="257">
        <f t="shared" si="78"/>
        <v>0</v>
      </c>
      <c r="AZ479" s="59"/>
      <c r="BA479" s="257">
        <f t="shared" si="79"/>
        <v>0</v>
      </c>
      <c r="BB479" s="268"/>
      <c r="BC479" s="257">
        <f t="shared" si="80"/>
        <v>0</v>
      </c>
      <c r="BD479" s="59"/>
      <c r="BE479" s="257">
        <f t="shared" si="81"/>
        <v>0</v>
      </c>
      <c r="BF479" s="59"/>
      <c r="BG479" s="257">
        <f t="shared" si="82"/>
        <v>0</v>
      </c>
      <c r="BH479" s="59"/>
      <c r="BI479" s="257">
        <f t="shared" si="83"/>
        <v>0</v>
      </c>
      <c r="BJ479" s="1" t="s">
        <v>1118</v>
      </c>
      <c r="BL479" s="1" t="s">
        <v>457</v>
      </c>
      <c r="BM479" s="378" t="s">
        <v>1119</v>
      </c>
    </row>
    <row r="480" spans="1:65" ht="15">
      <c r="A480" s="250" t="s">
        <v>951</v>
      </c>
      <c r="B480" s="59" t="s">
        <v>221</v>
      </c>
      <c r="C480" s="354" t="s">
        <v>172</v>
      </c>
      <c r="D480" s="419"/>
      <c r="E480" s="281" t="s">
        <v>332</v>
      </c>
      <c r="F480" s="422"/>
      <c r="G480" s="317">
        <v>2026</v>
      </c>
      <c r="H480" s="323" t="s">
        <v>1104</v>
      </c>
      <c r="I480" s="327" t="s">
        <v>190</v>
      </c>
      <c r="J480" s="331">
        <v>14</v>
      </c>
      <c r="K480" s="323" t="s">
        <v>996</v>
      </c>
      <c r="L480" s="323" t="s">
        <v>177</v>
      </c>
      <c r="M480" s="303" t="s">
        <v>990</v>
      </c>
      <c r="N480" s="303">
        <v>3.45</v>
      </c>
      <c r="O480" s="303">
        <v>3.45</v>
      </c>
      <c r="P480" s="303">
        <v>3.45</v>
      </c>
      <c r="Q480" s="303">
        <v>3.45</v>
      </c>
      <c r="R480" s="401">
        <v>4.05</v>
      </c>
      <c r="S480" s="401">
        <v>4.05</v>
      </c>
      <c r="T480" s="401">
        <v>4.05</v>
      </c>
      <c r="U480" s="401">
        <v>4.05</v>
      </c>
      <c r="V480" s="401">
        <v>4.05</v>
      </c>
      <c r="W480" s="401">
        <v>4.05</v>
      </c>
      <c r="X480" s="401">
        <v>4.05</v>
      </c>
      <c r="Y480" s="401">
        <v>4.05</v>
      </c>
      <c r="Z480" s="59">
        <v>0.35000000000000009</v>
      </c>
      <c r="AA480" s="59">
        <v>0.35000000000000009</v>
      </c>
      <c r="AB480" s="59">
        <v>0.35000000000000009</v>
      </c>
      <c r="AC480" s="304">
        <v>0</v>
      </c>
      <c r="AD480" s="402">
        <v>0.44999999999999973</v>
      </c>
      <c r="AE480" s="402">
        <v>0.44999999999999973</v>
      </c>
      <c r="AF480" s="402">
        <v>0.44999999999999973</v>
      </c>
      <c r="AG480" s="402">
        <v>0.44999999999999973</v>
      </c>
      <c r="AH480" s="402">
        <v>0.44999999999999973</v>
      </c>
      <c r="AI480" s="402">
        <v>0.44999999999999973</v>
      </c>
      <c r="AJ480" s="402">
        <v>0.44999999999999973</v>
      </c>
      <c r="AK480" s="402">
        <v>0.44999999999999973</v>
      </c>
      <c r="AL480" s="255"/>
      <c r="AM480" s="254">
        <f t="shared" si="72"/>
        <v>0</v>
      </c>
      <c r="AN480" s="255"/>
      <c r="AO480" s="254">
        <f t="shared" si="73"/>
        <v>0</v>
      </c>
      <c r="AP480" s="255">
        <v>160</v>
      </c>
      <c r="AQ480" s="254">
        <f t="shared" si="74"/>
        <v>56.000000000000014</v>
      </c>
      <c r="AR480" s="268">
        <v>4719</v>
      </c>
      <c r="AS480" s="257">
        <f t="shared" si="75"/>
        <v>0</v>
      </c>
      <c r="AT480" s="382">
        <v>5544</v>
      </c>
      <c r="AU480" s="257">
        <f t="shared" si="76"/>
        <v>2494.7999999999984</v>
      </c>
      <c r="AV480" s="268"/>
      <c r="AW480" s="257">
        <f t="shared" si="77"/>
        <v>0</v>
      </c>
      <c r="AX480" s="59"/>
      <c r="AY480" s="257">
        <f t="shared" si="78"/>
        <v>0</v>
      </c>
      <c r="AZ480" s="59"/>
      <c r="BA480" s="257">
        <f t="shared" si="79"/>
        <v>0</v>
      </c>
      <c r="BB480" s="268"/>
      <c r="BC480" s="257">
        <f t="shared" si="80"/>
        <v>0</v>
      </c>
      <c r="BD480" s="59"/>
      <c r="BE480" s="257">
        <f t="shared" si="81"/>
        <v>0</v>
      </c>
      <c r="BF480" s="59"/>
      <c r="BG480" s="257">
        <f t="shared" si="82"/>
        <v>0</v>
      </c>
      <c r="BH480" s="59"/>
      <c r="BI480" s="257">
        <f t="shared" si="83"/>
        <v>0</v>
      </c>
      <c r="BJ480" s="1" t="s">
        <v>1120</v>
      </c>
      <c r="BL480" s="1" t="s">
        <v>457</v>
      </c>
      <c r="BM480" s="378" t="s">
        <v>1121</v>
      </c>
    </row>
    <row r="481" spans="1:65" ht="15">
      <c r="A481" s="250" t="s">
        <v>951</v>
      </c>
      <c r="B481" s="59" t="s">
        <v>221</v>
      </c>
      <c r="C481" s="354" t="s">
        <v>172</v>
      </c>
      <c r="D481" s="419"/>
      <c r="E481" s="281" t="s">
        <v>332</v>
      </c>
      <c r="F481" s="422"/>
      <c r="G481" s="317">
        <v>2026</v>
      </c>
      <c r="H481" s="323" t="s">
        <v>1104</v>
      </c>
      <c r="I481" s="327" t="s">
        <v>190</v>
      </c>
      <c r="J481" s="331">
        <v>14</v>
      </c>
      <c r="K481" s="323" t="s">
        <v>637</v>
      </c>
      <c r="L481" s="323" t="s">
        <v>177</v>
      </c>
      <c r="M481" s="303" t="s">
        <v>990</v>
      </c>
      <c r="N481" s="303">
        <v>3.45</v>
      </c>
      <c r="O481" s="303">
        <v>3.45</v>
      </c>
      <c r="P481" s="303">
        <v>3.45</v>
      </c>
      <c r="Q481" s="303">
        <v>3.45</v>
      </c>
      <c r="R481" s="401">
        <v>4.05</v>
      </c>
      <c r="S481" s="401">
        <v>4.05</v>
      </c>
      <c r="T481" s="401">
        <v>4.05</v>
      </c>
      <c r="U481" s="401">
        <v>4.05</v>
      </c>
      <c r="V481" s="401">
        <v>4.05</v>
      </c>
      <c r="W481" s="401">
        <v>4.05</v>
      </c>
      <c r="X481" s="401">
        <v>4.05</v>
      </c>
      <c r="Y481" s="401">
        <v>4.05</v>
      </c>
      <c r="Z481" s="59">
        <v>0.35000000000000009</v>
      </c>
      <c r="AA481" s="59">
        <v>0.35000000000000009</v>
      </c>
      <c r="AB481" s="59">
        <v>0.35000000000000009</v>
      </c>
      <c r="AC481" s="304">
        <v>0</v>
      </c>
      <c r="AD481" s="402">
        <v>0.44999999999999973</v>
      </c>
      <c r="AE481" s="402">
        <v>0.44999999999999973</v>
      </c>
      <c r="AF481" s="402">
        <v>0.44999999999999973</v>
      </c>
      <c r="AG481" s="402">
        <v>0.44999999999999973</v>
      </c>
      <c r="AH481" s="402">
        <v>0.44999999999999973</v>
      </c>
      <c r="AI481" s="402">
        <v>0.44999999999999973</v>
      </c>
      <c r="AJ481" s="402">
        <v>0.44999999999999973</v>
      </c>
      <c r="AK481" s="402">
        <v>0.44999999999999973</v>
      </c>
      <c r="AL481" s="255"/>
      <c r="AM481" s="254">
        <f t="shared" si="72"/>
        <v>0</v>
      </c>
      <c r="AN481" s="255"/>
      <c r="AO481" s="254">
        <f t="shared" si="73"/>
        <v>0</v>
      </c>
      <c r="AP481" s="255"/>
      <c r="AQ481" s="254">
        <f t="shared" si="74"/>
        <v>0</v>
      </c>
      <c r="AR481" s="268"/>
      <c r="AS481" s="257">
        <f t="shared" si="75"/>
        <v>0</v>
      </c>
      <c r="AT481" s="382"/>
      <c r="AU481" s="257">
        <f t="shared" si="76"/>
        <v>0</v>
      </c>
      <c r="AV481" s="268"/>
      <c r="AW481" s="257">
        <f t="shared" si="77"/>
        <v>0</v>
      </c>
      <c r="AX481" s="59"/>
      <c r="AY481" s="257">
        <f t="shared" si="78"/>
        <v>0</v>
      </c>
      <c r="AZ481" s="59"/>
      <c r="BA481" s="257">
        <f t="shared" si="79"/>
        <v>0</v>
      </c>
      <c r="BB481" s="268"/>
      <c r="BC481" s="257">
        <f t="shared" si="80"/>
        <v>0</v>
      </c>
      <c r="BD481" s="59"/>
      <c r="BE481" s="257">
        <f t="shared" si="81"/>
        <v>0</v>
      </c>
      <c r="BF481" s="59"/>
      <c r="BG481" s="257">
        <f t="shared" si="82"/>
        <v>0</v>
      </c>
      <c r="BH481" s="59"/>
      <c r="BI481" s="257">
        <f t="shared" si="83"/>
        <v>0</v>
      </c>
      <c r="BJ481" s="1" t="s">
        <v>1122</v>
      </c>
      <c r="BL481" s="1" t="s">
        <v>457</v>
      </c>
      <c r="BM481" s="378" t="s">
        <v>1123</v>
      </c>
    </row>
    <row r="482" spans="1:65" ht="15">
      <c r="A482" s="250" t="s">
        <v>951</v>
      </c>
      <c r="B482" s="59" t="s">
        <v>221</v>
      </c>
      <c r="C482" s="354" t="s">
        <v>172</v>
      </c>
      <c r="D482" s="419"/>
      <c r="E482" s="281" t="s">
        <v>332</v>
      </c>
      <c r="F482" s="422"/>
      <c r="G482" s="317">
        <v>2026</v>
      </c>
      <c r="H482" s="323" t="s">
        <v>1104</v>
      </c>
      <c r="I482" s="327" t="s">
        <v>190</v>
      </c>
      <c r="J482" s="331">
        <v>14</v>
      </c>
      <c r="K482" s="323" t="s">
        <v>1124</v>
      </c>
      <c r="L482" s="323" t="s">
        <v>177</v>
      </c>
      <c r="M482" s="303" t="s">
        <v>990</v>
      </c>
      <c r="N482" s="303">
        <v>3.45</v>
      </c>
      <c r="O482" s="303">
        <v>3.45</v>
      </c>
      <c r="P482" s="303">
        <v>3.45</v>
      </c>
      <c r="Q482" s="303">
        <v>3.45</v>
      </c>
      <c r="R482" s="401">
        <v>4.05</v>
      </c>
      <c r="S482" s="401">
        <v>4.05</v>
      </c>
      <c r="T482" s="401">
        <v>4.05</v>
      </c>
      <c r="U482" s="401">
        <v>4.05</v>
      </c>
      <c r="V482" s="401">
        <v>4.05</v>
      </c>
      <c r="W482" s="401">
        <v>4.05</v>
      </c>
      <c r="X482" s="401">
        <v>4.05</v>
      </c>
      <c r="Y482" s="401">
        <v>4.05</v>
      </c>
      <c r="Z482" s="59">
        <v>0.35000000000000009</v>
      </c>
      <c r="AA482" s="59">
        <v>0.35000000000000009</v>
      </c>
      <c r="AB482" s="59">
        <v>0.35000000000000009</v>
      </c>
      <c r="AC482" s="304">
        <v>0</v>
      </c>
      <c r="AD482" s="402">
        <v>0.44999999999999973</v>
      </c>
      <c r="AE482" s="402">
        <v>0.44999999999999973</v>
      </c>
      <c r="AF482" s="402">
        <v>0.44999999999999973</v>
      </c>
      <c r="AG482" s="402">
        <v>0.44999999999999973</v>
      </c>
      <c r="AH482" s="402">
        <v>0.44999999999999973</v>
      </c>
      <c r="AI482" s="402">
        <v>0.44999999999999973</v>
      </c>
      <c r="AJ482" s="402">
        <v>0.44999999999999973</v>
      </c>
      <c r="AK482" s="402">
        <v>0.44999999999999973</v>
      </c>
      <c r="AL482" s="255"/>
      <c r="AM482" s="254">
        <f t="shared" si="72"/>
        <v>0</v>
      </c>
      <c r="AN482" s="255"/>
      <c r="AO482" s="254">
        <f t="shared" si="73"/>
        <v>0</v>
      </c>
      <c r="AP482" s="255"/>
      <c r="AQ482" s="254">
        <f t="shared" si="74"/>
        <v>0</v>
      </c>
      <c r="AR482" s="268"/>
      <c r="AS482" s="257">
        <f t="shared" si="75"/>
        <v>0</v>
      </c>
      <c r="AT482" s="382"/>
      <c r="AU482" s="257">
        <f t="shared" si="76"/>
        <v>0</v>
      </c>
      <c r="AV482" s="268"/>
      <c r="AW482" s="257">
        <f t="shared" si="77"/>
        <v>0</v>
      </c>
      <c r="AX482" s="59"/>
      <c r="AY482" s="257">
        <f t="shared" si="78"/>
        <v>0</v>
      </c>
      <c r="AZ482" s="59"/>
      <c r="BA482" s="257">
        <f t="shared" si="79"/>
        <v>0</v>
      </c>
      <c r="BB482" s="268"/>
      <c r="BC482" s="257">
        <f t="shared" si="80"/>
        <v>0</v>
      </c>
      <c r="BD482" s="59"/>
      <c r="BE482" s="257">
        <f t="shared" si="81"/>
        <v>0</v>
      </c>
      <c r="BF482" s="59"/>
      <c r="BG482" s="257">
        <f t="shared" si="82"/>
        <v>0</v>
      </c>
      <c r="BH482" s="59"/>
      <c r="BI482" s="257">
        <f t="shared" si="83"/>
        <v>0</v>
      </c>
      <c r="BJ482" s="1" t="s">
        <v>1125</v>
      </c>
      <c r="BL482" s="1" t="s">
        <v>457</v>
      </c>
      <c r="BM482" s="378" t="s">
        <v>1126</v>
      </c>
    </row>
    <row r="483" spans="1:65" ht="15">
      <c r="A483" s="250" t="s">
        <v>951</v>
      </c>
      <c r="B483" s="59" t="s">
        <v>221</v>
      </c>
      <c r="C483" s="354" t="s">
        <v>172</v>
      </c>
      <c r="D483" s="419"/>
      <c r="E483" s="281" t="s">
        <v>332</v>
      </c>
      <c r="F483" s="422"/>
      <c r="G483" s="317">
        <v>2026</v>
      </c>
      <c r="H483" s="323" t="s">
        <v>1104</v>
      </c>
      <c r="I483" s="327" t="s">
        <v>190</v>
      </c>
      <c r="J483" s="331">
        <v>14</v>
      </c>
      <c r="K483" s="323" t="s">
        <v>1111</v>
      </c>
      <c r="L483" s="323" t="s">
        <v>177</v>
      </c>
      <c r="M483" s="303" t="s">
        <v>990</v>
      </c>
      <c r="N483" s="303">
        <v>3.45</v>
      </c>
      <c r="O483" s="303">
        <v>3.45</v>
      </c>
      <c r="P483" s="303">
        <v>3.45</v>
      </c>
      <c r="Q483" s="303">
        <v>3.45</v>
      </c>
      <c r="R483" s="401">
        <v>4.05</v>
      </c>
      <c r="S483" s="401">
        <v>4.05</v>
      </c>
      <c r="T483" s="401">
        <v>4.05</v>
      </c>
      <c r="U483" s="401">
        <v>4.05</v>
      </c>
      <c r="V483" s="401">
        <v>4.05</v>
      </c>
      <c r="W483" s="401">
        <v>4.05</v>
      </c>
      <c r="X483" s="401">
        <v>4.05</v>
      </c>
      <c r="Y483" s="401">
        <v>4.05</v>
      </c>
      <c r="Z483" s="59">
        <v>0.35000000000000009</v>
      </c>
      <c r="AA483" s="59">
        <v>0.35000000000000009</v>
      </c>
      <c r="AB483" s="59">
        <v>0.35000000000000009</v>
      </c>
      <c r="AC483" s="304">
        <v>0</v>
      </c>
      <c r="AD483" s="402">
        <v>0.44999999999999973</v>
      </c>
      <c r="AE483" s="402">
        <v>0.44999999999999973</v>
      </c>
      <c r="AF483" s="402">
        <v>0.44999999999999973</v>
      </c>
      <c r="AG483" s="402">
        <v>0.44999999999999973</v>
      </c>
      <c r="AH483" s="402">
        <v>0.44999999999999973</v>
      </c>
      <c r="AI483" s="402">
        <v>0.44999999999999973</v>
      </c>
      <c r="AJ483" s="402">
        <v>0.44999999999999973</v>
      </c>
      <c r="AK483" s="402">
        <v>0.44999999999999973</v>
      </c>
      <c r="AL483" s="255"/>
      <c r="AM483" s="254">
        <f t="shared" si="72"/>
        <v>0</v>
      </c>
      <c r="AN483" s="255"/>
      <c r="AO483" s="254">
        <f t="shared" si="73"/>
        <v>0</v>
      </c>
      <c r="AP483" s="255"/>
      <c r="AQ483" s="254">
        <f t="shared" si="74"/>
        <v>0</v>
      </c>
      <c r="AR483" s="268">
        <v>40</v>
      </c>
      <c r="AS483" s="257">
        <f t="shared" si="75"/>
        <v>0</v>
      </c>
      <c r="AT483" s="382">
        <v>2160</v>
      </c>
      <c r="AU483" s="257">
        <f t="shared" si="76"/>
        <v>971.99999999999943</v>
      </c>
      <c r="AV483" s="268"/>
      <c r="AW483" s="257">
        <f t="shared" si="77"/>
        <v>0</v>
      </c>
      <c r="AX483" s="59"/>
      <c r="AY483" s="257">
        <f t="shared" si="78"/>
        <v>0</v>
      </c>
      <c r="AZ483" s="59"/>
      <c r="BA483" s="257">
        <f t="shared" si="79"/>
        <v>0</v>
      </c>
      <c r="BB483" s="268"/>
      <c r="BC483" s="257">
        <f t="shared" si="80"/>
        <v>0</v>
      </c>
      <c r="BD483" s="59"/>
      <c r="BE483" s="257">
        <f t="shared" si="81"/>
        <v>0</v>
      </c>
      <c r="BF483" s="59"/>
      <c r="BG483" s="257">
        <f t="shared" si="82"/>
        <v>0</v>
      </c>
      <c r="BH483" s="59"/>
      <c r="BI483" s="257">
        <f t="shared" si="83"/>
        <v>0</v>
      </c>
      <c r="BJ483" s="1" t="s">
        <v>1127</v>
      </c>
      <c r="BL483" s="1" t="s">
        <v>457</v>
      </c>
      <c r="BM483" s="378" t="s">
        <v>1128</v>
      </c>
    </row>
    <row r="484" spans="1:65" ht="15">
      <c r="A484" s="250" t="s">
        <v>951</v>
      </c>
      <c r="B484" s="59" t="s">
        <v>221</v>
      </c>
      <c r="C484" s="354" t="s">
        <v>172</v>
      </c>
      <c r="D484" s="419"/>
      <c r="E484" s="281" t="s">
        <v>332</v>
      </c>
      <c r="F484" s="422"/>
      <c r="G484" s="317">
        <v>2026</v>
      </c>
      <c r="H484" s="323" t="s">
        <v>1104</v>
      </c>
      <c r="I484" s="327" t="s">
        <v>190</v>
      </c>
      <c r="J484" s="331">
        <v>14</v>
      </c>
      <c r="K484" s="323" t="s">
        <v>1048</v>
      </c>
      <c r="L484" s="323" t="s">
        <v>177</v>
      </c>
      <c r="M484" s="303" t="s">
        <v>990</v>
      </c>
      <c r="N484" s="303">
        <v>3.45</v>
      </c>
      <c r="O484" s="303">
        <v>3.45</v>
      </c>
      <c r="P484" s="303">
        <v>3.45</v>
      </c>
      <c r="Q484" s="303">
        <v>3.45</v>
      </c>
      <c r="R484" s="401">
        <v>4.05</v>
      </c>
      <c r="S484" s="401">
        <v>4.05</v>
      </c>
      <c r="T484" s="401">
        <v>4.05</v>
      </c>
      <c r="U484" s="401">
        <v>4.05</v>
      </c>
      <c r="V484" s="401">
        <v>4.05</v>
      </c>
      <c r="W484" s="401">
        <v>4.05</v>
      </c>
      <c r="X484" s="401">
        <v>4.05</v>
      </c>
      <c r="Y484" s="401">
        <v>4.05</v>
      </c>
      <c r="Z484" s="59">
        <v>0.35000000000000009</v>
      </c>
      <c r="AA484" s="59">
        <v>0.35000000000000009</v>
      </c>
      <c r="AB484" s="59">
        <v>0.35000000000000009</v>
      </c>
      <c r="AC484" s="304">
        <v>0</v>
      </c>
      <c r="AD484" s="402">
        <v>0.44999999999999973</v>
      </c>
      <c r="AE484" s="402">
        <v>0.44999999999999973</v>
      </c>
      <c r="AF484" s="402">
        <v>0.44999999999999973</v>
      </c>
      <c r="AG484" s="402">
        <v>0.44999999999999973</v>
      </c>
      <c r="AH484" s="402">
        <v>0.44999999999999973</v>
      </c>
      <c r="AI484" s="402">
        <v>0.44999999999999973</v>
      </c>
      <c r="AJ484" s="402">
        <v>0.44999999999999973</v>
      </c>
      <c r="AK484" s="402">
        <v>0.44999999999999973</v>
      </c>
      <c r="AL484" s="255"/>
      <c r="AM484" s="254">
        <f t="shared" si="72"/>
        <v>0</v>
      </c>
      <c r="AN484" s="255"/>
      <c r="AO484" s="254">
        <f t="shared" si="73"/>
        <v>0</v>
      </c>
      <c r="AP484" s="255"/>
      <c r="AQ484" s="254">
        <f t="shared" si="74"/>
        <v>0</v>
      </c>
      <c r="AR484" s="268"/>
      <c r="AS484" s="257">
        <f t="shared" si="75"/>
        <v>0</v>
      </c>
      <c r="AT484" s="382"/>
      <c r="AU484" s="257">
        <f t="shared" si="76"/>
        <v>0</v>
      </c>
      <c r="AV484" s="268"/>
      <c r="AW484" s="257">
        <f t="shared" si="77"/>
        <v>0</v>
      </c>
      <c r="AX484" s="59"/>
      <c r="AY484" s="257">
        <f t="shared" si="78"/>
        <v>0</v>
      </c>
      <c r="AZ484" s="59"/>
      <c r="BA484" s="257">
        <f t="shared" si="79"/>
        <v>0</v>
      </c>
      <c r="BB484" s="268"/>
      <c r="BC484" s="257">
        <f t="shared" si="80"/>
        <v>0</v>
      </c>
      <c r="BD484" s="59"/>
      <c r="BE484" s="257">
        <f t="shared" si="81"/>
        <v>0</v>
      </c>
      <c r="BF484" s="59"/>
      <c r="BG484" s="257">
        <f t="shared" si="82"/>
        <v>0</v>
      </c>
      <c r="BH484" s="59"/>
      <c r="BI484" s="257">
        <f t="shared" si="83"/>
        <v>0</v>
      </c>
      <c r="BJ484" s="1" t="s">
        <v>1129</v>
      </c>
      <c r="BL484" s="1" t="s">
        <v>457</v>
      </c>
      <c r="BM484" s="378" t="s">
        <v>1130</v>
      </c>
    </row>
    <row r="485" spans="1:65" ht="15">
      <c r="A485" s="250" t="s">
        <v>951</v>
      </c>
      <c r="B485" s="59" t="s">
        <v>221</v>
      </c>
      <c r="C485" s="354" t="s">
        <v>172</v>
      </c>
      <c r="D485" s="419"/>
      <c r="E485" s="281" t="s">
        <v>332</v>
      </c>
      <c r="F485" s="422"/>
      <c r="G485" s="317">
        <v>2026</v>
      </c>
      <c r="H485" s="323" t="s">
        <v>1104</v>
      </c>
      <c r="I485" s="332" t="s">
        <v>183</v>
      </c>
      <c r="J485" s="331">
        <v>14</v>
      </c>
      <c r="K485" s="323" t="s">
        <v>989</v>
      </c>
      <c r="L485" s="323" t="s">
        <v>177</v>
      </c>
      <c r="M485" s="303" t="s">
        <v>599</v>
      </c>
      <c r="N485" s="303">
        <v>8.4</v>
      </c>
      <c r="O485" s="303">
        <v>8.4</v>
      </c>
      <c r="P485" s="303">
        <v>8.4</v>
      </c>
      <c r="Q485" s="303">
        <v>8.4</v>
      </c>
      <c r="R485" s="401">
        <v>8.8000000000000007</v>
      </c>
      <c r="S485" s="401">
        <v>8.8000000000000007</v>
      </c>
      <c r="T485" s="401">
        <v>8.8000000000000007</v>
      </c>
      <c r="U485" s="401">
        <v>8.8000000000000007</v>
      </c>
      <c r="V485" s="401">
        <v>8.8000000000000007</v>
      </c>
      <c r="W485" s="401">
        <v>8.8000000000000007</v>
      </c>
      <c r="X485" s="401">
        <v>8.8000000000000007</v>
      </c>
      <c r="Y485" s="401">
        <v>8.8000000000000007</v>
      </c>
      <c r="Z485" s="59">
        <v>1.2000000000000002</v>
      </c>
      <c r="AA485" s="59">
        <v>1.2000000000000002</v>
      </c>
      <c r="AB485" s="59">
        <v>1.2000000000000002</v>
      </c>
      <c r="AC485" s="304">
        <v>0</v>
      </c>
      <c r="AD485" s="402">
        <v>1.1000000000000005</v>
      </c>
      <c r="AE485" s="402">
        <v>1.1000000000000005</v>
      </c>
      <c r="AF485" s="402">
        <v>1.1000000000000005</v>
      </c>
      <c r="AG485" s="402">
        <v>1.1000000000000005</v>
      </c>
      <c r="AH485" s="402">
        <v>1.1000000000000005</v>
      </c>
      <c r="AI485" s="402">
        <v>1.1000000000000005</v>
      </c>
      <c r="AJ485" s="402">
        <v>1.1000000000000005</v>
      </c>
      <c r="AK485" s="402">
        <v>1.1000000000000005</v>
      </c>
      <c r="AL485" s="255"/>
      <c r="AM485" s="254">
        <f t="shared" si="72"/>
        <v>0</v>
      </c>
      <c r="AN485" s="255"/>
      <c r="AO485" s="254">
        <f t="shared" si="73"/>
        <v>0</v>
      </c>
      <c r="AP485" s="255"/>
      <c r="AQ485" s="254">
        <f t="shared" si="74"/>
        <v>0</v>
      </c>
      <c r="AR485" s="268"/>
      <c r="AS485" s="257">
        <f t="shared" si="75"/>
        <v>0</v>
      </c>
      <c r="AT485" s="382">
        <v>280</v>
      </c>
      <c r="AU485" s="257">
        <f t="shared" si="76"/>
        <v>308.00000000000017</v>
      </c>
      <c r="AV485" s="268"/>
      <c r="AW485" s="257">
        <f t="shared" si="77"/>
        <v>0</v>
      </c>
      <c r="AX485" s="59"/>
      <c r="AY485" s="257">
        <f t="shared" si="78"/>
        <v>0</v>
      </c>
      <c r="AZ485" s="59"/>
      <c r="BA485" s="257">
        <f t="shared" si="79"/>
        <v>0</v>
      </c>
      <c r="BB485" s="268"/>
      <c r="BC485" s="257">
        <f t="shared" si="80"/>
        <v>0</v>
      </c>
      <c r="BD485" s="59"/>
      <c r="BE485" s="257">
        <f t="shared" si="81"/>
        <v>0</v>
      </c>
      <c r="BF485" s="59"/>
      <c r="BG485" s="257">
        <f t="shared" si="82"/>
        <v>0</v>
      </c>
      <c r="BH485" s="59"/>
      <c r="BI485" s="257">
        <f t="shared" si="83"/>
        <v>0</v>
      </c>
      <c r="BJ485" s="1" t="s">
        <v>1105</v>
      </c>
      <c r="BL485" s="1" t="s">
        <v>457</v>
      </c>
      <c r="BM485" s="378" t="s">
        <v>1106</v>
      </c>
    </row>
    <row r="486" spans="1:65" ht="15">
      <c r="A486" s="250" t="s">
        <v>951</v>
      </c>
      <c r="B486" s="59" t="s">
        <v>221</v>
      </c>
      <c r="C486" s="354" t="s">
        <v>172</v>
      </c>
      <c r="D486" s="419"/>
      <c r="E486" s="281" t="s">
        <v>332</v>
      </c>
      <c r="F486" s="422"/>
      <c r="G486" s="317">
        <v>2026</v>
      </c>
      <c r="H486" s="323" t="s">
        <v>1104</v>
      </c>
      <c r="I486" s="332" t="s">
        <v>183</v>
      </c>
      <c r="J486" s="331">
        <v>14</v>
      </c>
      <c r="K486" s="323" t="s">
        <v>993</v>
      </c>
      <c r="L486" s="323" t="s">
        <v>177</v>
      </c>
      <c r="M486" s="303" t="s">
        <v>599</v>
      </c>
      <c r="N486" s="303">
        <v>8.4</v>
      </c>
      <c r="O486" s="303">
        <v>8.4</v>
      </c>
      <c r="P486" s="303">
        <v>8.4</v>
      </c>
      <c r="Q486" s="303">
        <v>8.4</v>
      </c>
      <c r="R486" s="401">
        <v>8.8000000000000007</v>
      </c>
      <c r="S486" s="401">
        <v>8.8000000000000007</v>
      </c>
      <c r="T486" s="401">
        <v>8.8000000000000007</v>
      </c>
      <c r="U486" s="401">
        <v>8.8000000000000007</v>
      </c>
      <c r="V486" s="401">
        <v>8.8000000000000007</v>
      </c>
      <c r="W486" s="401">
        <v>8.8000000000000007</v>
      </c>
      <c r="X486" s="401">
        <v>8.8000000000000007</v>
      </c>
      <c r="Y486" s="401">
        <v>8.8000000000000007</v>
      </c>
      <c r="Z486" s="59">
        <v>1.2000000000000002</v>
      </c>
      <c r="AA486" s="59">
        <v>1.2000000000000002</v>
      </c>
      <c r="AB486" s="59">
        <v>1.2000000000000002</v>
      </c>
      <c r="AC486" s="304">
        <v>0</v>
      </c>
      <c r="AD486" s="402">
        <v>1.1000000000000005</v>
      </c>
      <c r="AE486" s="402">
        <v>1.1000000000000005</v>
      </c>
      <c r="AF486" s="402">
        <v>1.1000000000000005</v>
      </c>
      <c r="AG486" s="402">
        <v>1.1000000000000005</v>
      </c>
      <c r="AH486" s="402">
        <v>1.1000000000000005</v>
      </c>
      <c r="AI486" s="402">
        <v>1.1000000000000005</v>
      </c>
      <c r="AJ486" s="402">
        <v>1.1000000000000005</v>
      </c>
      <c r="AK486" s="402">
        <v>1.1000000000000005</v>
      </c>
      <c r="AL486" s="255"/>
      <c r="AM486" s="254">
        <f t="shared" si="72"/>
        <v>0</v>
      </c>
      <c r="AN486" s="255"/>
      <c r="AO486" s="254">
        <f t="shared" si="73"/>
        <v>0</v>
      </c>
      <c r="AP486" s="255"/>
      <c r="AQ486" s="254">
        <f t="shared" si="74"/>
        <v>0</v>
      </c>
      <c r="AR486" s="268"/>
      <c r="AS486" s="257">
        <f t="shared" si="75"/>
        <v>0</v>
      </c>
      <c r="AT486" s="382"/>
      <c r="AU486" s="257">
        <f t="shared" si="76"/>
        <v>0</v>
      </c>
      <c r="AV486" s="268"/>
      <c r="AW486" s="257">
        <f t="shared" si="77"/>
        <v>0</v>
      </c>
      <c r="AX486" s="59"/>
      <c r="AY486" s="257">
        <f t="shared" si="78"/>
        <v>0</v>
      </c>
      <c r="AZ486" s="59"/>
      <c r="BA486" s="257">
        <f t="shared" si="79"/>
        <v>0</v>
      </c>
      <c r="BB486" s="268"/>
      <c r="BC486" s="257">
        <f t="shared" si="80"/>
        <v>0</v>
      </c>
      <c r="BD486" s="59"/>
      <c r="BE486" s="257">
        <f t="shared" si="81"/>
        <v>0</v>
      </c>
      <c r="BF486" s="59"/>
      <c r="BG486" s="257">
        <f t="shared" si="82"/>
        <v>0</v>
      </c>
      <c r="BH486" s="59"/>
      <c r="BI486" s="257">
        <f t="shared" si="83"/>
        <v>0</v>
      </c>
      <c r="BJ486" s="1" t="s">
        <v>1107</v>
      </c>
      <c r="BL486" s="1" t="s">
        <v>457</v>
      </c>
      <c r="BM486" s="378" t="s">
        <v>1108</v>
      </c>
    </row>
    <row r="487" spans="1:65" ht="15">
      <c r="A487" s="250" t="s">
        <v>951</v>
      </c>
      <c r="B487" s="59" t="s">
        <v>221</v>
      </c>
      <c r="C487" s="354" t="s">
        <v>172</v>
      </c>
      <c r="D487" s="419"/>
      <c r="E487" s="281" t="s">
        <v>332</v>
      </c>
      <c r="F487" s="422"/>
      <c r="G487" s="317">
        <v>2026</v>
      </c>
      <c r="H487" s="323" t="s">
        <v>1104</v>
      </c>
      <c r="I487" s="332" t="s">
        <v>183</v>
      </c>
      <c r="J487" s="331">
        <v>14</v>
      </c>
      <c r="K487" s="323" t="s">
        <v>996</v>
      </c>
      <c r="L487" s="323" t="s">
        <v>177</v>
      </c>
      <c r="M487" s="303" t="s">
        <v>599</v>
      </c>
      <c r="N487" s="303">
        <v>8.4</v>
      </c>
      <c r="O487" s="303">
        <v>8.4</v>
      </c>
      <c r="P487" s="303">
        <v>8.4</v>
      </c>
      <c r="Q487" s="303">
        <v>8.4</v>
      </c>
      <c r="R487" s="401">
        <v>8.8000000000000007</v>
      </c>
      <c r="S487" s="401">
        <v>8.8000000000000007</v>
      </c>
      <c r="T487" s="401">
        <v>8.8000000000000007</v>
      </c>
      <c r="U487" s="401">
        <v>8.8000000000000007</v>
      </c>
      <c r="V487" s="401">
        <v>8.8000000000000007</v>
      </c>
      <c r="W487" s="401">
        <v>8.8000000000000007</v>
      </c>
      <c r="X487" s="401">
        <v>8.8000000000000007</v>
      </c>
      <c r="Y487" s="401">
        <v>8.8000000000000007</v>
      </c>
      <c r="Z487" s="59">
        <v>1.2000000000000002</v>
      </c>
      <c r="AA487" s="59">
        <v>1.2000000000000002</v>
      </c>
      <c r="AB487" s="59">
        <v>1.2000000000000002</v>
      </c>
      <c r="AC487" s="304">
        <v>0</v>
      </c>
      <c r="AD487" s="402">
        <v>1.1000000000000005</v>
      </c>
      <c r="AE487" s="402">
        <v>1.1000000000000005</v>
      </c>
      <c r="AF487" s="402">
        <v>1.1000000000000005</v>
      </c>
      <c r="AG487" s="402">
        <v>1.1000000000000005</v>
      </c>
      <c r="AH487" s="402">
        <v>1.1000000000000005</v>
      </c>
      <c r="AI487" s="402">
        <v>1.1000000000000005</v>
      </c>
      <c r="AJ487" s="402">
        <v>1.1000000000000005</v>
      </c>
      <c r="AK487" s="402">
        <v>1.1000000000000005</v>
      </c>
      <c r="AL487" s="255"/>
      <c r="AM487" s="254">
        <f t="shared" si="72"/>
        <v>0</v>
      </c>
      <c r="AN487" s="255"/>
      <c r="AO487" s="254">
        <f t="shared" si="73"/>
        <v>0</v>
      </c>
      <c r="AP487" s="255"/>
      <c r="AQ487" s="254">
        <f t="shared" si="74"/>
        <v>0</v>
      </c>
      <c r="AR487" s="268"/>
      <c r="AS487" s="257">
        <f t="shared" si="75"/>
        <v>0</v>
      </c>
      <c r="AT487" s="382">
        <v>3280</v>
      </c>
      <c r="AU487" s="257">
        <f t="shared" si="76"/>
        <v>3608.0000000000018</v>
      </c>
      <c r="AV487" s="268"/>
      <c r="AW487" s="257">
        <f t="shared" si="77"/>
        <v>0</v>
      </c>
      <c r="AX487" s="59"/>
      <c r="AY487" s="257">
        <f t="shared" si="78"/>
        <v>0</v>
      </c>
      <c r="AZ487" s="59"/>
      <c r="BA487" s="257">
        <f t="shared" si="79"/>
        <v>0</v>
      </c>
      <c r="BB487" s="268"/>
      <c r="BC487" s="257">
        <f t="shared" si="80"/>
        <v>0</v>
      </c>
      <c r="BD487" s="59"/>
      <c r="BE487" s="257">
        <f t="shared" si="81"/>
        <v>0</v>
      </c>
      <c r="BF487" s="59"/>
      <c r="BG487" s="257">
        <f t="shared" si="82"/>
        <v>0</v>
      </c>
      <c r="BH487" s="59"/>
      <c r="BI487" s="257">
        <f t="shared" si="83"/>
        <v>0</v>
      </c>
      <c r="BJ487" s="1" t="s">
        <v>1109</v>
      </c>
      <c r="BL487" s="1" t="s">
        <v>457</v>
      </c>
      <c r="BM487" s="378" t="s">
        <v>1110</v>
      </c>
    </row>
    <row r="488" spans="1:65" ht="15">
      <c r="A488" s="250" t="s">
        <v>951</v>
      </c>
      <c r="B488" s="59" t="s">
        <v>221</v>
      </c>
      <c r="C488" s="354" t="s">
        <v>172</v>
      </c>
      <c r="D488" s="419"/>
      <c r="E488" s="281" t="s">
        <v>332</v>
      </c>
      <c r="F488" s="422"/>
      <c r="G488" s="317">
        <v>2026</v>
      </c>
      <c r="H488" s="323" t="s">
        <v>1104</v>
      </c>
      <c r="I488" s="332" t="s">
        <v>183</v>
      </c>
      <c r="J488" s="331">
        <v>14</v>
      </c>
      <c r="K488" s="323" t="s">
        <v>1111</v>
      </c>
      <c r="L488" s="323" t="s">
        <v>177</v>
      </c>
      <c r="M488" s="303" t="s">
        <v>599</v>
      </c>
      <c r="N488" s="303">
        <v>9.4</v>
      </c>
      <c r="O488" s="303">
        <v>9.4</v>
      </c>
      <c r="P488" s="303">
        <v>9.4</v>
      </c>
      <c r="Q488" s="303">
        <v>9.4</v>
      </c>
      <c r="R488" s="401">
        <v>9.6</v>
      </c>
      <c r="S488" s="401">
        <v>9.6</v>
      </c>
      <c r="T488" s="401">
        <v>9.6</v>
      </c>
      <c r="U488" s="401">
        <v>9.6</v>
      </c>
      <c r="V488" s="401">
        <v>9.6</v>
      </c>
      <c r="W488" s="401">
        <v>9.6</v>
      </c>
      <c r="X488" s="401">
        <v>9.6</v>
      </c>
      <c r="Y488" s="401">
        <v>9.6</v>
      </c>
      <c r="Z488" s="59">
        <v>1.6500000000000004</v>
      </c>
      <c r="AA488" s="59">
        <v>1.6500000000000004</v>
      </c>
      <c r="AB488" s="59">
        <v>1.6500000000000004</v>
      </c>
      <c r="AC488" s="304">
        <v>0</v>
      </c>
      <c r="AD488" s="402">
        <v>1.3499999999999996</v>
      </c>
      <c r="AE488" s="402">
        <v>1.3499999999999996</v>
      </c>
      <c r="AF488" s="402">
        <v>1.3499999999999996</v>
      </c>
      <c r="AG488" s="402">
        <v>1.3499999999999996</v>
      </c>
      <c r="AH488" s="402">
        <v>1.3499999999999996</v>
      </c>
      <c r="AI488" s="402">
        <v>1.3499999999999996</v>
      </c>
      <c r="AJ488" s="402">
        <v>1.3499999999999996</v>
      </c>
      <c r="AK488" s="402">
        <v>1.3499999999999996</v>
      </c>
      <c r="AL488" s="255"/>
      <c r="AM488" s="254">
        <f t="shared" si="72"/>
        <v>0</v>
      </c>
      <c r="AN488" s="255"/>
      <c r="AO488" s="254">
        <f t="shared" si="73"/>
        <v>0</v>
      </c>
      <c r="AP488" s="255"/>
      <c r="AQ488" s="254">
        <f t="shared" si="74"/>
        <v>0</v>
      </c>
      <c r="AR488" s="268"/>
      <c r="AS488" s="257">
        <f t="shared" si="75"/>
        <v>0</v>
      </c>
      <c r="AT488" s="382">
        <v>320</v>
      </c>
      <c r="AU488" s="257">
        <f t="shared" si="76"/>
        <v>431.99999999999989</v>
      </c>
      <c r="AV488" s="268"/>
      <c r="AW488" s="257">
        <f t="shared" si="77"/>
        <v>0</v>
      </c>
      <c r="AX488" s="59"/>
      <c r="AY488" s="257">
        <f t="shared" si="78"/>
        <v>0</v>
      </c>
      <c r="AZ488" s="59"/>
      <c r="BA488" s="257">
        <f t="shared" si="79"/>
        <v>0</v>
      </c>
      <c r="BB488" s="268"/>
      <c r="BC488" s="257">
        <f t="shared" si="80"/>
        <v>0</v>
      </c>
      <c r="BD488" s="59"/>
      <c r="BE488" s="257">
        <f t="shared" si="81"/>
        <v>0</v>
      </c>
      <c r="BF488" s="59"/>
      <c r="BG488" s="257">
        <f t="shared" si="82"/>
        <v>0</v>
      </c>
      <c r="BH488" s="59"/>
      <c r="BI488" s="257">
        <f t="shared" si="83"/>
        <v>0</v>
      </c>
      <c r="BJ488" s="1" t="s">
        <v>1112</v>
      </c>
      <c r="BL488" s="1" t="s">
        <v>457</v>
      </c>
      <c r="BM488" s="378" t="s">
        <v>1113</v>
      </c>
    </row>
    <row r="489" spans="1:65" ht="15">
      <c r="A489" s="250" t="s">
        <v>951</v>
      </c>
      <c r="B489" s="59" t="s">
        <v>221</v>
      </c>
      <c r="C489" s="354" t="s">
        <v>172</v>
      </c>
      <c r="D489" s="419"/>
      <c r="E489" s="281" t="s">
        <v>332</v>
      </c>
      <c r="F489" s="422"/>
      <c r="G489" s="317">
        <v>2026</v>
      </c>
      <c r="H489" s="323" t="s">
        <v>1104</v>
      </c>
      <c r="I489" s="332" t="s">
        <v>183</v>
      </c>
      <c r="J489" s="331">
        <v>14</v>
      </c>
      <c r="K489" s="323" t="s">
        <v>1048</v>
      </c>
      <c r="L489" s="323" t="s">
        <v>177</v>
      </c>
      <c r="M489" s="303" t="s">
        <v>599</v>
      </c>
      <c r="N489" s="303">
        <v>9.4</v>
      </c>
      <c r="O489" s="303">
        <v>9.4</v>
      </c>
      <c r="P489" s="303">
        <v>9.4</v>
      </c>
      <c r="Q489" s="303">
        <v>9.4</v>
      </c>
      <c r="R489" s="401">
        <v>9.6</v>
      </c>
      <c r="S489" s="401">
        <v>9.6</v>
      </c>
      <c r="T489" s="401">
        <v>9.6</v>
      </c>
      <c r="U489" s="401">
        <v>9.6</v>
      </c>
      <c r="V489" s="401">
        <v>9.6</v>
      </c>
      <c r="W489" s="401">
        <v>9.6</v>
      </c>
      <c r="X489" s="401">
        <v>9.6</v>
      </c>
      <c r="Y489" s="401">
        <v>9.6</v>
      </c>
      <c r="Z489" s="59">
        <v>1.6500000000000004</v>
      </c>
      <c r="AA489" s="59">
        <v>1.6500000000000004</v>
      </c>
      <c r="AB489" s="59">
        <v>1.6500000000000004</v>
      </c>
      <c r="AC489" s="304">
        <v>0</v>
      </c>
      <c r="AD489" s="402">
        <v>1.3499999999999996</v>
      </c>
      <c r="AE489" s="402">
        <v>1.3499999999999996</v>
      </c>
      <c r="AF489" s="402">
        <v>1.3499999999999996</v>
      </c>
      <c r="AG489" s="402">
        <v>1.3499999999999996</v>
      </c>
      <c r="AH489" s="402">
        <v>1.3499999999999996</v>
      </c>
      <c r="AI489" s="402">
        <v>1.3499999999999996</v>
      </c>
      <c r="AJ489" s="402">
        <v>1.3499999999999996</v>
      </c>
      <c r="AK489" s="402">
        <v>1.3499999999999996</v>
      </c>
      <c r="AL489" s="255"/>
      <c r="AM489" s="254">
        <f t="shared" si="72"/>
        <v>0</v>
      </c>
      <c r="AN489" s="255"/>
      <c r="AO489" s="254">
        <f t="shared" si="73"/>
        <v>0</v>
      </c>
      <c r="AP489" s="255"/>
      <c r="AQ489" s="254">
        <f t="shared" si="74"/>
        <v>0</v>
      </c>
      <c r="AR489" s="268"/>
      <c r="AS489" s="257">
        <f t="shared" si="75"/>
        <v>0</v>
      </c>
      <c r="AT489" s="382"/>
      <c r="AU489" s="257">
        <f t="shared" si="76"/>
        <v>0</v>
      </c>
      <c r="AV489" s="268"/>
      <c r="AW489" s="257">
        <f t="shared" si="77"/>
        <v>0</v>
      </c>
      <c r="AX489" s="59"/>
      <c r="AY489" s="257">
        <f t="shared" si="78"/>
        <v>0</v>
      </c>
      <c r="AZ489" s="59"/>
      <c r="BA489" s="257">
        <f t="shared" si="79"/>
        <v>0</v>
      </c>
      <c r="BB489" s="268"/>
      <c r="BC489" s="257">
        <f t="shared" si="80"/>
        <v>0</v>
      </c>
      <c r="BD489" s="59"/>
      <c r="BE489" s="257">
        <f t="shared" si="81"/>
        <v>0</v>
      </c>
      <c r="BF489" s="59"/>
      <c r="BG489" s="257">
        <f t="shared" si="82"/>
        <v>0</v>
      </c>
      <c r="BH489" s="59"/>
      <c r="BI489" s="257">
        <f t="shared" si="83"/>
        <v>0</v>
      </c>
      <c r="BJ489" s="1" t="s">
        <v>1114</v>
      </c>
      <c r="BL489" s="1" t="s">
        <v>457</v>
      </c>
      <c r="BM489" s="378" t="s">
        <v>1115</v>
      </c>
    </row>
    <row r="490" spans="1:65" ht="15">
      <c r="A490" s="250" t="s">
        <v>951</v>
      </c>
      <c r="B490" s="59" t="s">
        <v>221</v>
      </c>
      <c r="C490" s="354" t="s">
        <v>172</v>
      </c>
      <c r="D490" s="419"/>
      <c r="E490" s="281" t="s">
        <v>332</v>
      </c>
      <c r="F490" s="422"/>
      <c r="G490" s="317">
        <v>2026</v>
      </c>
      <c r="H490" s="323" t="s">
        <v>1104</v>
      </c>
      <c r="I490" s="327" t="s">
        <v>190</v>
      </c>
      <c r="J490" s="331">
        <v>14</v>
      </c>
      <c r="K490" s="323" t="s">
        <v>989</v>
      </c>
      <c r="L490" s="323" t="s">
        <v>177</v>
      </c>
      <c r="M490" s="303" t="s">
        <v>599</v>
      </c>
      <c r="N490" s="303">
        <v>3.45</v>
      </c>
      <c r="O490" s="303">
        <v>3.45</v>
      </c>
      <c r="P490" s="303">
        <v>3.45</v>
      </c>
      <c r="Q490" s="303">
        <v>3.45</v>
      </c>
      <c r="R490" s="401">
        <v>4.05</v>
      </c>
      <c r="S490" s="401">
        <v>4.05</v>
      </c>
      <c r="T490" s="401">
        <v>4.05</v>
      </c>
      <c r="U490" s="401">
        <v>4.05</v>
      </c>
      <c r="V490" s="401">
        <v>4.05</v>
      </c>
      <c r="W490" s="401">
        <v>4.05</v>
      </c>
      <c r="X490" s="401">
        <v>4.05</v>
      </c>
      <c r="Y490" s="401">
        <v>4.05</v>
      </c>
      <c r="Z490" s="59">
        <v>0.35000000000000009</v>
      </c>
      <c r="AA490" s="59">
        <v>0.35000000000000009</v>
      </c>
      <c r="AB490" s="59">
        <v>0.35000000000000009</v>
      </c>
      <c r="AC490" s="304">
        <v>0</v>
      </c>
      <c r="AD490" s="402">
        <v>0.44999999999999973</v>
      </c>
      <c r="AE490" s="402">
        <v>0.44999999999999973</v>
      </c>
      <c r="AF490" s="402">
        <v>0.44999999999999973</v>
      </c>
      <c r="AG490" s="402">
        <v>0.44999999999999973</v>
      </c>
      <c r="AH490" s="402">
        <v>0.44999999999999973</v>
      </c>
      <c r="AI490" s="402">
        <v>0.44999999999999973</v>
      </c>
      <c r="AJ490" s="402">
        <v>0.44999999999999973</v>
      </c>
      <c r="AK490" s="402">
        <v>0.44999999999999973</v>
      </c>
      <c r="AL490" s="255"/>
      <c r="AM490" s="254">
        <f t="shared" si="72"/>
        <v>0</v>
      </c>
      <c r="AN490" s="255"/>
      <c r="AO490" s="254">
        <f t="shared" si="73"/>
        <v>0</v>
      </c>
      <c r="AP490" s="255"/>
      <c r="AQ490" s="254">
        <f t="shared" si="74"/>
        <v>0</v>
      </c>
      <c r="AR490" s="268">
        <v>400</v>
      </c>
      <c r="AS490" s="257">
        <f t="shared" si="75"/>
        <v>0</v>
      </c>
      <c r="AT490" s="382">
        <v>480</v>
      </c>
      <c r="AU490" s="257">
        <f t="shared" si="76"/>
        <v>215.99999999999989</v>
      </c>
      <c r="AV490" s="268"/>
      <c r="AW490" s="257">
        <f t="shared" si="77"/>
        <v>0</v>
      </c>
      <c r="AX490" s="59"/>
      <c r="AY490" s="257">
        <f t="shared" si="78"/>
        <v>0</v>
      </c>
      <c r="AZ490" s="59"/>
      <c r="BA490" s="257">
        <f t="shared" si="79"/>
        <v>0</v>
      </c>
      <c r="BB490" s="268"/>
      <c r="BC490" s="257">
        <f t="shared" si="80"/>
        <v>0</v>
      </c>
      <c r="BD490" s="59"/>
      <c r="BE490" s="257">
        <f t="shared" si="81"/>
        <v>0</v>
      </c>
      <c r="BF490" s="59"/>
      <c r="BG490" s="257">
        <f t="shared" si="82"/>
        <v>0</v>
      </c>
      <c r="BH490" s="59"/>
      <c r="BI490" s="257">
        <f t="shared" si="83"/>
        <v>0</v>
      </c>
      <c r="BJ490" s="1" t="s">
        <v>1116</v>
      </c>
      <c r="BL490" s="1" t="s">
        <v>457</v>
      </c>
      <c r="BM490" s="378" t="s">
        <v>1117</v>
      </c>
    </row>
    <row r="491" spans="1:65" ht="15">
      <c r="A491" s="250" t="s">
        <v>951</v>
      </c>
      <c r="B491" s="59" t="s">
        <v>221</v>
      </c>
      <c r="C491" s="354" t="s">
        <v>172</v>
      </c>
      <c r="D491" s="419"/>
      <c r="E491" s="281" t="s">
        <v>332</v>
      </c>
      <c r="F491" s="422"/>
      <c r="G491" s="317">
        <v>2026</v>
      </c>
      <c r="H491" s="323" t="s">
        <v>1104</v>
      </c>
      <c r="I491" s="327" t="s">
        <v>190</v>
      </c>
      <c r="J491" s="331">
        <v>14</v>
      </c>
      <c r="K491" s="323" t="s">
        <v>993</v>
      </c>
      <c r="L491" s="323" t="s">
        <v>177</v>
      </c>
      <c r="M491" s="303" t="s">
        <v>599</v>
      </c>
      <c r="N491" s="303">
        <v>3.45</v>
      </c>
      <c r="O491" s="303">
        <v>3.45</v>
      </c>
      <c r="P491" s="303">
        <v>3.45</v>
      </c>
      <c r="Q491" s="303">
        <v>3.45</v>
      </c>
      <c r="R491" s="401">
        <v>4.05</v>
      </c>
      <c r="S491" s="401">
        <v>4.05</v>
      </c>
      <c r="T491" s="401">
        <v>4.05</v>
      </c>
      <c r="U491" s="401">
        <v>4.05</v>
      </c>
      <c r="V491" s="401">
        <v>4.05</v>
      </c>
      <c r="W491" s="401">
        <v>4.05</v>
      </c>
      <c r="X491" s="401">
        <v>4.05</v>
      </c>
      <c r="Y491" s="401">
        <v>4.05</v>
      </c>
      <c r="Z491" s="59">
        <v>0.35000000000000009</v>
      </c>
      <c r="AA491" s="59">
        <v>0.35000000000000009</v>
      </c>
      <c r="AB491" s="59">
        <v>0.35000000000000009</v>
      </c>
      <c r="AC491" s="304">
        <v>0</v>
      </c>
      <c r="AD491" s="402">
        <v>0.44999999999999973</v>
      </c>
      <c r="AE491" s="402">
        <v>0.44999999999999973</v>
      </c>
      <c r="AF491" s="402">
        <v>0.44999999999999973</v>
      </c>
      <c r="AG491" s="402">
        <v>0.44999999999999973</v>
      </c>
      <c r="AH491" s="402">
        <v>0.44999999999999973</v>
      </c>
      <c r="AI491" s="402">
        <v>0.44999999999999973</v>
      </c>
      <c r="AJ491" s="402">
        <v>0.44999999999999973</v>
      </c>
      <c r="AK491" s="402">
        <v>0.44999999999999973</v>
      </c>
      <c r="AL491" s="255"/>
      <c r="AM491" s="254">
        <f t="shared" si="72"/>
        <v>0</v>
      </c>
      <c r="AN491" s="255"/>
      <c r="AO491" s="254">
        <f t="shared" si="73"/>
        <v>0</v>
      </c>
      <c r="AP491" s="255"/>
      <c r="AQ491" s="254">
        <f t="shared" si="74"/>
        <v>0</v>
      </c>
      <c r="AR491" s="268"/>
      <c r="AS491" s="257">
        <f t="shared" si="75"/>
        <v>0</v>
      </c>
      <c r="AT491" s="382"/>
      <c r="AU491" s="257">
        <f t="shared" si="76"/>
        <v>0</v>
      </c>
      <c r="AV491" s="268"/>
      <c r="AW491" s="257">
        <f t="shared" si="77"/>
        <v>0</v>
      </c>
      <c r="AX491" s="59"/>
      <c r="AY491" s="257">
        <f t="shared" si="78"/>
        <v>0</v>
      </c>
      <c r="AZ491" s="59"/>
      <c r="BA491" s="257">
        <f t="shared" si="79"/>
        <v>0</v>
      </c>
      <c r="BB491" s="268"/>
      <c r="BC491" s="257">
        <f t="shared" si="80"/>
        <v>0</v>
      </c>
      <c r="BD491" s="59"/>
      <c r="BE491" s="257">
        <f t="shared" si="81"/>
        <v>0</v>
      </c>
      <c r="BF491" s="59"/>
      <c r="BG491" s="257">
        <f t="shared" si="82"/>
        <v>0</v>
      </c>
      <c r="BH491" s="59"/>
      <c r="BI491" s="257">
        <f t="shared" si="83"/>
        <v>0</v>
      </c>
      <c r="BJ491" s="1" t="s">
        <v>1118</v>
      </c>
      <c r="BL491" s="1" t="s">
        <v>457</v>
      </c>
      <c r="BM491" s="378" t="s">
        <v>1119</v>
      </c>
    </row>
    <row r="492" spans="1:65" ht="15">
      <c r="A492" s="250" t="s">
        <v>951</v>
      </c>
      <c r="B492" s="59" t="s">
        <v>221</v>
      </c>
      <c r="C492" s="354" t="s">
        <v>172</v>
      </c>
      <c r="D492" s="419"/>
      <c r="E492" s="281" t="s">
        <v>332</v>
      </c>
      <c r="F492" s="422"/>
      <c r="G492" s="317">
        <v>2026</v>
      </c>
      <c r="H492" s="323" t="s">
        <v>1104</v>
      </c>
      <c r="I492" s="327" t="s">
        <v>190</v>
      </c>
      <c r="J492" s="331">
        <v>14</v>
      </c>
      <c r="K492" s="323" t="s">
        <v>996</v>
      </c>
      <c r="L492" s="323" t="s">
        <v>177</v>
      </c>
      <c r="M492" s="303" t="s">
        <v>599</v>
      </c>
      <c r="N492" s="303">
        <v>3.45</v>
      </c>
      <c r="O492" s="303">
        <v>3.45</v>
      </c>
      <c r="P492" s="303">
        <v>3.45</v>
      </c>
      <c r="Q492" s="303">
        <v>3.45</v>
      </c>
      <c r="R492" s="401">
        <v>4.05</v>
      </c>
      <c r="S492" s="401">
        <v>4.05</v>
      </c>
      <c r="T492" s="401">
        <v>4.05</v>
      </c>
      <c r="U492" s="401">
        <v>4.05</v>
      </c>
      <c r="V492" s="401">
        <v>4.05</v>
      </c>
      <c r="W492" s="401">
        <v>4.05</v>
      </c>
      <c r="X492" s="401">
        <v>4.05</v>
      </c>
      <c r="Y492" s="401">
        <v>4.05</v>
      </c>
      <c r="Z492" s="59">
        <v>0.35000000000000009</v>
      </c>
      <c r="AA492" s="59">
        <v>0.35000000000000009</v>
      </c>
      <c r="AB492" s="59">
        <v>0.35000000000000009</v>
      </c>
      <c r="AC492" s="304">
        <v>0</v>
      </c>
      <c r="AD492" s="402">
        <v>0.44999999999999973</v>
      </c>
      <c r="AE492" s="402">
        <v>0.44999999999999973</v>
      </c>
      <c r="AF492" s="402">
        <v>0.44999999999999973</v>
      </c>
      <c r="AG492" s="402">
        <v>0.44999999999999973</v>
      </c>
      <c r="AH492" s="402">
        <v>0.44999999999999973</v>
      </c>
      <c r="AI492" s="402">
        <v>0.44999999999999973</v>
      </c>
      <c r="AJ492" s="402">
        <v>0.44999999999999973</v>
      </c>
      <c r="AK492" s="402">
        <v>0.44999999999999973</v>
      </c>
      <c r="AL492" s="255"/>
      <c r="AM492" s="254">
        <f t="shared" si="72"/>
        <v>0</v>
      </c>
      <c r="AN492" s="255"/>
      <c r="AO492" s="254">
        <f t="shared" si="73"/>
        <v>0</v>
      </c>
      <c r="AP492" s="255">
        <v>80</v>
      </c>
      <c r="AQ492" s="254">
        <f t="shared" si="74"/>
        <v>28.000000000000007</v>
      </c>
      <c r="AR492" s="268">
        <v>280</v>
      </c>
      <c r="AS492" s="257">
        <f t="shared" si="75"/>
        <v>0</v>
      </c>
      <c r="AT492" s="382">
        <v>1440</v>
      </c>
      <c r="AU492" s="257">
        <f t="shared" si="76"/>
        <v>647.99999999999966</v>
      </c>
      <c r="AV492" s="268"/>
      <c r="AW492" s="257">
        <f t="shared" si="77"/>
        <v>0</v>
      </c>
      <c r="AX492" s="59"/>
      <c r="AY492" s="257">
        <f t="shared" si="78"/>
        <v>0</v>
      </c>
      <c r="AZ492" s="59"/>
      <c r="BA492" s="257">
        <f t="shared" si="79"/>
        <v>0</v>
      </c>
      <c r="BB492" s="268"/>
      <c r="BC492" s="257">
        <f t="shared" si="80"/>
        <v>0</v>
      </c>
      <c r="BD492" s="59"/>
      <c r="BE492" s="257">
        <f t="shared" si="81"/>
        <v>0</v>
      </c>
      <c r="BF492" s="59"/>
      <c r="BG492" s="257">
        <f t="shared" si="82"/>
        <v>0</v>
      </c>
      <c r="BH492" s="59"/>
      <c r="BI492" s="257">
        <f t="shared" si="83"/>
        <v>0</v>
      </c>
      <c r="BJ492" s="1" t="s">
        <v>1120</v>
      </c>
      <c r="BL492" s="1" t="s">
        <v>457</v>
      </c>
      <c r="BM492" s="378" t="s">
        <v>1121</v>
      </c>
    </row>
    <row r="493" spans="1:65" ht="15">
      <c r="A493" s="250" t="s">
        <v>951</v>
      </c>
      <c r="B493" s="59" t="s">
        <v>221</v>
      </c>
      <c r="C493" s="354" t="s">
        <v>172</v>
      </c>
      <c r="D493" s="419"/>
      <c r="E493" s="281" t="s">
        <v>332</v>
      </c>
      <c r="F493" s="422"/>
      <c r="G493" s="317">
        <v>2026</v>
      </c>
      <c r="H493" s="323" t="s">
        <v>1104</v>
      </c>
      <c r="I493" s="327" t="s">
        <v>190</v>
      </c>
      <c r="J493" s="331">
        <v>14</v>
      </c>
      <c r="K493" s="323" t="s">
        <v>637</v>
      </c>
      <c r="L493" s="323" t="s">
        <v>177</v>
      </c>
      <c r="M493" s="303" t="s">
        <v>599</v>
      </c>
      <c r="N493" s="303">
        <v>3.45</v>
      </c>
      <c r="O493" s="303">
        <v>3.45</v>
      </c>
      <c r="P493" s="303">
        <v>3.45</v>
      </c>
      <c r="Q493" s="303">
        <v>3.45</v>
      </c>
      <c r="R493" s="401">
        <v>4.05</v>
      </c>
      <c r="S493" s="401">
        <v>4.05</v>
      </c>
      <c r="T493" s="401">
        <v>4.05</v>
      </c>
      <c r="U493" s="401">
        <v>4.05</v>
      </c>
      <c r="V493" s="401">
        <v>4.05</v>
      </c>
      <c r="W493" s="401">
        <v>4.05</v>
      </c>
      <c r="X493" s="401">
        <v>4.05</v>
      </c>
      <c r="Y493" s="401">
        <v>4.05</v>
      </c>
      <c r="Z493" s="59">
        <v>0.35000000000000009</v>
      </c>
      <c r="AA493" s="59">
        <v>0.35000000000000009</v>
      </c>
      <c r="AB493" s="59">
        <v>0.35000000000000009</v>
      </c>
      <c r="AC493" s="304">
        <v>0</v>
      </c>
      <c r="AD493" s="402">
        <v>0.44999999999999973</v>
      </c>
      <c r="AE493" s="402">
        <v>0.44999999999999973</v>
      </c>
      <c r="AF493" s="402">
        <v>0.44999999999999973</v>
      </c>
      <c r="AG493" s="402">
        <v>0.44999999999999973</v>
      </c>
      <c r="AH493" s="402">
        <v>0.44999999999999973</v>
      </c>
      <c r="AI493" s="402">
        <v>0.44999999999999973</v>
      </c>
      <c r="AJ493" s="402">
        <v>0.44999999999999973</v>
      </c>
      <c r="AK493" s="402">
        <v>0.44999999999999973</v>
      </c>
      <c r="AL493" s="255"/>
      <c r="AM493" s="254">
        <f t="shared" si="72"/>
        <v>0</v>
      </c>
      <c r="AN493" s="255"/>
      <c r="AO493" s="254">
        <f t="shared" si="73"/>
        <v>0</v>
      </c>
      <c r="AP493" s="255"/>
      <c r="AQ493" s="254">
        <f t="shared" si="74"/>
        <v>0</v>
      </c>
      <c r="AR493" s="268">
        <v>160</v>
      </c>
      <c r="AS493" s="257">
        <f t="shared" si="75"/>
        <v>0</v>
      </c>
      <c r="AT493" s="382"/>
      <c r="AU493" s="257">
        <f t="shared" si="76"/>
        <v>0</v>
      </c>
      <c r="AV493" s="268"/>
      <c r="AW493" s="257">
        <f t="shared" si="77"/>
        <v>0</v>
      </c>
      <c r="AX493" s="59"/>
      <c r="AY493" s="257">
        <f t="shared" si="78"/>
        <v>0</v>
      </c>
      <c r="AZ493" s="59"/>
      <c r="BA493" s="257">
        <f t="shared" si="79"/>
        <v>0</v>
      </c>
      <c r="BB493" s="268"/>
      <c r="BC493" s="257">
        <f t="shared" si="80"/>
        <v>0</v>
      </c>
      <c r="BD493" s="59"/>
      <c r="BE493" s="257">
        <f t="shared" si="81"/>
        <v>0</v>
      </c>
      <c r="BF493" s="59"/>
      <c r="BG493" s="257">
        <f t="shared" si="82"/>
        <v>0</v>
      </c>
      <c r="BH493" s="59"/>
      <c r="BI493" s="257">
        <f t="shared" si="83"/>
        <v>0</v>
      </c>
      <c r="BJ493" s="1" t="s">
        <v>1122</v>
      </c>
      <c r="BL493" s="1" t="s">
        <v>457</v>
      </c>
      <c r="BM493" s="378" t="s">
        <v>1123</v>
      </c>
    </row>
    <row r="494" spans="1:65" ht="15">
      <c r="A494" s="250" t="s">
        <v>951</v>
      </c>
      <c r="B494" s="59" t="s">
        <v>221</v>
      </c>
      <c r="C494" s="354" t="s">
        <v>172</v>
      </c>
      <c r="D494" s="419"/>
      <c r="E494" s="281" t="s">
        <v>332</v>
      </c>
      <c r="F494" s="422"/>
      <c r="G494" s="317">
        <v>2026</v>
      </c>
      <c r="H494" s="323" t="s">
        <v>1104</v>
      </c>
      <c r="I494" s="327" t="s">
        <v>190</v>
      </c>
      <c r="J494" s="331">
        <v>14</v>
      </c>
      <c r="K494" s="323" t="s">
        <v>1124</v>
      </c>
      <c r="L494" s="323" t="s">
        <v>177</v>
      </c>
      <c r="M494" s="303" t="s">
        <v>599</v>
      </c>
      <c r="N494" s="303">
        <v>3.45</v>
      </c>
      <c r="O494" s="303">
        <v>3.45</v>
      </c>
      <c r="P494" s="303">
        <v>3.45</v>
      </c>
      <c r="Q494" s="303">
        <v>3.45</v>
      </c>
      <c r="R494" s="401">
        <v>4.05</v>
      </c>
      <c r="S494" s="401">
        <v>4.05</v>
      </c>
      <c r="T494" s="401">
        <v>4.05</v>
      </c>
      <c r="U494" s="401">
        <v>4.05</v>
      </c>
      <c r="V494" s="401">
        <v>4.05</v>
      </c>
      <c r="W494" s="401">
        <v>4.05</v>
      </c>
      <c r="X494" s="401">
        <v>4.05</v>
      </c>
      <c r="Y494" s="401">
        <v>4.05</v>
      </c>
      <c r="Z494" s="59">
        <v>0.35000000000000009</v>
      </c>
      <c r="AA494" s="59">
        <v>0.35000000000000009</v>
      </c>
      <c r="AB494" s="59">
        <v>0.35000000000000009</v>
      </c>
      <c r="AC494" s="304">
        <v>0</v>
      </c>
      <c r="AD494" s="402">
        <v>0.44999999999999973</v>
      </c>
      <c r="AE494" s="402">
        <v>0.44999999999999973</v>
      </c>
      <c r="AF494" s="402">
        <v>0.44999999999999973</v>
      </c>
      <c r="AG494" s="402">
        <v>0.44999999999999973</v>
      </c>
      <c r="AH494" s="402">
        <v>0.44999999999999973</v>
      </c>
      <c r="AI494" s="402">
        <v>0.44999999999999973</v>
      </c>
      <c r="AJ494" s="402">
        <v>0.44999999999999973</v>
      </c>
      <c r="AK494" s="402">
        <v>0.44999999999999973</v>
      </c>
      <c r="AL494" s="255"/>
      <c r="AM494" s="254">
        <f t="shared" si="72"/>
        <v>0</v>
      </c>
      <c r="AN494" s="255"/>
      <c r="AO494" s="254">
        <f t="shared" si="73"/>
        <v>0</v>
      </c>
      <c r="AP494" s="255"/>
      <c r="AQ494" s="254">
        <f t="shared" si="74"/>
        <v>0</v>
      </c>
      <c r="AR494" s="268"/>
      <c r="AS494" s="257">
        <f t="shared" si="75"/>
        <v>0</v>
      </c>
      <c r="AT494" s="382"/>
      <c r="AU494" s="257">
        <f t="shared" si="76"/>
        <v>0</v>
      </c>
      <c r="AV494" s="268"/>
      <c r="AW494" s="257">
        <f t="shared" si="77"/>
        <v>0</v>
      </c>
      <c r="AX494" s="59"/>
      <c r="AY494" s="257">
        <f t="shared" si="78"/>
        <v>0</v>
      </c>
      <c r="AZ494" s="59"/>
      <c r="BA494" s="257">
        <f t="shared" si="79"/>
        <v>0</v>
      </c>
      <c r="BB494" s="268"/>
      <c r="BC494" s="257">
        <f t="shared" si="80"/>
        <v>0</v>
      </c>
      <c r="BD494" s="59"/>
      <c r="BE494" s="257">
        <f t="shared" si="81"/>
        <v>0</v>
      </c>
      <c r="BF494" s="59"/>
      <c r="BG494" s="257">
        <f t="shared" si="82"/>
        <v>0</v>
      </c>
      <c r="BH494" s="59"/>
      <c r="BI494" s="257">
        <f t="shared" si="83"/>
        <v>0</v>
      </c>
      <c r="BJ494" s="1" t="s">
        <v>1125</v>
      </c>
      <c r="BL494" s="1" t="s">
        <v>457</v>
      </c>
      <c r="BM494" s="378" t="s">
        <v>1126</v>
      </c>
    </row>
    <row r="495" spans="1:65" ht="15">
      <c r="A495" s="250" t="s">
        <v>951</v>
      </c>
      <c r="B495" s="59" t="s">
        <v>221</v>
      </c>
      <c r="C495" s="354" t="s">
        <v>172</v>
      </c>
      <c r="D495" s="419"/>
      <c r="E495" s="281" t="s">
        <v>332</v>
      </c>
      <c r="F495" s="422"/>
      <c r="G495" s="317">
        <v>2026</v>
      </c>
      <c r="H495" s="323" t="s">
        <v>1104</v>
      </c>
      <c r="I495" s="327" t="s">
        <v>190</v>
      </c>
      <c r="J495" s="331">
        <v>14</v>
      </c>
      <c r="K495" s="323" t="s">
        <v>1111</v>
      </c>
      <c r="L495" s="323" t="s">
        <v>177</v>
      </c>
      <c r="M495" s="303" t="s">
        <v>599</v>
      </c>
      <c r="N495" s="303">
        <v>3.45</v>
      </c>
      <c r="O495" s="303">
        <v>3.45</v>
      </c>
      <c r="P495" s="303">
        <v>3.45</v>
      </c>
      <c r="Q495" s="303">
        <v>3.45</v>
      </c>
      <c r="R495" s="401">
        <v>4.05</v>
      </c>
      <c r="S495" s="401">
        <v>4.05</v>
      </c>
      <c r="T495" s="401">
        <v>4.05</v>
      </c>
      <c r="U495" s="401">
        <v>4.05</v>
      </c>
      <c r="V495" s="401">
        <v>4.05</v>
      </c>
      <c r="W495" s="401">
        <v>4.05</v>
      </c>
      <c r="X495" s="401">
        <v>4.05</v>
      </c>
      <c r="Y495" s="401">
        <v>4.05</v>
      </c>
      <c r="Z495" s="59">
        <v>0.35000000000000009</v>
      </c>
      <c r="AA495" s="59">
        <v>0.35000000000000009</v>
      </c>
      <c r="AB495" s="59">
        <v>0.35000000000000009</v>
      </c>
      <c r="AC495" s="304">
        <v>0</v>
      </c>
      <c r="AD495" s="402">
        <v>0.44999999999999973</v>
      </c>
      <c r="AE495" s="402">
        <v>0.44999999999999973</v>
      </c>
      <c r="AF495" s="402">
        <v>0.44999999999999973</v>
      </c>
      <c r="AG495" s="402">
        <v>0.44999999999999973</v>
      </c>
      <c r="AH495" s="402">
        <v>0.44999999999999973</v>
      </c>
      <c r="AI495" s="402">
        <v>0.44999999999999973</v>
      </c>
      <c r="AJ495" s="402">
        <v>0.44999999999999973</v>
      </c>
      <c r="AK495" s="402">
        <v>0.44999999999999973</v>
      </c>
      <c r="AL495" s="255"/>
      <c r="AM495" s="254">
        <f t="shared" si="72"/>
        <v>0</v>
      </c>
      <c r="AN495" s="255"/>
      <c r="AO495" s="254">
        <f t="shared" si="73"/>
        <v>0</v>
      </c>
      <c r="AP495" s="255"/>
      <c r="AQ495" s="254">
        <f t="shared" si="74"/>
        <v>0</v>
      </c>
      <c r="AR495" s="268"/>
      <c r="AS495" s="257">
        <f t="shared" si="75"/>
        <v>0</v>
      </c>
      <c r="AT495" s="382"/>
      <c r="AU495" s="257">
        <f t="shared" si="76"/>
        <v>0</v>
      </c>
      <c r="AV495" s="268"/>
      <c r="AW495" s="257">
        <f t="shared" si="77"/>
        <v>0</v>
      </c>
      <c r="AX495" s="59"/>
      <c r="AY495" s="257">
        <f t="shared" si="78"/>
        <v>0</v>
      </c>
      <c r="AZ495" s="59"/>
      <c r="BA495" s="257">
        <f t="shared" si="79"/>
        <v>0</v>
      </c>
      <c r="BB495" s="268"/>
      <c r="BC495" s="257">
        <f t="shared" si="80"/>
        <v>0</v>
      </c>
      <c r="BD495" s="59"/>
      <c r="BE495" s="257">
        <f t="shared" si="81"/>
        <v>0</v>
      </c>
      <c r="BF495" s="59"/>
      <c r="BG495" s="257">
        <f t="shared" si="82"/>
        <v>0</v>
      </c>
      <c r="BH495" s="59"/>
      <c r="BI495" s="257">
        <f t="shared" si="83"/>
        <v>0</v>
      </c>
      <c r="BJ495" s="1" t="s">
        <v>1127</v>
      </c>
      <c r="BL495" s="1" t="s">
        <v>457</v>
      </c>
      <c r="BM495" s="378" t="s">
        <v>1128</v>
      </c>
    </row>
    <row r="496" spans="1:65" ht="15">
      <c r="A496" s="250" t="s">
        <v>951</v>
      </c>
      <c r="B496" s="59" t="s">
        <v>221</v>
      </c>
      <c r="C496" s="354" t="s">
        <v>172</v>
      </c>
      <c r="D496" s="419"/>
      <c r="E496" s="281" t="s">
        <v>332</v>
      </c>
      <c r="F496" s="422"/>
      <c r="G496" s="317">
        <v>2026</v>
      </c>
      <c r="H496" s="323" t="s">
        <v>1104</v>
      </c>
      <c r="I496" s="327" t="s">
        <v>190</v>
      </c>
      <c r="J496" s="331">
        <v>14</v>
      </c>
      <c r="K496" s="323" t="s">
        <v>1048</v>
      </c>
      <c r="L496" s="323" t="s">
        <v>177</v>
      </c>
      <c r="M496" s="303" t="s">
        <v>599</v>
      </c>
      <c r="N496" s="303">
        <v>3.45</v>
      </c>
      <c r="O496" s="303">
        <v>3.45</v>
      </c>
      <c r="P496" s="303">
        <v>3.45</v>
      </c>
      <c r="Q496" s="303">
        <v>3.45</v>
      </c>
      <c r="R496" s="401">
        <v>4.05</v>
      </c>
      <c r="S496" s="401">
        <v>4.05</v>
      </c>
      <c r="T496" s="401">
        <v>4.05</v>
      </c>
      <c r="U496" s="401">
        <v>4.05</v>
      </c>
      <c r="V496" s="401">
        <v>4.05</v>
      </c>
      <c r="W496" s="401">
        <v>4.05</v>
      </c>
      <c r="X496" s="401">
        <v>4.05</v>
      </c>
      <c r="Y496" s="401">
        <v>4.05</v>
      </c>
      <c r="Z496" s="59">
        <v>0.35000000000000009</v>
      </c>
      <c r="AA496" s="59">
        <v>0.35000000000000009</v>
      </c>
      <c r="AB496" s="59">
        <v>0.35000000000000009</v>
      </c>
      <c r="AC496" s="304">
        <v>0</v>
      </c>
      <c r="AD496" s="402">
        <v>0.44999999999999973</v>
      </c>
      <c r="AE496" s="402">
        <v>0.44999999999999973</v>
      </c>
      <c r="AF496" s="402">
        <v>0.44999999999999973</v>
      </c>
      <c r="AG496" s="402">
        <v>0.44999999999999973</v>
      </c>
      <c r="AH496" s="402">
        <v>0.44999999999999973</v>
      </c>
      <c r="AI496" s="402">
        <v>0.44999999999999973</v>
      </c>
      <c r="AJ496" s="402">
        <v>0.44999999999999973</v>
      </c>
      <c r="AK496" s="402">
        <v>0.44999999999999973</v>
      </c>
      <c r="AL496" s="255"/>
      <c r="AM496" s="254">
        <f t="shared" si="72"/>
        <v>0</v>
      </c>
      <c r="AN496" s="255"/>
      <c r="AO496" s="254">
        <f t="shared" si="73"/>
        <v>0</v>
      </c>
      <c r="AP496" s="255"/>
      <c r="AQ496" s="254">
        <f t="shared" si="74"/>
        <v>0</v>
      </c>
      <c r="AR496" s="268"/>
      <c r="AS496" s="257">
        <f t="shared" si="75"/>
        <v>0</v>
      </c>
      <c r="AT496" s="382">
        <v>2080</v>
      </c>
      <c r="AU496" s="257">
        <f t="shared" si="76"/>
        <v>935.99999999999943</v>
      </c>
      <c r="AV496" s="268"/>
      <c r="AW496" s="257">
        <f t="shared" si="77"/>
        <v>0</v>
      </c>
      <c r="AX496" s="59"/>
      <c r="AY496" s="257">
        <f t="shared" si="78"/>
        <v>0</v>
      </c>
      <c r="AZ496" s="59"/>
      <c r="BA496" s="257">
        <f t="shared" si="79"/>
        <v>0</v>
      </c>
      <c r="BB496" s="268"/>
      <c r="BC496" s="257">
        <f t="shared" si="80"/>
        <v>0</v>
      </c>
      <c r="BD496" s="59"/>
      <c r="BE496" s="257">
        <f t="shared" si="81"/>
        <v>0</v>
      </c>
      <c r="BF496" s="59"/>
      <c r="BG496" s="257">
        <f t="shared" si="82"/>
        <v>0</v>
      </c>
      <c r="BH496" s="59"/>
      <c r="BI496" s="257">
        <f t="shared" si="83"/>
        <v>0</v>
      </c>
      <c r="BJ496" s="1" t="s">
        <v>1129</v>
      </c>
      <c r="BL496" s="1" t="s">
        <v>457</v>
      </c>
      <c r="BM496" s="378" t="s">
        <v>1130</v>
      </c>
    </row>
    <row r="497" spans="1:65" ht="15">
      <c r="A497" s="250" t="s">
        <v>951</v>
      </c>
      <c r="B497" s="59" t="s">
        <v>221</v>
      </c>
      <c r="C497" s="354" t="s">
        <v>172</v>
      </c>
      <c r="D497" s="419"/>
      <c r="E497" s="281" t="s">
        <v>332</v>
      </c>
      <c r="F497" s="422"/>
      <c r="G497" s="317">
        <v>2026</v>
      </c>
      <c r="H497" s="323" t="s">
        <v>1131</v>
      </c>
      <c r="I497" s="332" t="s">
        <v>183</v>
      </c>
      <c r="J497" s="331">
        <v>16</v>
      </c>
      <c r="K497" s="323" t="s">
        <v>989</v>
      </c>
      <c r="L497" s="323" t="s">
        <v>177</v>
      </c>
      <c r="M497" s="303" t="s">
        <v>624</v>
      </c>
      <c r="N497" s="303">
        <v>8.0299999999999994</v>
      </c>
      <c r="O497" s="303">
        <v>8.0299999999999994</v>
      </c>
      <c r="P497" s="303">
        <v>8.0299999999999994</v>
      </c>
      <c r="Q497" s="303">
        <v>8.0299999999999994</v>
      </c>
      <c r="R497" s="401">
        <v>8.6</v>
      </c>
      <c r="S497" s="401">
        <v>8.6</v>
      </c>
      <c r="T497" s="401">
        <v>8.6</v>
      </c>
      <c r="U497" s="401">
        <v>8.6</v>
      </c>
      <c r="V497" s="401">
        <v>8.6</v>
      </c>
      <c r="W497" s="401">
        <v>8.6</v>
      </c>
      <c r="X497" s="401">
        <v>8.6</v>
      </c>
      <c r="Y497" s="401">
        <v>8.6</v>
      </c>
      <c r="Z497" s="59">
        <v>0.82999999999999918</v>
      </c>
      <c r="AA497" s="59">
        <v>0.82999999999999918</v>
      </c>
      <c r="AB497" s="59">
        <v>0.82999999999999918</v>
      </c>
      <c r="AC497" s="304">
        <v>0</v>
      </c>
      <c r="AD497" s="402">
        <v>0.79999999999999982</v>
      </c>
      <c r="AE497" s="402">
        <v>0.79999999999999982</v>
      </c>
      <c r="AF497" s="402">
        <v>0.79999999999999982</v>
      </c>
      <c r="AG497" s="402">
        <v>0.79999999999999982</v>
      </c>
      <c r="AH497" s="402">
        <v>0.79999999999999982</v>
      </c>
      <c r="AI497" s="402">
        <v>0.79999999999999982</v>
      </c>
      <c r="AJ497" s="402">
        <v>0.79999999999999982</v>
      </c>
      <c r="AK497" s="402">
        <v>0.79999999999999982</v>
      </c>
      <c r="AL497" s="255"/>
      <c r="AM497" s="254">
        <f t="shared" si="72"/>
        <v>0</v>
      </c>
      <c r="AN497" s="255"/>
      <c r="AO497" s="254">
        <f t="shared" si="73"/>
        <v>0</v>
      </c>
      <c r="AP497" s="255">
        <v>640</v>
      </c>
      <c r="AQ497" s="254">
        <f t="shared" si="74"/>
        <v>531.19999999999948</v>
      </c>
      <c r="AR497" s="268">
        <v>1800</v>
      </c>
      <c r="AS497" s="257">
        <f t="shared" si="75"/>
        <v>0</v>
      </c>
      <c r="AT497" s="382">
        <v>2040</v>
      </c>
      <c r="AU497" s="257">
        <f t="shared" si="76"/>
        <v>1631.9999999999995</v>
      </c>
      <c r="AV497" s="268"/>
      <c r="AW497" s="257">
        <f t="shared" si="77"/>
        <v>0</v>
      </c>
      <c r="AX497" s="59"/>
      <c r="AY497" s="257">
        <f t="shared" si="78"/>
        <v>0</v>
      </c>
      <c r="AZ497" s="59"/>
      <c r="BA497" s="257">
        <f t="shared" si="79"/>
        <v>0</v>
      </c>
      <c r="BB497" s="268"/>
      <c r="BC497" s="257">
        <f t="shared" si="80"/>
        <v>0</v>
      </c>
      <c r="BD497" s="59"/>
      <c r="BE497" s="257">
        <f t="shared" si="81"/>
        <v>0</v>
      </c>
      <c r="BF497" s="59"/>
      <c r="BG497" s="257">
        <f t="shared" si="82"/>
        <v>0</v>
      </c>
      <c r="BH497" s="59"/>
      <c r="BI497" s="257">
        <f t="shared" si="83"/>
        <v>0</v>
      </c>
      <c r="BJ497" s="1" t="s">
        <v>1132</v>
      </c>
      <c r="BL497" s="1" t="s">
        <v>457</v>
      </c>
      <c r="BM497" s="378" t="s">
        <v>1133</v>
      </c>
    </row>
    <row r="498" spans="1:65" ht="15">
      <c r="A498" s="250" t="s">
        <v>951</v>
      </c>
      <c r="B498" s="59" t="s">
        <v>221</v>
      </c>
      <c r="C498" s="354" t="s">
        <v>172</v>
      </c>
      <c r="D498" s="419"/>
      <c r="E498" s="281" t="s">
        <v>332</v>
      </c>
      <c r="F498" s="422"/>
      <c r="G498" s="317">
        <v>2026</v>
      </c>
      <c r="H498" s="323" t="s">
        <v>1131</v>
      </c>
      <c r="I498" s="332" t="s">
        <v>183</v>
      </c>
      <c r="J498" s="331">
        <v>16</v>
      </c>
      <c r="K498" s="323" t="s">
        <v>993</v>
      </c>
      <c r="L498" s="323" t="s">
        <v>177</v>
      </c>
      <c r="M498" s="303" t="s">
        <v>624</v>
      </c>
      <c r="N498" s="303">
        <v>8.0299999999999994</v>
      </c>
      <c r="O498" s="303">
        <v>8.0299999999999994</v>
      </c>
      <c r="P498" s="303">
        <v>8.0299999999999994</v>
      </c>
      <c r="Q498" s="303">
        <v>8.0299999999999994</v>
      </c>
      <c r="R498" s="401">
        <v>8.6</v>
      </c>
      <c r="S498" s="401">
        <v>8.6</v>
      </c>
      <c r="T498" s="401">
        <v>8.6</v>
      </c>
      <c r="U498" s="401">
        <v>8.6</v>
      </c>
      <c r="V498" s="401">
        <v>8.6</v>
      </c>
      <c r="W498" s="401">
        <v>8.6</v>
      </c>
      <c r="X498" s="401">
        <v>8.6</v>
      </c>
      <c r="Y498" s="401">
        <v>8.6</v>
      </c>
      <c r="Z498" s="59">
        <v>0.82999999999999918</v>
      </c>
      <c r="AA498" s="59">
        <v>0.82999999999999918</v>
      </c>
      <c r="AB498" s="59">
        <v>0.82999999999999918</v>
      </c>
      <c r="AC498" s="304">
        <v>0</v>
      </c>
      <c r="AD498" s="402">
        <v>0.79999999999999982</v>
      </c>
      <c r="AE498" s="402">
        <v>0.79999999999999982</v>
      </c>
      <c r="AF498" s="402">
        <v>0.79999999999999982</v>
      </c>
      <c r="AG498" s="402">
        <v>0.79999999999999982</v>
      </c>
      <c r="AH498" s="402">
        <v>0.79999999999999982</v>
      </c>
      <c r="AI498" s="402">
        <v>0.79999999999999982</v>
      </c>
      <c r="AJ498" s="402">
        <v>0.79999999999999982</v>
      </c>
      <c r="AK498" s="402">
        <v>0.79999999999999982</v>
      </c>
      <c r="AL498" s="255"/>
      <c r="AM498" s="254">
        <f t="shared" si="72"/>
        <v>0</v>
      </c>
      <c r="AN498" s="255"/>
      <c r="AO498" s="254">
        <f t="shared" si="73"/>
        <v>0</v>
      </c>
      <c r="AP498" s="255">
        <v>720</v>
      </c>
      <c r="AQ498" s="254">
        <f t="shared" si="74"/>
        <v>597.59999999999945</v>
      </c>
      <c r="AR498" s="268"/>
      <c r="AS498" s="257">
        <f t="shared" si="75"/>
        <v>0</v>
      </c>
      <c r="AT498" s="382">
        <v>280</v>
      </c>
      <c r="AU498" s="257">
        <f t="shared" si="76"/>
        <v>223.99999999999994</v>
      </c>
      <c r="AV498" s="268"/>
      <c r="AW498" s="257">
        <f t="shared" si="77"/>
        <v>0</v>
      </c>
      <c r="AX498" s="59"/>
      <c r="AY498" s="257">
        <f t="shared" si="78"/>
        <v>0</v>
      </c>
      <c r="AZ498" s="59"/>
      <c r="BA498" s="257">
        <f t="shared" si="79"/>
        <v>0</v>
      </c>
      <c r="BB498" s="268"/>
      <c r="BC498" s="257">
        <f t="shared" si="80"/>
        <v>0</v>
      </c>
      <c r="BD498" s="59"/>
      <c r="BE498" s="257">
        <f t="shared" si="81"/>
        <v>0</v>
      </c>
      <c r="BF498" s="59"/>
      <c r="BG498" s="257">
        <f t="shared" si="82"/>
        <v>0</v>
      </c>
      <c r="BH498" s="59"/>
      <c r="BI498" s="257">
        <f t="shared" si="83"/>
        <v>0</v>
      </c>
      <c r="BJ498" s="1" t="s">
        <v>1134</v>
      </c>
      <c r="BL498" s="1" t="s">
        <v>457</v>
      </c>
      <c r="BM498" s="378" t="s">
        <v>1135</v>
      </c>
    </row>
    <row r="499" spans="1:65" ht="15">
      <c r="A499" s="250" t="s">
        <v>951</v>
      </c>
      <c r="B499" s="59" t="s">
        <v>221</v>
      </c>
      <c r="C499" s="354" t="s">
        <v>172</v>
      </c>
      <c r="D499" s="419"/>
      <c r="E499" s="281" t="s">
        <v>332</v>
      </c>
      <c r="F499" s="422"/>
      <c r="G499" s="317">
        <v>2026</v>
      </c>
      <c r="H499" s="323" t="s">
        <v>1131</v>
      </c>
      <c r="I499" s="332" t="s">
        <v>183</v>
      </c>
      <c r="J499" s="331">
        <v>16</v>
      </c>
      <c r="K499" s="323" t="s">
        <v>996</v>
      </c>
      <c r="L499" s="323" t="s">
        <v>177</v>
      </c>
      <c r="M499" s="303" t="s">
        <v>624</v>
      </c>
      <c r="N499" s="303">
        <v>8.0299999999999994</v>
      </c>
      <c r="O499" s="303">
        <v>8.0299999999999994</v>
      </c>
      <c r="P499" s="303">
        <v>8.0299999999999994</v>
      </c>
      <c r="Q499" s="303">
        <v>8.0299999999999994</v>
      </c>
      <c r="R499" s="401">
        <v>8.6</v>
      </c>
      <c r="S499" s="401">
        <v>8.6</v>
      </c>
      <c r="T499" s="401">
        <v>8.6</v>
      </c>
      <c r="U499" s="401">
        <v>8.6</v>
      </c>
      <c r="V499" s="401">
        <v>8.6</v>
      </c>
      <c r="W499" s="401">
        <v>8.6</v>
      </c>
      <c r="X499" s="401">
        <v>8.6</v>
      </c>
      <c r="Y499" s="401">
        <v>8.6</v>
      </c>
      <c r="Z499" s="59">
        <v>0.82999999999999918</v>
      </c>
      <c r="AA499" s="59">
        <v>0.82999999999999918</v>
      </c>
      <c r="AB499" s="59">
        <v>0.82999999999999918</v>
      </c>
      <c r="AC499" s="304">
        <v>0</v>
      </c>
      <c r="AD499" s="402">
        <v>0.79999999999999982</v>
      </c>
      <c r="AE499" s="402">
        <v>0.79999999999999982</v>
      </c>
      <c r="AF499" s="402">
        <v>0.79999999999999982</v>
      </c>
      <c r="AG499" s="402">
        <v>0.79999999999999982</v>
      </c>
      <c r="AH499" s="402">
        <v>0.79999999999999982</v>
      </c>
      <c r="AI499" s="402">
        <v>0.79999999999999982</v>
      </c>
      <c r="AJ499" s="402">
        <v>0.79999999999999982</v>
      </c>
      <c r="AK499" s="402">
        <v>0.79999999999999982</v>
      </c>
      <c r="AL499" s="255"/>
      <c r="AM499" s="254">
        <f t="shared" si="72"/>
        <v>0</v>
      </c>
      <c r="AN499" s="255"/>
      <c r="AO499" s="254">
        <f t="shared" si="73"/>
        <v>0</v>
      </c>
      <c r="AP499" s="255"/>
      <c r="AQ499" s="254">
        <f t="shared" si="74"/>
        <v>0</v>
      </c>
      <c r="AR499" s="268"/>
      <c r="AS499" s="257">
        <f t="shared" si="75"/>
        <v>0</v>
      </c>
      <c r="AT499" s="382">
        <v>1680</v>
      </c>
      <c r="AU499" s="257">
        <f t="shared" si="76"/>
        <v>1343.9999999999998</v>
      </c>
      <c r="AV499" s="268"/>
      <c r="AW499" s="257">
        <f t="shared" si="77"/>
        <v>0</v>
      </c>
      <c r="AX499" s="59"/>
      <c r="AY499" s="257">
        <f t="shared" si="78"/>
        <v>0</v>
      </c>
      <c r="AZ499" s="59"/>
      <c r="BA499" s="257">
        <f t="shared" si="79"/>
        <v>0</v>
      </c>
      <c r="BB499" s="268"/>
      <c r="BC499" s="257">
        <f t="shared" si="80"/>
        <v>0</v>
      </c>
      <c r="BD499" s="59"/>
      <c r="BE499" s="257">
        <f t="shared" si="81"/>
        <v>0</v>
      </c>
      <c r="BF499" s="59"/>
      <c r="BG499" s="257">
        <f t="shared" si="82"/>
        <v>0</v>
      </c>
      <c r="BH499" s="59"/>
      <c r="BI499" s="257">
        <f t="shared" si="83"/>
        <v>0</v>
      </c>
      <c r="BJ499" s="1" t="s">
        <v>1136</v>
      </c>
      <c r="BL499" s="1" t="s">
        <v>457</v>
      </c>
      <c r="BM499" s="378" t="s">
        <v>1137</v>
      </c>
    </row>
    <row r="500" spans="1:65" ht="15">
      <c r="A500" s="250" t="s">
        <v>951</v>
      </c>
      <c r="B500" s="59" t="s">
        <v>221</v>
      </c>
      <c r="C500" s="354" t="s">
        <v>172</v>
      </c>
      <c r="D500" s="419"/>
      <c r="E500" s="281" t="s">
        <v>332</v>
      </c>
      <c r="F500" s="422"/>
      <c r="G500" s="317">
        <v>2026</v>
      </c>
      <c r="H500" s="323" t="s">
        <v>1131</v>
      </c>
      <c r="I500" s="327" t="s">
        <v>190</v>
      </c>
      <c r="J500" s="331">
        <v>16</v>
      </c>
      <c r="K500" s="323" t="s">
        <v>989</v>
      </c>
      <c r="L500" s="323" t="s">
        <v>177</v>
      </c>
      <c r="M500" s="303" t="s">
        <v>624</v>
      </c>
      <c r="N500" s="303">
        <v>3.25</v>
      </c>
      <c r="O500" s="303">
        <v>3.25</v>
      </c>
      <c r="P500" s="303">
        <v>3.25</v>
      </c>
      <c r="Q500" s="303">
        <v>3.25</v>
      </c>
      <c r="R500" s="401">
        <v>3.9</v>
      </c>
      <c r="S500" s="401">
        <v>3.9</v>
      </c>
      <c r="T500" s="401">
        <v>3.9</v>
      </c>
      <c r="U500" s="401">
        <v>3.9</v>
      </c>
      <c r="V500" s="401">
        <v>3.9</v>
      </c>
      <c r="W500" s="401">
        <v>3.9</v>
      </c>
      <c r="X500" s="401">
        <v>3.9</v>
      </c>
      <c r="Y500" s="401">
        <v>3.9</v>
      </c>
      <c r="Z500" s="59">
        <v>0.35000000000000009</v>
      </c>
      <c r="AA500" s="59">
        <v>0.35000000000000009</v>
      </c>
      <c r="AB500" s="59">
        <v>0.35000000000000009</v>
      </c>
      <c r="AC500" s="304">
        <v>0</v>
      </c>
      <c r="AD500" s="402">
        <v>0.39999999999999991</v>
      </c>
      <c r="AE500" s="402">
        <v>0.39999999999999991</v>
      </c>
      <c r="AF500" s="402">
        <v>0.39999999999999991</v>
      </c>
      <c r="AG500" s="402">
        <v>0.39999999999999991</v>
      </c>
      <c r="AH500" s="402">
        <v>0.39999999999999991</v>
      </c>
      <c r="AI500" s="402">
        <v>0.39999999999999991</v>
      </c>
      <c r="AJ500" s="402">
        <v>0.39999999999999991</v>
      </c>
      <c r="AK500" s="402">
        <v>0.39999999999999991</v>
      </c>
      <c r="AL500" s="255"/>
      <c r="AM500" s="254">
        <f t="shared" si="72"/>
        <v>0</v>
      </c>
      <c r="AN500" s="255"/>
      <c r="AO500" s="254">
        <f t="shared" si="73"/>
        <v>0</v>
      </c>
      <c r="AP500" s="255">
        <v>14956</v>
      </c>
      <c r="AQ500" s="254">
        <f t="shared" si="74"/>
        <v>5234.6000000000013</v>
      </c>
      <c r="AR500" s="268">
        <v>30310</v>
      </c>
      <c r="AS500" s="257">
        <f t="shared" si="75"/>
        <v>0</v>
      </c>
      <c r="AT500" s="382">
        <v>32197</v>
      </c>
      <c r="AU500" s="257">
        <f t="shared" si="76"/>
        <v>12878.799999999997</v>
      </c>
      <c r="AV500" s="268"/>
      <c r="AW500" s="257">
        <f t="shared" si="77"/>
        <v>0</v>
      </c>
      <c r="AX500" s="59"/>
      <c r="AY500" s="257">
        <f t="shared" si="78"/>
        <v>0</v>
      </c>
      <c r="AZ500" s="59"/>
      <c r="BA500" s="257">
        <f t="shared" si="79"/>
        <v>0</v>
      </c>
      <c r="BB500" s="268"/>
      <c r="BC500" s="257">
        <f t="shared" si="80"/>
        <v>0</v>
      </c>
      <c r="BD500" s="59"/>
      <c r="BE500" s="257">
        <f t="shared" si="81"/>
        <v>0</v>
      </c>
      <c r="BF500" s="59"/>
      <c r="BG500" s="257">
        <f t="shared" si="82"/>
        <v>0</v>
      </c>
      <c r="BH500" s="59"/>
      <c r="BI500" s="257">
        <f t="shared" si="83"/>
        <v>0</v>
      </c>
      <c r="BJ500" s="1" t="s">
        <v>1138</v>
      </c>
      <c r="BL500" s="1" t="s">
        <v>457</v>
      </c>
      <c r="BM500" s="378" t="s">
        <v>1139</v>
      </c>
    </row>
    <row r="501" spans="1:65" ht="15">
      <c r="A501" s="250" t="s">
        <v>951</v>
      </c>
      <c r="B501" s="59" t="s">
        <v>221</v>
      </c>
      <c r="C501" s="354" t="s">
        <v>172</v>
      </c>
      <c r="D501" s="419"/>
      <c r="E501" s="281" t="s">
        <v>332</v>
      </c>
      <c r="F501" s="422"/>
      <c r="G501" s="317">
        <v>2026</v>
      </c>
      <c r="H501" s="323" t="s">
        <v>1131</v>
      </c>
      <c r="I501" s="327" t="s">
        <v>190</v>
      </c>
      <c r="J501" s="331">
        <v>16</v>
      </c>
      <c r="K501" s="323" t="s">
        <v>993</v>
      </c>
      <c r="L501" s="323" t="s">
        <v>177</v>
      </c>
      <c r="M501" s="303" t="s">
        <v>624</v>
      </c>
      <c r="N501" s="303">
        <v>3.25</v>
      </c>
      <c r="O501" s="303">
        <v>3.25</v>
      </c>
      <c r="P501" s="303">
        <v>3.25</v>
      </c>
      <c r="Q501" s="303">
        <v>3.25</v>
      </c>
      <c r="R501" s="401">
        <v>3.9</v>
      </c>
      <c r="S501" s="401">
        <v>3.9</v>
      </c>
      <c r="T501" s="401">
        <v>3.9</v>
      </c>
      <c r="U501" s="401">
        <v>3.9</v>
      </c>
      <c r="V501" s="401">
        <v>3.9</v>
      </c>
      <c r="W501" s="401">
        <v>3.9</v>
      </c>
      <c r="X501" s="401">
        <v>3.9</v>
      </c>
      <c r="Y501" s="401">
        <v>3.9</v>
      </c>
      <c r="Z501" s="59">
        <v>0.35000000000000009</v>
      </c>
      <c r="AA501" s="59">
        <v>0.35000000000000009</v>
      </c>
      <c r="AB501" s="59">
        <v>0.35000000000000009</v>
      </c>
      <c r="AC501" s="304">
        <v>0</v>
      </c>
      <c r="AD501" s="402">
        <v>0.39999999999999991</v>
      </c>
      <c r="AE501" s="402">
        <v>0.39999999999999991</v>
      </c>
      <c r="AF501" s="402">
        <v>0.39999999999999991</v>
      </c>
      <c r="AG501" s="402">
        <v>0.39999999999999991</v>
      </c>
      <c r="AH501" s="402">
        <v>0.39999999999999991</v>
      </c>
      <c r="AI501" s="402">
        <v>0.39999999999999991</v>
      </c>
      <c r="AJ501" s="402">
        <v>0.39999999999999991</v>
      </c>
      <c r="AK501" s="402">
        <v>0.39999999999999991</v>
      </c>
      <c r="AL501" s="255"/>
      <c r="AM501" s="254">
        <f t="shared" si="72"/>
        <v>0</v>
      </c>
      <c r="AN501" s="255"/>
      <c r="AO501" s="254">
        <f t="shared" si="73"/>
        <v>0</v>
      </c>
      <c r="AP501" s="255">
        <v>2279</v>
      </c>
      <c r="AQ501" s="254">
        <f t="shared" si="74"/>
        <v>797.6500000000002</v>
      </c>
      <c r="AR501" s="268">
        <v>80</v>
      </c>
      <c r="AS501" s="257">
        <f t="shared" si="75"/>
        <v>0</v>
      </c>
      <c r="AT501" s="382"/>
      <c r="AU501" s="257">
        <f t="shared" si="76"/>
        <v>0</v>
      </c>
      <c r="AV501" s="268"/>
      <c r="AW501" s="257">
        <f t="shared" si="77"/>
        <v>0</v>
      </c>
      <c r="AX501" s="59"/>
      <c r="AY501" s="257">
        <f t="shared" si="78"/>
        <v>0</v>
      </c>
      <c r="AZ501" s="59"/>
      <c r="BA501" s="257">
        <f t="shared" si="79"/>
        <v>0</v>
      </c>
      <c r="BB501" s="268"/>
      <c r="BC501" s="257">
        <f t="shared" si="80"/>
        <v>0</v>
      </c>
      <c r="BD501" s="59"/>
      <c r="BE501" s="257">
        <f t="shared" si="81"/>
        <v>0</v>
      </c>
      <c r="BF501" s="59"/>
      <c r="BG501" s="257">
        <f t="shared" si="82"/>
        <v>0</v>
      </c>
      <c r="BH501" s="59"/>
      <c r="BI501" s="257">
        <f t="shared" si="83"/>
        <v>0</v>
      </c>
      <c r="BJ501" s="1" t="s">
        <v>1140</v>
      </c>
      <c r="BL501" s="1" t="s">
        <v>457</v>
      </c>
      <c r="BM501" s="378" t="s">
        <v>1141</v>
      </c>
    </row>
    <row r="502" spans="1:65" ht="15">
      <c r="A502" s="250" t="s">
        <v>951</v>
      </c>
      <c r="B502" s="59" t="s">
        <v>221</v>
      </c>
      <c r="C502" s="354" t="s">
        <v>172</v>
      </c>
      <c r="D502" s="419"/>
      <c r="E502" s="281" t="s">
        <v>332</v>
      </c>
      <c r="F502" s="422"/>
      <c r="G502" s="317">
        <v>2026</v>
      </c>
      <c r="H502" s="323" t="s">
        <v>1131</v>
      </c>
      <c r="I502" s="327" t="s">
        <v>190</v>
      </c>
      <c r="J502" s="331">
        <v>16</v>
      </c>
      <c r="K502" s="323" t="s">
        <v>996</v>
      </c>
      <c r="L502" s="323" t="s">
        <v>177</v>
      </c>
      <c r="M502" s="303" t="s">
        <v>624</v>
      </c>
      <c r="N502" s="303">
        <v>3.25</v>
      </c>
      <c r="O502" s="303">
        <v>3.25</v>
      </c>
      <c r="P502" s="303">
        <v>3.25</v>
      </c>
      <c r="Q502" s="303">
        <v>3.25</v>
      </c>
      <c r="R502" s="401">
        <v>3.9</v>
      </c>
      <c r="S502" s="401">
        <v>3.9</v>
      </c>
      <c r="T502" s="401">
        <v>3.9</v>
      </c>
      <c r="U502" s="401">
        <v>3.9</v>
      </c>
      <c r="V502" s="401">
        <v>3.9</v>
      </c>
      <c r="W502" s="401">
        <v>3.9</v>
      </c>
      <c r="X502" s="401">
        <v>3.9</v>
      </c>
      <c r="Y502" s="401">
        <v>3.9</v>
      </c>
      <c r="Z502" s="59">
        <v>0.35000000000000009</v>
      </c>
      <c r="AA502" s="59">
        <v>0.35000000000000009</v>
      </c>
      <c r="AB502" s="59">
        <v>0.35000000000000009</v>
      </c>
      <c r="AC502" s="304">
        <v>0</v>
      </c>
      <c r="AD502" s="402">
        <v>0.39999999999999991</v>
      </c>
      <c r="AE502" s="402">
        <v>0.39999999999999991</v>
      </c>
      <c r="AF502" s="402">
        <v>0.39999999999999991</v>
      </c>
      <c r="AG502" s="402">
        <v>0.39999999999999991</v>
      </c>
      <c r="AH502" s="402">
        <v>0.39999999999999991</v>
      </c>
      <c r="AI502" s="402">
        <v>0.39999999999999991</v>
      </c>
      <c r="AJ502" s="402">
        <v>0.39999999999999991</v>
      </c>
      <c r="AK502" s="402">
        <v>0.39999999999999991</v>
      </c>
      <c r="AL502" s="255"/>
      <c r="AM502" s="254">
        <f t="shared" si="72"/>
        <v>0</v>
      </c>
      <c r="AN502" s="255"/>
      <c r="AO502" s="254">
        <f t="shared" si="73"/>
        <v>0</v>
      </c>
      <c r="AP502" s="255">
        <v>1080</v>
      </c>
      <c r="AQ502" s="254">
        <f t="shared" si="74"/>
        <v>378.00000000000011</v>
      </c>
      <c r="AR502" s="268">
        <v>2919</v>
      </c>
      <c r="AS502" s="257">
        <f t="shared" si="75"/>
        <v>0</v>
      </c>
      <c r="AT502" s="382">
        <v>20300</v>
      </c>
      <c r="AU502" s="257">
        <f t="shared" si="76"/>
        <v>8119.9999999999982</v>
      </c>
      <c r="AV502" s="268"/>
      <c r="AW502" s="257">
        <f t="shared" si="77"/>
        <v>0</v>
      </c>
      <c r="AX502" s="59"/>
      <c r="AY502" s="257">
        <f t="shared" si="78"/>
        <v>0</v>
      </c>
      <c r="AZ502" s="59"/>
      <c r="BA502" s="257">
        <f t="shared" si="79"/>
        <v>0</v>
      </c>
      <c r="BB502" s="268"/>
      <c r="BC502" s="257">
        <f t="shared" si="80"/>
        <v>0</v>
      </c>
      <c r="BD502" s="59"/>
      <c r="BE502" s="257">
        <f t="shared" si="81"/>
        <v>0</v>
      </c>
      <c r="BF502" s="59"/>
      <c r="BG502" s="257">
        <f t="shared" si="82"/>
        <v>0</v>
      </c>
      <c r="BH502" s="59"/>
      <c r="BI502" s="257">
        <f t="shared" si="83"/>
        <v>0</v>
      </c>
      <c r="BJ502" s="1" t="s">
        <v>1142</v>
      </c>
      <c r="BL502" s="1" t="s">
        <v>457</v>
      </c>
      <c r="BM502" s="378" t="s">
        <v>1143</v>
      </c>
    </row>
    <row r="503" spans="1:65" ht="15">
      <c r="A503" s="250" t="s">
        <v>951</v>
      </c>
      <c r="B503" s="59" t="s">
        <v>221</v>
      </c>
      <c r="C503" s="354" t="s">
        <v>172</v>
      </c>
      <c r="D503" s="419"/>
      <c r="E503" s="281" t="s">
        <v>332</v>
      </c>
      <c r="F503" s="422"/>
      <c r="G503" s="317">
        <v>2026</v>
      </c>
      <c r="H503" s="323" t="s">
        <v>1131</v>
      </c>
      <c r="I503" s="332" t="s">
        <v>183</v>
      </c>
      <c r="J503" s="331">
        <v>16</v>
      </c>
      <c r="K503" s="323" t="s">
        <v>1048</v>
      </c>
      <c r="L503" s="323" t="s">
        <v>177</v>
      </c>
      <c r="M503" s="303" t="s">
        <v>624</v>
      </c>
      <c r="N503" s="303">
        <v>9.0299999999999994</v>
      </c>
      <c r="O503" s="303">
        <v>9.0299999999999994</v>
      </c>
      <c r="P503" s="303">
        <v>9.0299999999999994</v>
      </c>
      <c r="Q503" s="303">
        <v>9.0299999999999994</v>
      </c>
      <c r="R503" s="401">
        <v>9.6</v>
      </c>
      <c r="S503" s="401">
        <v>9.6</v>
      </c>
      <c r="T503" s="401">
        <v>9.6</v>
      </c>
      <c r="U503" s="401">
        <v>9.6</v>
      </c>
      <c r="V503" s="401">
        <v>9.6</v>
      </c>
      <c r="W503" s="401">
        <v>9.6</v>
      </c>
      <c r="X503" s="401">
        <v>9.6</v>
      </c>
      <c r="Y503" s="401">
        <v>9.6</v>
      </c>
      <c r="Z503" s="59">
        <v>1.4299999999999997</v>
      </c>
      <c r="AA503" s="59">
        <v>1.4299999999999997</v>
      </c>
      <c r="AB503" s="59">
        <v>1.4299999999999997</v>
      </c>
      <c r="AC503" s="304">
        <v>0</v>
      </c>
      <c r="AD503" s="402">
        <v>1.4000000000000004</v>
      </c>
      <c r="AE503" s="402">
        <v>1.4000000000000004</v>
      </c>
      <c r="AF503" s="402">
        <v>1.4000000000000004</v>
      </c>
      <c r="AG503" s="402">
        <v>1.4000000000000004</v>
      </c>
      <c r="AH503" s="402">
        <v>1.4000000000000004</v>
      </c>
      <c r="AI503" s="402">
        <v>1.4000000000000004</v>
      </c>
      <c r="AJ503" s="402">
        <v>1.4000000000000004</v>
      </c>
      <c r="AK503" s="402">
        <v>1.4000000000000004</v>
      </c>
      <c r="AL503" s="255"/>
      <c r="AM503" s="254">
        <f t="shared" si="72"/>
        <v>0</v>
      </c>
      <c r="AN503" s="255"/>
      <c r="AO503" s="254">
        <f t="shared" si="73"/>
        <v>0</v>
      </c>
      <c r="AP503" s="255"/>
      <c r="AQ503" s="254">
        <f t="shared" si="74"/>
        <v>0</v>
      </c>
      <c r="AR503" s="268"/>
      <c r="AS503" s="257">
        <f t="shared" si="75"/>
        <v>0</v>
      </c>
      <c r="AT503" s="382"/>
      <c r="AU503" s="257">
        <f t="shared" si="76"/>
        <v>0</v>
      </c>
      <c r="AV503" s="268"/>
      <c r="AW503" s="257">
        <f t="shared" si="77"/>
        <v>0</v>
      </c>
      <c r="AX503" s="59"/>
      <c r="AY503" s="257">
        <f t="shared" si="78"/>
        <v>0</v>
      </c>
      <c r="AZ503" s="59"/>
      <c r="BA503" s="257">
        <f t="shared" si="79"/>
        <v>0</v>
      </c>
      <c r="BB503" s="268"/>
      <c r="BC503" s="257">
        <f t="shared" si="80"/>
        <v>0</v>
      </c>
      <c r="BD503" s="59"/>
      <c r="BE503" s="257">
        <f t="shared" si="81"/>
        <v>0</v>
      </c>
      <c r="BF503" s="59"/>
      <c r="BG503" s="257">
        <f t="shared" si="82"/>
        <v>0</v>
      </c>
      <c r="BH503" s="59"/>
      <c r="BI503" s="257">
        <f t="shared" si="83"/>
        <v>0</v>
      </c>
      <c r="BJ503" s="1" t="s">
        <v>1144</v>
      </c>
      <c r="BL503" s="1" t="s">
        <v>457</v>
      </c>
      <c r="BM503" s="378" t="s">
        <v>1145</v>
      </c>
    </row>
    <row r="504" spans="1:65" ht="15">
      <c r="A504" s="250" t="s">
        <v>951</v>
      </c>
      <c r="B504" s="59" t="s">
        <v>221</v>
      </c>
      <c r="C504" s="354" t="s">
        <v>172</v>
      </c>
      <c r="D504" s="419"/>
      <c r="E504" s="281" t="s">
        <v>332</v>
      </c>
      <c r="F504" s="422"/>
      <c r="G504" s="317">
        <v>2026</v>
      </c>
      <c r="H504" s="323" t="s">
        <v>1131</v>
      </c>
      <c r="I504" s="327" t="s">
        <v>190</v>
      </c>
      <c r="J504" s="331">
        <v>16</v>
      </c>
      <c r="K504" s="323" t="s">
        <v>515</v>
      </c>
      <c r="L504" s="323" t="s">
        <v>177</v>
      </c>
      <c r="M504" s="303" t="s">
        <v>624</v>
      </c>
      <c r="N504" s="303">
        <v>3.25</v>
      </c>
      <c r="O504" s="303">
        <v>3.25</v>
      </c>
      <c r="P504" s="303">
        <v>3.25</v>
      </c>
      <c r="Q504" s="303">
        <v>3.25</v>
      </c>
      <c r="R504" s="401">
        <v>3.9</v>
      </c>
      <c r="S504" s="401">
        <v>3.9</v>
      </c>
      <c r="T504" s="401">
        <v>3.9</v>
      </c>
      <c r="U504" s="401">
        <v>3.9</v>
      </c>
      <c r="V504" s="401">
        <v>3.9</v>
      </c>
      <c r="W504" s="401">
        <v>3.9</v>
      </c>
      <c r="X504" s="401">
        <v>3.9</v>
      </c>
      <c r="Y504" s="401">
        <v>3.9</v>
      </c>
      <c r="Z504" s="59">
        <v>0.35000000000000009</v>
      </c>
      <c r="AA504" s="59">
        <v>0.35000000000000009</v>
      </c>
      <c r="AB504" s="59">
        <v>0.35000000000000009</v>
      </c>
      <c r="AC504" s="304">
        <v>0</v>
      </c>
      <c r="AD504" s="402">
        <v>0.39999999999999991</v>
      </c>
      <c r="AE504" s="402">
        <v>0.39999999999999991</v>
      </c>
      <c r="AF504" s="402">
        <v>0.39999999999999991</v>
      </c>
      <c r="AG504" s="402">
        <v>0.39999999999999991</v>
      </c>
      <c r="AH504" s="402">
        <v>0.39999999999999991</v>
      </c>
      <c r="AI504" s="402">
        <v>0.39999999999999991</v>
      </c>
      <c r="AJ504" s="402">
        <v>0.39999999999999991</v>
      </c>
      <c r="AK504" s="402">
        <v>0.39999999999999991</v>
      </c>
      <c r="AL504" s="255"/>
      <c r="AM504" s="254">
        <f t="shared" si="72"/>
        <v>0</v>
      </c>
      <c r="AN504" s="255"/>
      <c r="AO504" s="254">
        <f t="shared" si="73"/>
        <v>0</v>
      </c>
      <c r="AP504" s="255"/>
      <c r="AQ504" s="254">
        <f t="shared" si="74"/>
        <v>0</v>
      </c>
      <c r="AR504" s="268"/>
      <c r="AS504" s="257">
        <f t="shared" si="75"/>
        <v>0</v>
      </c>
      <c r="AT504" s="382">
        <v>880</v>
      </c>
      <c r="AU504" s="257">
        <f t="shared" si="76"/>
        <v>351.99999999999994</v>
      </c>
      <c r="AV504" s="268"/>
      <c r="AW504" s="257">
        <f t="shared" si="77"/>
        <v>0</v>
      </c>
      <c r="AX504" s="59"/>
      <c r="AY504" s="257">
        <f t="shared" si="78"/>
        <v>0</v>
      </c>
      <c r="AZ504" s="59"/>
      <c r="BA504" s="257">
        <f t="shared" si="79"/>
        <v>0</v>
      </c>
      <c r="BB504" s="268"/>
      <c r="BC504" s="257">
        <f t="shared" si="80"/>
        <v>0</v>
      </c>
      <c r="BD504" s="59"/>
      <c r="BE504" s="257">
        <f t="shared" si="81"/>
        <v>0</v>
      </c>
      <c r="BF504" s="59"/>
      <c r="BG504" s="257">
        <f t="shared" si="82"/>
        <v>0</v>
      </c>
      <c r="BH504" s="59"/>
      <c r="BI504" s="257">
        <f t="shared" si="83"/>
        <v>0</v>
      </c>
      <c r="BJ504" s="1" t="s">
        <v>1146</v>
      </c>
      <c r="BL504" s="1" t="s">
        <v>457</v>
      </c>
      <c r="BM504" s="378" t="s">
        <v>1147</v>
      </c>
    </row>
    <row r="505" spans="1:65" ht="15">
      <c r="A505" s="250" t="s">
        <v>951</v>
      </c>
      <c r="B505" s="59" t="s">
        <v>221</v>
      </c>
      <c r="C505" s="354" t="s">
        <v>172</v>
      </c>
      <c r="D505" s="419"/>
      <c r="E505" s="281" t="s">
        <v>332</v>
      </c>
      <c r="F505" s="422"/>
      <c r="G505" s="317">
        <v>2026</v>
      </c>
      <c r="H505" s="323" t="s">
        <v>1131</v>
      </c>
      <c r="I505" s="332" t="s">
        <v>183</v>
      </c>
      <c r="J505" s="331">
        <v>16</v>
      </c>
      <c r="K505" s="323" t="s">
        <v>1148</v>
      </c>
      <c r="L505" s="323" t="s">
        <v>177</v>
      </c>
      <c r="M505" s="303" t="s">
        <v>624</v>
      </c>
      <c r="N505" s="303">
        <v>9.0299999999999994</v>
      </c>
      <c r="O505" s="303">
        <v>9.0299999999999994</v>
      </c>
      <c r="P505" s="303">
        <v>9.0299999999999994</v>
      </c>
      <c r="Q505" s="303">
        <v>9.0299999999999994</v>
      </c>
      <c r="R505" s="401">
        <v>9.6</v>
      </c>
      <c r="S505" s="401">
        <v>9.6</v>
      </c>
      <c r="T505" s="401">
        <v>9.6</v>
      </c>
      <c r="U505" s="401">
        <v>9.6</v>
      </c>
      <c r="V505" s="401">
        <v>9.6</v>
      </c>
      <c r="W505" s="401">
        <v>9.6</v>
      </c>
      <c r="X505" s="401">
        <v>9.6</v>
      </c>
      <c r="Y505" s="401">
        <v>9.6</v>
      </c>
      <c r="Z505" s="59">
        <v>1.4299999999999997</v>
      </c>
      <c r="AA505" s="59">
        <v>1.4299999999999997</v>
      </c>
      <c r="AB505" s="59">
        <v>1.4299999999999997</v>
      </c>
      <c r="AC505" s="304">
        <v>0</v>
      </c>
      <c r="AD505" s="402">
        <v>1.4000000000000004</v>
      </c>
      <c r="AE505" s="402">
        <v>1.4000000000000004</v>
      </c>
      <c r="AF505" s="402">
        <v>1.4000000000000004</v>
      </c>
      <c r="AG505" s="402">
        <v>1.4000000000000004</v>
      </c>
      <c r="AH505" s="402">
        <v>1.4000000000000004</v>
      </c>
      <c r="AI505" s="402">
        <v>1.4000000000000004</v>
      </c>
      <c r="AJ505" s="402">
        <v>1.4000000000000004</v>
      </c>
      <c r="AK505" s="402">
        <v>1.4000000000000004</v>
      </c>
      <c r="AL505" s="255"/>
      <c r="AM505" s="254">
        <f t="shared" si="72"/>
        <v>0</v>
      </c>
      <c r="AN505" s="255"/>
      <c r="AO505" s="254">
        <f t="shared" si="73"/>
        <v>0</v>
      </c>
      <c r="AP505" s="255">
        <v>40</v>
      </c>
      <c r="AQ505" s="254">
        <f t="shared" si="74"/>
        <v>57.199999999999989</v>
      </c>
      <c r="AR505" s="268">
        <v>40</v>
      </c>
      <c r="AS505" s="257">
        <f t="shared" si="75"/>
        <v>0</v>
      </c>
      <c r="AT505" s="382"/>
      <c r="AU505" s="257">
        <f t="shared" si="76"/>
        <v>0</v>
      </c>
      <c r="AV505" s="268"/>
      <c r="AW505" s="257">
        <f t="shared" si="77"/>
        <v>0</v>
      </c>
      <c r="AX505" s="59"/>
      <c r="AY505" s="257">
        <f t="shared" si="78"/>
        <v>0</v>
      </c>
      <c r="AZ505" s="59"/>
      <c r="BA505" s="257">
        <f t="shared" si="79"/>
        <v>0</v>
      </c>
      <c r="BB505" s="268"/>
      <c r="BC505" s="257">
        <f t="shared" si="80"/>
        <v>0</v>
      </c>
      <c r="BD505" s="59"/>
      <c r="BE505" s="257">
        <f t="shared" si="81"/>
        <v>0</v>
      </c>
      <c r="BF505" s="59"/>
      <c r="BG505" s="257">
        <f t="shared" si="82"/>
        <v>0</v>
      </c>
      <c r="BH505" s="59"/>
      <c r="BI505" s="257">
        <f t="shared" si="83"/>
        <v>0</v>
      </c>
      <c r="BJ505" s="1" t="s">
        <v>1149</v>
      </c>
      <c r="BL505" s="1" t="s">
        <v>457</v>
      </c>
      <c r="BM505" s="378" t="s">
        <v>1150</v>
      </c>
    </row>
    <row r="506" spans="1:65" ht="15">
      <c r="A506" s="250" t="s">
        <v>951</v>
      </c>
      <c r="B506" s="59" t="s">
        <v>221</v>
      </c>
      <c r="C506" s="354" t="s">
        <v>172</v>
      </c>
      <c r="D506" s="419"/>
      <c r="E506" s="281" t="s">
        <v>332</v>
      </c>
      <c r="F506" s="422"/>
      <c r="G506" s="317">
        <v>2026</v>
      </c>
      <c r="H506" s="323" t="s">
        <v>1131</v>
      </c>
      <c r="I506" s="327" t="s">
        <v>190</v>
      </c>
      <c r="J506" s="331">
        <v>16</v>
      </c>
      <c r="K506" s="323" t="s">
        <v>1148</v>
      </c>
      <c r="L506" s="323" t="s">
        <v>177</v>
      </c>
      <c r="M506" s="303" t="s">
        <v>624</v>
      </c>
      <c r="N506" s="303">
        <v>3.25</v>
      </c>
      <c r="O506" s="303">
        <v>3.25</v>
      </c>
      <c r="P506" s="303">
        <v>3.25</v>
      </c>
      <c r="Q506" s="303">
        <v>3.25</v>
      </c>
      <c r="R506" s="401">
        <v>3.9</v>
      </c>
      <c r="S506" s="401">
        <v>3.9</v>
      </c>
      <c r="T506" s="401">
        <v>3.9</v>
      </c>
      <c r="U506" s="401">
        <v>3.9</v>
      </c>
      <c r="V506" s="401">
        <v>3.9</v>
      </c>
      <c r="W506" s="401">
        <v>3.9</v>
      </c>
      <c r="X506" s="401">
        <v>3.9</v>
      </c>
      <c r="Y506" s="401">
        <v>3.9</v>
      </c>
      <c r="Z506" s="59">
        <v>0.35000000000000009</v>
      </c>
      <c r="AA506" s="59">
        <v>0.35000000000000009</v>
      </c>
      <c r="AB506" s="59">
        <v>0.35000000000000009</v>
      </c>
      <c r="AC506" s="304">
        <v>0</v>
      </c>
      <c r="AD506" s="402">
        <v>0.39999999999999991</v>
      </c>
      <c r="AE506" s="402">
        <v>0.39999999999999991</v>
      </c>
      <c r="AF506" s="402">
        <v>0.39999999999999991</v>
      </c>
      <c r="AG506" s="402">
        <v>0.39999999999999991</v>
      </c>
      <c r="AH506" s="402">
        <v>0.39999999999999991</v>
      </c>
      <c r="AI506" s="402">
        <v>0.39999999999999991</v>
      </c>
      <c r="AJ506" s="402">
        <v>0.39999999999999991</v>
      </c>
      <c r="AK506" s="402">
        <v>0.39999999999999991</v>
      </c>
      <c r="AL506" s="255"/>
      <c r="AM506" s="254">
        <f t="shared" si="72"/>
        <v>0</v>
      </c>
      <c r="AN506" s="255"/>
      <c r="AO506" s="254">
        <f t="shared" si="73"/>
        <v>0</v>
      </c>
      <c r="AP506" s="255">
        <v>40</v>
      </c>
      <c r="AQ506" s="254">
        <f t="shared" si="74"/>
        <v>14.000000000000004</v>
      </c>
      <c r="AR506" s="268"/>
      <c r="AS506" s="257">
        <f t="shared" si="75"/>
        <v>0</v>
      </c>
      <c r="AT506" s="382">
        <v>560</v>
      </c>
      <c r="AU506" s="257">
        <f t="shared" si="76"/>
        <v>223.99999999999994</v>
      </c>
      <c r="AV506" s="268"/>
      <c r="AW506" s="257">
        <f t="shared" si="77"/>
        <v>0</v>
      </c>
      <c r="AX506" s="59"/>
      <c r="AY506" s="257">
        <f t="shared" si="78"/>
        <v>0</v>
      </c>
      <c r="AZ506" s="59"/>
      <c r="BA506" s="257">
        <f t="shared" si="79"/>
        <v>0</v>
      </c>
      <c r="BB506" s="268"/>
      <c r="BC506" s="257">
        <f t="shared" si="80"/>
        <v>0</v>
      </c>
      <c r="BD506" s="59"/>
      <c r="BE506" s="257">
        <f t="shared" si="81"/>
        <v>0</v>
      </c>
      <c r="BF506" s="59"/>
      <c r="BG506" s="257">
        <f t="shared" si="82"/>
        <v>0</v>
      </c>
      <c r="BH506" s="59"/>
      <c r="BI506" s="257">
        <f t="shared" si="83"/>
        <v>0</v>
      </c>
      <c r="BJ506" s="1" t="s">
        <v>1151</v>
      </c>
      <c r="BL506" s="1" t="s">
        <v>457</v>
      </c>
      <c r="BM506" s="378" t="s">
        <v>1152</v>
      </c>
    </row>
    <row r="507" spans="1:65" ht="15">
      <c r="A507" s="250" t="s">
        <v>951</v>
      </c>
      <c r="B507" s="59" t="s">
        <v>221</v>
      </c>
      <c r="C507" s="354" t="s">
        <v>172</v>
      </c>
      <c r="D507" s="419"/>
      <c r="E507" s="281" t="s">
        <v>332</v>
      </c>
      <c r="F507" s="422"/>
      <c r="G507" s="317">
        <v>2026</v>
      </c>
      <c r="H507" s="323" t="s">
        <v>1131</v>
      </c>
      <c r="I507" s="327" t="s">
        <v>190</v>
      </c>
      <c r="J507" s="331">
        <v>16</v>
      </c>
      <c r="K507" s="323" t="s">
        <v>1048</v>
      </c>
      <c r="L507" s="323" t="s">
        <v>177</v>
      </c>
      <c r="M507" s="303" t="s">
        <v>624</v>
      </c>
      <c r="N507" s="303">
        <v>3.25</v>
      </c>
      <c r="O507" s="303">
        <v>3.25</v>
      </c>
      <c r="P507" s="303">
        <v>3.25</v>
      </c>
      <c r="Q507" s="303">
        <v>3.25</v>
      </c>
      <c r="R507" s="401">
        <v>3.9</v>
      </c>
      <c r="S507" s="401">
        <v>3.9</v>
      </c>
      <c r="T507" s="401">
        <v>3.9</v>
      </c>
      <c r="U507" s="401">
        <v>3.9</v>
      </c>
      <c r="V507" s="401">
        <v>3.9</v>
      </c>
      <c r="W507" s="401">
        <v>3.9</v>
      </c>
      <c r="X507" s="401">
        <v>3.9</v>
      </c>
      <c r="Y507" s="401">
        <v>3.9</v>
      </c>
      <c r="Z507" s="59">
        <v>0.35000000000000009</v>
      </c>
      <c r="AA507" s="59">
        <v>0.35000000000000009</v>
      </c>
      <c r="AB507" s="59">
        <v>0.35000000000000009</v>
      </c>
      <c r="AC507" s="304">
        <v>0</v>
      </c>
      <c r="AD507" s="402">
        <v>0.39999999999999991</v>
      </c>
      <c r="AE507" s="402">
        <v>0.39999999999999991</v>
      </c>
      <c r="AF507" s="402">
        <v>0.39999999999999991</v>
      </c>
      <c r="AG507" s="402">
        <v>0.39999999999999991</v>
      </c>
      <c r="AH507" s="402">
        <v>0.39999999999999991</v>
      </c>
      <c r="AI507" s="402">
        <v>0.39999999999999991</v>
      </c>
      <c r="AJ507" s="402">
        <v>0.39999999999999991</v>
      </c>
      <c r="AK507" s="402">
        <v>0.39999999999999991</v>
      </c>
      <c r="AL507" s="255"/>
      <c r="AM507" s="254">
        <f t="shared" si="72"/>
        <v>0</v>
      </c>
      <c r="AN507" s="255"/>
      <c r="AO507" s="254">
        <f t="shared" si="73"/>
        <v>0</v>
      </c>
      <c r="AP507" s="255"/>
      <c r="AQ507" s="254">
        <f t="shared" si="74"/>
        <v>0</v>
      </c>
      <c r="AR507" s="268"/>
      <c r="AS507" s="257">
        <f t="shared" si="75"/>
        <v>0</v>
      </c>
      <c r="AT507" s="382"/>
      <c r="AU507" s="257">
        <f t="shared" si="76"/>
        <v>0</v>
      </c>
      <c r="AV507" s="268"/>
      <c r="AW507" s="257">
        <f t="shared" si="77"/>
        <v>0</v>
      </c>
      <c r="AX507" s="59"/>
      <c r="AY507" s="257">
        <f t="shared" si="78"/>
        <v>0</v>
      </c>
      <c r="AZ507" s="59"/>
      <c r="BA507" s="257">
        <f t="shared" si="79"/>
        <v>0</v>
      </c>
      <c r="BB507" s="268"/>
      <c r="BC507" s="257">
        <f t="shared" si="80"/>
        <v>0</v>
      </c>
      <c r="BD507" s="59"/>
      <c r="BE507" s="257">
        <f t="shared" si="81"/>
        <v>0</v>
      </c>
      <c r="BF507" s="59"/>
      <c r="BG507" s="257">
        <f t="shared" si="82"/>
        <v>0</v>
      </c>
      <c r="BH507" s="59"/>
      <c r="BI507" s="257">
        <f t="shared" si="83"/>
        <v>0</v>
      </c>
      <c r="BJ507" s="1" t="s">
        <v>1153</v>
      </c>
      <c r="BL507" s="1" t="s">
        <v>457</v>
      </c>
      <c r="BM507" s="378" t="s">
        <v>1154</v>
      </c>
    </row>
    <row r="508" spans="1:65" ht="15">
      <c r="A508" s="250" t="s">
        <v>951</v>
      </c>
      <c r="B508" s="59" t="s">
        <v>221</v>
      </c>
      <c r="C508" s="354" t="s">
        <v>172</v>
      </c>
      <c r="D508" s="419"/>
      <c r="E508" s="281" t="s">
        <v>332</v>
      </c>
      <c r="F508" s="422"/>
      <c r="G508" s="317">
        <v>2026</v>
      </c>
      <c r="H508" s="323" t="s">
        <v>1131</v>
      </c>
      <c r="I508" s="332" t="s">
        <v>183</v>
      </c>
      <c r="J508" s="331">
        <v>16</v>
      </c>
      <c r="K508" s="323" t="s">
        <v>989</v>
      </c>
      <c r="L508" s="323" t="s">
        <v>177</v>
      </c>
      <c r="M508" s="303" t="s">
        <v>598</v>
      </c>
      <c r="N508" s="303">
        <v>8.0299999999999994</v>
      </c>
      <c r="O508" s="303">
        <v>8.0299999999999994</v>
      </c>
      <c r="P508" s="303">
        <v>8.0299999999999994</v>
      </c>
      <c r="Q508" s="303">
        <v>8.0299999999999994</v>
      </c>
      <c r="R508" s="401">
        <v>8.6</v>
      </c>
      <c r="S508" s="401">
        <v>8.6</v>
      </c>
      <c r="T508" s="401">
        <v>8.6</v>
      </c>
      <c r="U508" s="401">
        <v>8.6</v>
      </c>
      <c r="V508" s="401">
        <v>8.6</v>
      </c>
      <c r="W508" s="401">
        <v>8.6</v>
      </c>
      <c r="X508" s="401">
        <v>8.6</v>
      </c>
      <c r="Y508" s="401">
        <v>8.6</v>
      </c>
      <c r="Z508" s="59">
        <v>0.82999999999999918</v>
      </c>
      <c r="AA508" s="59">
        <v>0.82999999999999918</v>
      </c>
      <c r="AB508" s="59">
        <v>0.82999999999999918</v>
      </c>
      <c r="AC508" s="304">
        <v>0</v>
      </c>
      <c r="AD508" s="402">
        <v>0.79999999999999982</v>
      </c>
      <c r="AE508" s="402">
        <v>0.79999999999999982</v>
      </c>
      <c r="AF508" s="402">
        <v>0.79999999999999982</v>
      </c>
      <c r="AG508" s="402">
        <v>0.79999999999999982</v>
      </c>
      <c r="AH508" s="402">
        <v>0.79999999999999982</v>
      </c>
      <c r="AI508" s="402">
        <v>0.79999999999999982</v>
      </c>
      <c r="AJ508" s="402">
        <v>0.79999999999999982</v>
      </c>
      <c r="AK508" s="402">
        <v>0.79999999999999982</v>
      </c>
      <c r="AL508" s="255"/>
      <c r="AM508" s="254">
        <f t="shared" si="72"/>
        <v>0</v>
      </c>
      <c r="AN508" s="255"/>
      <c r="AO508" s="254">
        <f t="shared" si="73"/>
        <v>0</v>
      </c>
      <c r="AP508" s="255"/>
      <c r="AQ508" s="254">
        <f t="shared" si="74"/>
        <v>0</v>
      </c>
      <c r="AR508" s="268">
        <v>240</v>
      </c>
      <c r="AS508" s="257">
        <f t="shared" si="75"/>
        <v>0</v>
      </c>
      <c r="AT508" s="382">
        <v>480</v>
      </c>
      <c r="AU508" s="257">
        <f t="shared" si="76"/>
        <v>383.99999999999989</v>
      </c>
      <c r="AV508" s="268"/>
      <c r="AW508" s="257">
        <f t="shared" si="77"/>
        <v>0</v>
      </c>
      <c r="AX508" s="59"/>
      <c r="AY508" s="257">
        <f t="shared" si="78"/>
        <v>0</v>
      </c>
      <c r="AZ508" s="59"/>
      <c r="BA508" s="257">
        <f t="shared" si="79"/>
        <v>0</v>
      </c>
      <c r="BB508" s="268"/>
      <c r="BC508" s="257">
        <f t="shared" si="80"/>
        <v>0</v>
      </c>
      <c r="BD508" s="59"/>
      <c r="BE508" s="257">
        <f t="shared" si="81"/>
        <v>0</v>
      </c>
      <c r="BF508" s="59"/>
      <c r="BG508" s="257">
        <f t="shared" si="82"/>
        <v>0</v>
      </c>
      <c r="BH508" s="59"/>
      <c r="BI508" s="257">
        <f t="shared" si="83"/>
        <v>0</v>
      </c>
      <c r="BJ508" s="1" t="s">
        <v>1132</v>
      </c>
      <c r="BL508" s="1" t="s">
        <v>457</v>
      </c>
      <c r="BM508" s="378" t="s">
        <v>1133</v>
      </c>
    </row>
    <row r="509" spans="1:65" ht="15">
      <c r="A509" s="250" t="s">
        <v>951</v>
      </c>
      <c r="B509" s="59" t="s">
        <v>221</v>
      </c>
      <c r="C509" s="354" t="s">
        <v>172</v>
      </c>
      <c r="D509" s="419"/>
      <c r="E509" s="281" t="s">
        <v>332</v>
      </c>
      <c r="F509" s="422"/>
      <c r="G509" s="317">
        <v>2026</v>
      </c>
      <c r="H509" s="323" t="s">
        <v>1131</v>
      </c>
      <c r="I509" s="332" t="s">
        <v>183</v>
      </c>
      <c r="J509" s="331">
        <v>16</v>
      </c>
      <c r="K509" s="323" t="s">
        <v>993</v>
      </c>
      <c r="L509" s="323" t="s">
        <v>177</v>
      </c>
      <c r="M509" s="303" t="s">
        <v>598</v>
      </c>
      <c r="N509" s="303">
        <v>8.0299999999999994</v>
      </c>
      <c r="O509" s="303">
        <v>8.0299999999999994</v>
      </c>
      <c r="P509" s="303">
        <v>8.0299999999999994</v>
      </c>
      <c r="Q509" s="303">
        <v>8.0299999999999994</v>
      </c>
      <c r="R509" s="401">
        <v>8.6</v>
      </c>
      <c r="S509" s="401">
        <v>8.6</v>
      </c>
      <c r="T509" s="401">
        <v>8.6</v>
      </c>
      <c r="U509" s="401">
        <v>8.6</v>
      </c>
      <c r="V509" s="401">
        <v>8.6</v>
      </c>
      <c r="W509" s="401">
        <v>8.6</v>
      </c>
      <c r="X509" s="401">
        <v>8.6</v>
      </c>
      <c r="Y509" s="401">
        <v>8.6</v>
      </c>
      <c r="Z509" s="59">
        <v>0.82999999999999918</v>
      </c>
      <c r="AA509" s="59">
        <v>0.82999999999999918</v>
      </c>
      <c r="AB509" s="59">
        <v>0.82999999999999918</v>
      </c>
      <c r="AC509" s="304">
        <v>0</v>
      </c>
      <c r="AD509" s="402">
        <v>0.79999999999999982</v>
      </c>
      <c r="AE509" s="402">
        <v>0.79999999999999982</v>
      </c>
      <c r="AF509" s="402">
        <v>0.79999999999999982</v>
      </c>
      <c r="AG509" s="402">
        <v>0.79999999999999982</v>
      </c>
      <c r="AH509" s="402">
        <v>0.79999999999999982</v>
      </c>
      <c r="AI509" s="402">
        <v>0.79999999999999982</v>
      </c>
      <c r="AJ509" s="402">
        <v>0.79999999999999982</v>
      </c>
      <c r="AK509" s="402">
        <v>0.79999999999999982</v>
      </c>
      <c r="AL509" s="255"/>
      <c r="AM509" s="254">
        <f t="shared" si="72"/>
        <v>0</v>
      </c>
      <c r="AN509" s="255"/>
      <c r="AO509" s="254">
        <f t="shared" si="73"/>
        <v>0</v>
      </c>
      <c r="AP509" s="255">
        <v>80</v>
      </c>
      <c r="AQ509" s="254">
        <f t="shared" si="74"/>
        <v>66.399999999999935</v>
      </c>
      <c r="AR509" s="268">
        <v>80</v>
      </c>
      <c r="AS509" s="257">
        <f t="shared" si="75"/>
        <v>0</v>
      </c>
      <c r="AT509" s="382">
        <v>3319</v>
      </c>
      <c r="AU509" s="257">
        <f t="shared" si="76"/>
        <v>2655.1999999999994</v>
      </c>
      <c r="AV509" s="268"/>
      <c r="AW509" s="257">
        <f t="shared" si="77"/>
        <v>0</v>
      </c>
      <c r="AX509" s="59"/>
      <c r="AY509" s="257">
        <f t="shared" si="78"/>
        <v>0</v>
      </c>
      <c r="AZ509" s="59"/>
      <c r="BA509" s="257">
        <f t="shared" si="79"/>
        <v>0</v>
      </c>
      <c r="BB509" s="268"/>
      <c r="BC509" s="257">
        <f t="shared" si="80"/>
        <v>0</v>
      </c>
      <c r="BD509" s="59"/>
      <c r="BE509" s="257">
        <f t="shared" si="81"/>
        <v>0</v>
      </c>
      <c r="BF509" s="59"/>
      <c r="BG509" s="257">
        <f t="shared" si="82"/>
        <v>0</v>
      </c>
      <c r="BH509" s="59"/>
      <c r="BI509" s="257">
        <f t="shared" si="83"/>
        <v>0</v>
      </c>
      <c r="BJ509" s="1" t="s">
        <v>1134</v>
      </c>
      <c r="BL509" s="1" t="s">
        <v>457</v>
      </c>
      <c r="BM509" s="378" t="s">
        <v>1135</v>
      </c>
    </row>
    <row r="510" spans="1:65" ht="15">
      <c r="A510" s="250" t="s">
        <v>951</v>
      </c>
      <c r="B510" s="59" t="s">
        <v>221</v>
      </c>
      <c r="C510" s="354" t="s">
        <v>172</v>
      </c>
      <c r="D510" s="419"/>
      <c r="E510" s="281" t="s">
        <v>332</v>
      </c>
      <c r="F510" s="422"/>
      <c r="G510" s="317">
        <v>2026</v>
      </c>
      <c r="H510" s="323" t="s">
        <v>1131</v>
      </c>
      <c r="I510" s="332" t="s">
        <v>183</v>
      </c>
      <c r="J510" s="331">
        <v>16</v>
      </c>
      <c r="K510" s="323" t="s">
        <v>996</v>
      </c>
      <c r="L510" s="323" t="s">
        <v>177</v>
      </c>
      <c r="M510" s="303" t="s">
        <v>598</v>
      </c>
      <c r="N510" s="303">
        <v>8.0299999999999994</v>
      </c>
      <c r="O510" s="303">
        <v>8.0299999999999994</v>
      </c>
      <c r="P510" s="303">
        <v>8.0299999999999994</v>
      </c>
      <c r="Q510" s="303">
        <v>8.0299999999999994</v>
      </c>
      <c r="R510" s="401">
        <v>8.6</v>
      </c>
      <c r="S510" s="401">
        <v>8.6</v>
      </c>
      <c r="T510" s="401">
        <v>8.6</v>
      </c>
      <c r="U510" s="401">
        <v>8.6</v>
      </c>
      <c r="V510" s="401">
        <v>8.6</v>
      </c>
      <c r="W510" s="401">
        <v>8.6</v>
      </c>
      <c r="X510" s="401">
        <v>8.6</v>
      </c>
      <c r="Y510" s="401">
        <v>8.6</v>
      </c>
      <c r="Z510" s="59">
        <v>0.82999999999999918</v>
      </c>
      <c r="AA510" s="59">
        <v>0.82999999999999918</v>
      </c>
      <c r="AB510" s="59">
        <v>0.82999999999999918</v>
      </c>
      <c r="AC510" s="304">
        <v>0</v>
      </c>
      <c r="AD510" s="402">
        <v>0.79999999999999982</v>
      </c>
      <c r="AE510" s="402">
        <v>0.79999999999999982</v>
      </c>
      <c r="AF510" s="402">
        <v>0.79999999999999982</v>
      </c>
      <c r="AG510" s="402">
        <v>0.79999999999999982</v>
      </c>
      <c r="AH510" s="402">
        <v>0.79999999999999982</v>
      </c>
      <c r="AI510" s="402">
        <v>0.79999999999999982</v>
      </c>
      <c r="AJ510" s="402">
        <v>0.79999999999999982</v>
      </c>
      <c r="AK510" s="402">
        <v>0.79999999999999982</v>
      </c>
      <c r="AL510" s="255"/>
      <c r="AM510" s="254">
        <f t="shared" si="72"/>
        <v>0</v>
      </c>
      <c r="AN510" s="255"/>
      <c r="AO510" s="254">
        <f t="shared" si="73"/>
        <v>0</v>
      </c>
      <c r="AP510" s="255">
        <v>80</v>
      </c>
      <c r="AQ510" s="254">
        <f t="shared" si="74"/>
        <v>66.399999999999935</v>
      </c>
      <c r="AR510" s="268">
        <v>5414</v>
      </c>
      <c r="AS510" s="257">
        <f t="shared" si="75"/>
        <v>0</v>
      </c>
      <c r="AT510" s="382">
        <v>5720</v>
      </c>
      <c r="AU510" s="257">
        <f t="shared" si="76"/>
        <v>4575.9999999999991</v>
      </c>
      <c r="AV510" s="268"/>
      <c r="AW510" s="257">
        <f t="shared" si="77"/>
        <v>0</v>
      </c>
      <c r="AX510" s="59"/>
      <c r="AY510" s="257">
        <f t="shared" si="78"/>
        <v>0</v>
      </c>
      <c r="AZ510" s="59"/>
      <c r="BA510" s="257">
        <f t="shared" si="79"/>
        <v>0</v>
      </c>
      <c r="BB510" s="268"/>
      <c r="BC510" s="257">
        <f t="shared" si="80"/>
        <v>0</v>
      </c>
      <c r="BD510" s="59"/>
      <c r="BE510" s="257">
        <f t="shared" si="81"/>
        <v>0</v>
      </c>
      <c r="BF510" s="59"/>
      <c r="BG510" s="257">
        <f t="shared" si="82"/>
        <v>0</v>
      </c>
      <c r="BH510" s="59"/>
      <c r="BI510" s="257">
        <f t="shared" si="83"/>
        <v>0</v>
      </c>
      <c r="BJ510" s="1" t="s">
        <v>1136</v>
      </c>
      <c r="BL510" s="1" t="s">
        <v>457</v>
      </c>
      <c r="BM510" s="378" t="s">
        <v>1137</v>
      </c>
    </row>
    <row r="511" spans="1:65" ht="15">
      <c r="A511" s="250" t="s">
        <v>951</v>
      </c>
      <c r="B511" s="59" t="s">
        <v>221</v>
      </c>
      <c r="C511" s="354" t="s">
        <v>172</v>
      </c>
      <c r="D511" s="419"/>
      <c r="E511" s="281" t="s">
        <v>332</v>
      </c>
      <c r="F511" s="422"/>
      <c r="G511" s="317">
        <v>2026</v>
      </c>
      <c r="H511" s="323" t="s">
        <v>1131</v>
      </c>
      <c r="I511" s="327" t="s">
        <v>190</v>
      </c>
      <c r="J511" s="331">
        <v>16</v>
      </c>
      <c r="K511" s="323" t="s">
        <v>989</v>
      </c>
      <c r="L511" s="323" t="s">
        <v>177</v>
      </c>
      <c r="M511" s="303" t="s">
        <v>598</v>
      </c>
      <c r="N511" s="303">
        <v>3.25</v>
      </c>
      <c r="O511" s="303">
        <v>3.25</v>
      </c>
      <c r="P511" s="303">
        <v>3.25</v>
      </c>
      <c r="Q511" s="303">
        <v>3.25</v>
      </c>
      <c r="R511" s="401">
        <v>3.9</v>
      </c>
      <c r="S511" s="401">
        <v>3.9</v>
      </c>
      <c r="T511" s="401">
        <v>3.9</v>
      </c>
      <c r="U511" s="401">
        <v>3.9</v>
      </c>
      <c r="V511" s="401">
        <v>3.9</v>
      </c>
      <c r="W511" s="401">
        <v>3.9</v>
      </c>
      <c r="X511" s="401">
        <v>3.9</v>
      </c>
      <c r="Y511" s="401">
        <v>3.9</v>
      </c>
      <c r="Z511" s="59">
        <v>0.35000000000000009</v>
      </c>
      <c r="AA511" s="59">
        <v>0.35000000000000009</v>
      </c>
      <c r="AB511" s="59">
        <v>0.35000000000000009</v>
      </c>
      <c r="AC511" s="304">
        <v>0</v>
      </c>
      <c r="AD511" s="402">
        <v>0.39999999999999991</v>
      </c>
      <c r="AE511" s="402">
        <v>0.39999999999999991</v>
      </c>
      <c r="AF511" s="402">
        <v>0.39999999999999991</v>
      </c>
      <c r="AG511" s="402">
        <v>0.39999999999999991</v>
      </c>
      <c r="AH511" s="402">
        <v>0.39999999999999991</v>
      </c>
      <c r="AI511" s="402">
        <v>0.39999999999999991</v>
      </c>
      <c r="AJ511" s="402">
        <v>0.39999999999999991</v>
      </c>
      <c r="AK511" s="402">
        <v>0.39999999999999991</v>
      </c>
      <c r="AL511" s="255"/>
      <c r="AM511" s="254">
        <f t="shared" si="72"/>
        <v>0</v>
      </c>
      <c r="AN511" s="255"/>
      <c r="AO511" s="254">
        <f t="shared" si="73"/>
        <v>0</v>
      </c>
      <c r="AP511" s="255">
        <v>280</v>
      </c>
      <c r="AQ511" s="254">
        <f t="shared" si="74"/>
        <v>98.000000000000028</v>
      </c>
      <c r="AR511" s="268">
        <v>7200</v>
      </c>
      <c r="AS511" s="257">
        <f t="shared" si="75"/>
        <v>0</v>
      </c>
      <c r="AT511" s="382">
        <v>14190</v>
      </c>
      <c r="AU511" s="257">
        <f t="shared" si="76"/>
        <v>5675.9999999999991</v>
      </c>
      <c r="AV511" s="268"/>
      <c r="AW511" s="257">
        <f t="shared" si="77"/>
        <v>0</v>
      </c>
      <c r="AX511" s="59"/>
      <c r="AY511" s="257">
        <f t="shared" si="78"/>
        <v>0</v>
      </c>
      <c r="AZ511" s="59"/>
      <c r="BA511" s="257">
        <f t="shared" si="79"/>
        <v>0</v>
      </c>
      <c r="BB511" s="268"/>
      <c r="BC511" s="257">
        <f t="shared" si="80"/>
        <v>0</v>
      </c>
      <c r="BD511" s="59"/>
      <c r="BE511" s="257">
        <f t="shared" si="81"/>
        <v>0</v>
      </c>
      <c r="BF511" s="59"/>
      <c r="BG511" s="257">
        <f t="shared" si="82"/>
        <v>0</v>
      </c>
      <c r="BH511" s="59"/>
      <c r="BI511" s="257">
        <f t="shared" si="83"/>
        <v>0</v>
      </c>
      <c r="BJ511" s="1" t="s">
        <v>1138</v>
      </c>
      <c r="BL511" s="1" t="s">
        <v>457</v>
      </c>
      <c r="BM511" s="378" t="s">
        <v>1139</v>
      </c>
    </row>
    <row r="512" spans="1:65" ht="15">
      <c r="A512" s="250" t="s">
        <v>951</v>
      </c>
      <c r="B512" s="59" t="s">
        <v>221</v>
      </c>
      <c r="C512" s="354" t="s">
        <v>172</v>
      </c>
      <c r="D512" s="419"/>
      <c r="E512" s="281" t="s">
        <v>332</v>
      </c>
      <c r="F512" s="422"/>
      <c r="G512" s="317">
        <v>2026</v>
      </c>
      <c r="H512" s="323" t="s">
        <v>1131</v>
      </c>
      <c r="I512" s="327" t="s">
        <v>190</v>
      </c>
      <c r="J512" s="331">
        <v>16</v>
      </c>
      <c r="K512" s="323" t="s">
        <v>993</v>
      </c>
      <c r="L512" s="323" t="s">
        <v>177</v>
      </c>
      <c r="M512" s="303" t="s">
        <v>598</v>
      </c>
      <c r="N512" s="303">
        <v>3.25</v>
      </c>
      <c r="O512" s="303">
        <v>3.25</v>
      </c>
      <c r="P512" s="303">
        <v>3.25</v>
      </c>
      <c r="Q512" s="303">
        <v>3.25</v>
      </c>
      <c r="R512" s="401">
        <v>3.9</v>
      </c>
      <c r="S512" s="401">
        <v>3.9</v>
      </c>
      <c r="T512" s="401">
        <v>3.9</v>
      </c>
      <c r="U512" s="401">
        <v>3.9</v>
      </c>
      <c r="V512" s="401">
        <v>3.9</v>
      </c>
      <c r="W512" s="401">
        <v>3.9</v>
      </c>
      <c r="X512" s="401">
        <v>3.9</v>
      </c>
      <c r="Y512" s="401">
        <v>3.9</v>
      </c>
      <c r="Z512" s="59">
        <v>0.35000000000000009</v>
      </c>
      <c r="AA512" s="59">
        <v>0.35000000000000009</v>
      </c>
      <c r="AB512" s="59">
        <v>0.35000000000000009</v>
      </c>
      <c r="AC512" s="304">
        <v>0</v>
      </c>
      <c r="AD512" s="402">
        <v>0.39999999999999991</v>
      </c>
      <c r="AE512" s="402">
        <v>0.39999999999999991</v>
      </c>
      <c r="AF512" s="402">
        <v>0.39999999999999991</v>
      </c>
      <c r="AG512" s="402">
        <v>0.39999999999999991</v>
      </c>
      <c r="AH512" s="402">
        <v>0.39999999999999991</v>
      </c>
      <c r="AI512" s="402">
        <v>0.39999999999999991</v>
      </c>
      <c r="AJ512" s="402">
        <v>0.39999999999999991</v>
      </c>
      <c r="AK512" s="402">
        <v>0.39999999999999991</v>
      </c>
      <c r="AL512" s="255"/>
      <c r="AM512" s="254">
        <f t="shared" si="72"/>
        <v>0</v>
      </c>
      <c r="AN512" s="255"/>
      <c r="AO512" s="254">
        <f t="shared" si="73"/>
        <v>0</v>
      </c>
      <c r="AP512" s="255"/>
      <c r="AQ512" s="254">
        <f t="shared" si="74"/>
        <v>0</v>
      </c>
      <c r="AR512" s="268"/>
      <c r="AS512" s="257">
        <f t="shared" si="75"/>
        <v>0</v>
      </c>
      <c r="AT512" s="382"/>
      <c r="AU512" s="257">
        <f t="shared" si="76"/>
        <v>0</v>
      </c>
      <c r="AV512" s="268"/>
      <c r="AW512" s="257">
        <f t="shared" si="77"/>
        <v>0</v>
      </c>
      <c r="AX512" s="59"/>
      <c r="AY512" s="257">
        <f t="shared" si="78"/>
        <v>0</v>
      </c>
      <c r="AZ512" s="59"/>
      <c r="BA512" s="257">
        <f t="shared" si="79"/>
        <v>0</v>
      </c>
      <c r="BB512" s="268"/>
      <c r="BC512" s="257">
        <f t="shared" si="80"/>
        <v>0</v>
      </c>
      <c r="BD512" s="59"/>
      <c r="BE512" s="257">
        <f t="shared" si="81"/>
        <v>0</v>
      </c>
      <c r="BF512" s="59"/>
      <c r="BG512" s="257">
        <f t="shared" si="82"/>
        <v>0</v>
      </c>
      <c r="BH512" s="59"/>
      <c r="BI512" s="257">
        <f t="shared" si="83"/>
        <v>0</v>
      </c>
      <c r="BJ512" s="1" t="s">
        <v>1140</v>
      </c>
      <c r="BL512" s="1" t="s">
        <v>457</v>
      </c>
      <c r="BM512" s="378" t="s">
        <v>1141</v>
      </c>
    </row>
    <row r="513" spans="1:65" ht="15">
      <c r="A513" s="250" t="s">
        <v>951</v>
      </c>
      <c r="B513" s="59" t="s">
        <v>221</v>
      </c>
      <c r="C513" s="354" t="s">
        <v>172</v>
      </c>
      <c r="D513" s="419"/>
      <c r="E513" s="281" t="s">
        <v>332</v>
      </c>
      <c r="F513" s="422"/>
      <c r="G513" s="317">
        <v>2026</v>
      </c>
      <c r="H513" s="323" t="s">
        <v>1131</v>
      </c>
      <c r="I513" s="327" t="s">
        <v>190</v>
      </c>
      <c r="J513" s="331">
        <v>16</v>
      </c>
      <c r="K513" s="323" t="s">
        <v>996</v>
      </c>
      <c r="L513" s="323" t="s">
        <v>177</v>
      </c>
      <c r="M513" s="303" t="s">
        <v>598</v>
      </c>
      <c r="N513" s="303">
        <v>3.25</v>
      </c>
      <c r="O513" s="303">
        <v>3.25</v>
      </c>
      <c r="P513" s="303">
        <v>3.25</v>
      </c>
      <c r="Q513" s="303">
        <v>3.25</v>
      </c>
      <c r="R513" s="401">
        <v>3.9</v>
      </c>
      <c r="S513" s="401">
        <v>3.9</v>
      </c>
      <c r="T513" s="401">
        <v>3.9</v>
      </c>
      <c r="U513" s="401">
        <v>3.9</v>
      </c>
      <c r="V513" s="401">
        <v>3.9</v>
      </c>
      <c r="W513" s="401">
        <v>3.9</v>
      </c>
      <c r="X513" s="401">
        <v>3.9</v>
      </c>
      <c r="Y513" s="401">
        <v>3.9</v>
      </c>
      <c r="Z513" s="59">
        <v>0.35000000000000009</v>
      </c>
      <c r="AA513" s="59">
        <v>0.35000000000000009</v>
      </c>
      <c r="AB513" s="59">
        <v>0.35000000000000009</v>
      </c>
      <c r="AC513" s="304">
        <v>0</v>
      </c>
      <c r="AD513" s="402">
        <v>0.39999999999999991</v>
      </c>
      <c r="AE513" s="402">
        <v>0.39999999999999991</v>
      </c>
      <c r="AF513" s="402">
        <v>0.39999999999999991</v>
      </c>
      <c r="AG513" s="402">
        <v>0.39999999999999991</v>
      </c>
      <c r="AH513" s="402">
        <v>0.39999999999999991</v>
      </c>
      <c r="AI513" s="402">
        <v>0.39999999999999991</v>
      </c>
      <c r="AJ513" s="402">
        <v>0.39999999999999991</v>
      </c>
      <c r="AK513" s="402">
        <v>0.39999999999999991</v>
      </c>
      <c r="AL513" s="255"/>
      <c r="AM513" s="254">
        <f t="shared" si="72"/>
        <v>0</v>
      </c>
      <c r="AN513" s="255"/>
      <c r="AO513" s="254">
        <f t="shared" si="73"/>
        <v>0</v>
      </c>
      <c r="AP513" s="255">
        <v>40</v>
      </c>
      <c r="AQ513" s="254">
        <f t="shared" si="74"/>
        <v>14.000000000000004</v>
      </c>
      <c r="AR513" s="268">
        <v>80</v>
      </c>
      <c r="AS513" s="257">
        <f t="shared" si="75"/>
        <v>0</v>
      </c>
      <c r="AT513" s="382">
        <v>2040</v>
      </c>
      <c r="AU513" s="257">
        <f t="shared" si="76"/>
        <v>815.99999999999977</v>
      </c>
      <c r="AV513" s="268"/>
      <c r="AW513" s="257">
        <f t="shared" si="77"/>
        <v>0</v>
      </c>
      <c r="AX513" s="59"/>
      <c r="AY513" s="257">
        <f t="shared" si="78"/>
        <v>0</v>
      </c>
      <c r="AZ513" s="59"/>
      <c r="BA513" s="257">
        <f t="shared" si="79"/>
        <v>0</v>
      </c>
      <c r="BB513" s="268"/>
      <c r="BC513" s="257">
        <f t="shared" si="80"/>
        <v>0</v>
      </c>
      <c r="BD513" s="59"/>
      <c r="BE513" s="257">
        <f t="shared" si="81"/>
        <v>0</v>
      </c>
      <c r="BF513" s="59"/>
      <c r="BG513" s="257">
        <f t="shared" si="82"/>
        <v>0</v>
      </c>
      <c r="BH513" s="59"/>
      <c r="BI513" s="257">
        <f t="shared" si="83"/>
        <v>0</v>
      </c>
      <c r="BJ513" s="1" t="s">
        <v>1142</v>
      </c>
      <c r="BL513" s="1" t="s">
        <v>457</v>
      </c>
      <c r="BM513" s="378" t="s">
        <v>1143</v>
      </c>
    </row>
    <row r="514" spans="1:65" ht="15">
      <c r="A514" s="250" t="s">
        <v>951</v>
      </c>
      <c r="B514" s="59" t="s">
        <v>221</v>
      </c>
      <c r="C514" s="354" t="s">
        <v>172</v>
      </c>
      <c r="D514" s="419"/>
      <c r="E514" s="281" t="s">
        <v>332</v>
      </c>
      <c r="F514" s="422"/>
      <c r="G514" s="317">
        <v>2026</v>
      </c>
      <c r="H514" s="323" t="s">
        <v>1131</v>
      </c>
      <c r="I514" s="332" t="s">
        <v>183</v>
      </c>
      <c r="J514" s="331">
        <v>16</v>
      </c>
      <c r="K514" s="323" t="s">
        <v>1048</v>
      </c>
      <c r="L514" s="323" t="s">
        <v>177</v>
      </c>
      <c r="M514" s="303" t="s">
        <v>598</v>
      </c>
      <c r="N514" s="303">
        <v>9.0299999999999994</v>
      </c>
      <c r="O514" s="303">
        <v>9.0299999999999994</v>
      </c>
      <c r="P514" s="303">
        <v>9.0299999999999994</v>
      </c>
      <c r="Q514" s="303">
        <v>9.0299999999999994</v>
      </c>
      <c r="R514" s="401">
        <v>9.6</v>
      </c>
      <c r="S514" s="401">
        <v>9.6</v>
      </c>
      <c r="T514" s="401">
        <v>9.6</v>
      </c>
      <c r="U514" s="401">
        <v>9.6</v>
      </c>
      <c r="V514" s="401">
        <v>9.6</v>
      </c>
      <c r="W514" s="401">
        <v>9.6</v>
      </c>
      <c r="X514" s="401">
        <v>9.6</v>
      </c>
      <c r="Y514" s="401">
        <v>9.6</v>
      </c>
      <c r="Z514" s="59">
        <v>1.4299999999999997</v>
      </c>
      <c r="AA514" s="59">
        <v>1.4299999999999997</v>
      </c>
      <c r="AB514" s="59">
        <v>1.4299999999999997</v>
      </c>
      <c r="AC514" s="304">
        <v>0</v>
      </c>
      <c r="AD514" s="402">
        <v>1.4000000000000004</v>
      </c>
      <c r="AE514" s="402">
        <v>1.4000000000000004</v>
      </c>
      <c r="AF514" s="402">
        <v>1.4000000000000004</v>
      </c>
      <c r="AG514" s="402">
        <v>1.4000000000000004</v>
      </c>
      <c r="AH514" s="402">
        <v>1.4000000000000004</v>
      </c>
      <c r="AI514" s="402">
        <v>1.4000000000000004</v>
      </c>
      <c r="AJ514" s="402">
        <v>1.4000000000000004</v>
      </c>
      <c r="AK514" s="402">
        <v>1.4000000000000004</v>
      </c>
      <c r="AL514" s="255"/>
      <c r="AM514" s="254">
        <f t="shared" si="72"/>
        <v>0</v>
      </c>
      <c r="AN514" s="255"/>
      <c r="AO514" s="254">
        <f t="shared" si="73"/>
        <v>0</v>
      </c>
      <c r="AP514" s="255"/>
      <c r="AQ514" s="254">
        <f t="shared" si="74"/>
        <v>0</v>
      </c>
      <c r="AR514" s="268"/>
      <c r="AS514" s="257">
        <f t="shared" si="75"/>
        <v>0</v>
      </c>
      <c r="AT514" s="382"/>
      <c r="AU514" s="257">
        <f t="shared" si="76"/>
        <v>0</v>
      </c>
      <c r="AV514" s="268"/>
      <c r="AW514" s="257">
        <f t="shared" si="77"/>
        <v>0</v>
      </c>
      <c r="AX514" s="59"/>
      <c r="AY514" s="257">
        <f t="shared" si="78"/>
        <v>0</v>
      </c>
      <c r="AZ514" s="59"/>
      <c r="BA514" s="257">
        <f t="shared" si="79"/>
        <v>0</v>
      </c>
      <c r="BB514" s="268"/>
      <c r="BC514" s="257">
        <f t="shared" si="80"/>
        <v>0</v>
      </c>
      <c r="BD514" s="59"/>
      <c r="BE514" s="257">
        <f t="shared" si="81"/>
        <v>0</v>
      </c>
      <c r="BF514" s="59"/>
      <c r="BG514" s="257">
        <f t="shared" si="82"/>
        <v>0</v>
      </c>
      <c r="BH514" s="59"/>
      <c r="BI514" s="257">
        <f t="shared" si="83"/>
        <v>0</v>
      </c>
      <c r="BJ514" s="1" t="s">
        <v>1144</v>
      </c>
      <c r="BL514" s="1" t="s">
        <v>457</v>
      </c>
      <c r="BM514" s="378" t="s">
        <v>1145</v>
      </c>
    </row>
    <row r="515" spans="1:65" ht="15">
      <c r="A515" s="250" t="s">
        <v>951</v>
      </c>
      <c r="B515" s="59" t="s">
        <v>221</v>
      </c>
      <c r="C515" s="354" t="s">
        <v>172</v>
      </c>
      <c r="D515" s="419"/>
      <c r="E515" s="281" t="s">
        <v>332</v>
      </c>
      <c r="F515" s="422"/>
      <c r="G515" s="317">
        <v>2026</v>
      </c>
      <c r="H515" s="323" t="s">
        <v>1131</v>
      </c>
      <c r="I515" s="327" t="s">
        <v>190</v>
      </c>
      <c r="J515" s="331">
        <v>16</v>
      </c>
      <c r="K515" s="323" t="s">
        <v>515</v>
      </c>
      <c r="L515" s="323" t="s">
        <v>177</v>
      </c>
      <c r="M515" s="303" t="s">
        <v>598</v>
      </c>
      <c r="N515" s="303">
        <v>3.25</v>
      </c>
      <c r="O515" s="303">
        <v>3.25</v>
      </c>
      <c r="P515" s="303">
        <v>3.25</v>
      </c>
      <c r="Q515" s="303">
        <v>3.25</v>
      </c>
      <c r="R515" s="401">
        <v>3.9</v>
      </c>
      <c r="S515" s="401">
        <v>3.9</v>
      </c>
      <c r="T515" s="401">
        <v>3.9</v>
      </c>
      <c r="U515" s="401">
        <v>3.9</v>
      </c>
      <c r="V515" s="401">
        <v>3.9</v>
      </c>
      <c r="W515" s="401">
        <v>3.9</v>
      </c>
      <c r="X515" s="401">
        <v>3.9</v>
      </c>
      <c r="Y515" s="401">
        <v>3.9</v>
      </c>
      <c r="Z515" s="59">
        <v>0.35000000000000009</v>
      </c>
      <c r="AA515" s="59">
        <v>0.35000000000000009</v>
      </c>
      <c r="AB515" s="59">
        <v>0.35000000000000009</v>
      </c>
      <c r="AC515" s="304">
        <v>0</v>
      </c>
      <c r="AD515" s="402">
        <v>0.39999999999999991</v>
      </c>
      <c r="AE515" s="402">
        <v>0.39999999999999991</v>
      </c>
      <c r="AF515" s="402">
        <v>0.39999999999999991</v>
      </c>
      <c r="AG515" s="402">
        <v>0.39999999999999991</v>
      </c>
      <c r="AH515" s="402">
        <v>0.39999999999999991</v>
      </c>
      <c r="AI515" s="402">
        <v>0.39999999999999991</v>
      </c>
      <c r="AJ515" s="402">
        <v>0.39999999999999991</v>
      </c>
      <c r="AK515" s="402">
        <v>0.39999999999999991</v>
      </c>
      <c r="AL515" s="255"/>
      <c r="AM515" s="254">
        <f t="shared" si="72"/>
        <v>0</v>
      </c>
      <c r="AN515" s="255"/>
      <c r="AO515" s="254">
        <f t="shared" si="73"/>
        <v>0</v>
      </c>
      <c r="AP515" s="255"/>
      <c r="AQ515" s="254">
        <f t="shared" si="74"/>
        <v>0</v>
      </c>
      <c r="AR515" s="268"/>
      <c r="AS515" s="257">
        <f t="shared" si="75"/>
        <v>0</v>
      </c>
      <c r="AT515" s="382"/>
      <c r="AU515" s="257">
        <f t="shared" si="76"/>
        <v>0</v>
      </c>
      <c r="AV515" s="268"/>
      <c r="AW515" s="257">
        <f t="shared" si="77"/>
        <v>0</v>
      </c>
      <c r="AX515" s="59"/>
      <c r="AY515" s="257">
        <f t="shared" si="78"/>
        <v>0</v>
      </c>
      <c r="AZ515" s="59"/>
      <c r="BA515" s="257">
        <f t="shared" si="79"/>
        <v>0</v>
      </c>
      <c r="BB515" s="268"/>
      <c r="BC515" s="257">
        <f t="shared" si="80"/>
        <v>0</v>
      </c>
      <c r="BD515" s="59"/>
      <c r="BE515" s="257">
        <f t="shared" si="81"/>
        <v>0</v>
      </c>
      <c r="BF515" s="59"/>
      <c r="BG515" s="257">
        <f t="shared" si="82"/>
        <v>0</v>
      </c>
      <c r="BH515" s="59"/>
      <c r="BI515" s="257">
        <f t="shared" si="83"/>
        <v>0</v>
      </c>
      <c r="BJ515" s="1" t="s">
        <v>1146</v>
      </c>
      <c r="BL515" s="1" t="s">
        <v>457</v>
      </c>
      <c r="BM515" s="378" t="s">
        <v>1147</v>
      </c>
    </row>
    <row r="516" spans="1:65" ht="15">
      <c r="A516" s="250" t="s">
        <v>951</v>
      </c>
      <c r="B516" s="59" t="s">
        <v>221</v>
      </c>
      <c r="C516" s="354" t="s">
        <v>172</v>
      </c>
      <c r="D516" s="419"/>
      <c r="E516" s="281" t="s">
        <v>332</v>
      </c>
      <c r="F516" s="422"/>
      <c r="G516" s="317">
        <v>2026</v>
      </c>
      <c r="H516" s="323" t="s">
        <v>1131</v>
      </c>
      <c r="I516" s="332" t="s">
        <v>183</v>
      </c>
      <c r="J516" s="331">
        <v>16</v>
      </c>
      <c r="K516" s="323" t="s">
        <v>1148</v>
      </c>
      <c r="L516" s="323" t="s">
        <v>177</v>
      </c>
      <c r="M516" s="303" t="s">
        <v>598</v>
      </c>
      <c r="N516" s="303">
        <v>9.0299999999999994</v>
      </c>
      <c r="O516" s="303">
        <v>9.0299999999999994</v>
      </c>
      <c r="P516" s="303">
        <v>9.0299999999999994</v>
      </c>
      <c r="Q516" s="303">
        <v>9.0299999999999994</v>
      </c>
      <c r="R516" s="401">
        <v>9.6</v>
      </c>
      <c r="S516" s="401">
        <v>9.6</v>
      </c>
      <c r="T516" s="401">
        <v>9.6</v>
      </c>
      <c r="U516" s="401">
        <v>9.6</v>
      </c>
      <c r="V516" s="401">
        <v>9.6</v>
      </c>
      <c r="W516" s="401">
        <v>9.6</v>
      </c>
      <c r="X516" s="401">
        <v>9.6</v>
      </c>
      <c r="Y516" s="401">
        <v>9.6</v>
      </c>
      <c r="Z516" s="59">
        <v>1.4299999999999997</v>
      </c>
      <c r="AA516" s="59">
        <v>1.4299999999999997</v>
      </c>
      <c r="AB516" s="59">
        <v>1.4299999999999997</v>
      </c>
      <c r="AC516" s="304">
        <v>0</v>
      </c>
      <c r="AD516" s="402">
        <v>1.4000000000000004</v>
      </c>
      <c r="AE516" s="402">
        <v>1.4000000000000004</v>
      </c>
      <c r="AF516" s="402">
        <v>1.4000000000000004</v>
      </c>
      <c r="AG516" s="402">
        <v>1.4000000000000004</v>
      </c>
      <c r="AH516" s="402">
        <v>1.4000000000000004</v>
      </c>
      <c r="AI516" s="402">
        <v>1.4000000000000004</v>
      </c>
      <c r="AJ516" s="402">
        <v>1.4000000000000004</v>
      </c>
      <c r="AK516" s="402">
        <v>1.4000000000000004</v>
      </c>
      <c r="AL516" s="255"/>
      <c r="AM516" s="254">
        <f t="shared" si="72"/>
        <v>0</v>
      </c>
      <c r="AN516" s="255"/>
      <c r="AO516" s="254">
        <f t="shared" si="73"/>
        <v>0</v>
      </c>
      <c r="AP516" s="255"/>
      <c r="AQ516" s="254">
        <f t="shared" si="74"/>
        <v>0</v>
      </c>
      <c r="AR516" s="268"/>
      <c r="AS516" s="257">
        <f t="shared" si="75"/>
        <v>0</v>
      </c>
      <c r="AT516" s="382"/>
      <c r="AU516" s="257">
        <f t="shared" si="76"/>
        <v>0</v>
      </c>
      <c r="AV516" s="268"/>
      <c r="AW516" s="257">
        <f t="shared" si="77"/>
        <v>0</v>
      </c>
      <c r="AX516" s="59"/>
      <c r="AY516" s="257">
        <f t="shared" si="78"/>
        <v>0</v>
      </c>
      <c r="AZ516" s="59"/>
      <c r="BA516" s="257">
        <f t="shared" si="79"/>
        <v>0</v>
      </c>
      <c r="BB516" s="268"/>
      <c r="BC516" s="257">
        <f t="shared" si="80"/>
        <v>0</v>
      </c>
      <c r="BD516" s="59"/>
      <c r="BE516" s="257">
        <f t="shared" si="81"/>
        <v>0</v>
      </c>
      <c r="BF516" s="59"/>
      <c r="BG516" s="257">
        <f t="shared" si="82"/>
        <v>0</v>
      </c>
      <c r="BH516" s="59"/>
      <c r="BI516" s="257">
        <f t="shared" si="83"/>
        <v>0</v>
      </c>
      <c r="BJ516" s="1" t="s">
        <v>1149</v>
      </c>
      <c r="BL516" s="1" t="s">
        <v>457</v>
      </c>
      <c r="BM516" s="378" t="s">
        <v>1150</v>
      </c>
    </row>
    <row r="517" spans="1:65" ht="15">
      <c r="A517" s="250" t="s">
        <v>951</v>
      </c>
      <c r="B517" s="59" t="s">
        <v>221</v>
      </c>
      <c r="C517" s="354" t="s">
        <v>172</v>
      </c>
      <c r="D517" s="419"/>
      <c r="E517" s="281" t="s">
        <v>332</v>
      </c>
      <c r="F517" s="422"/>
      <c r="G517" s="317">
        <v>2026</v>
      </c>
      <c r="H517" s="323" t="s">
        <v>1131</v>
      </c>
      <c r="I517" s="327" t="s">
        <v>190</v>
      </c>
      <c r="J517" s="331">
        <v>16</v>
      </c>
      <c r="K517" s="323" t="s">
        <v>1148</v>
      </c>
      <c r="L517" s="323" t="s">
        <v>177</v>
      </c>
      <c r="M517" s="303" t="s">
        <v>598</v>
      </c>
      <c r="N517" s="303">
        <v>3.25</v>
      </c>
      <c r="O517" s="303">
        <v>3.25</v>
      </c>
      <c r="P517" s="303">
        <v>3.25</v>
      </c>
      <c r="Q517" s="303">
        <v>3.25</v>
      </c>
      <c r="R517" s="401">
        <v>3.9</v>
      </c>
      <c r="S517" s="401">
        <v>3.9</v>
      </c>
      <c r="T517" s="401">
        <v>3.9</v>
      </c>
      <c r="U517" s="401">
        <v>3.9</v>
      </c>
      <c r="V517" s="401">
        <v>3.9</v>
      </c>
      <c r="W517" s="401">
        <v>3.9</v>
      </c>
      <c r="X517" s="401">
        <v>3.9</v>
      </c>
      <c r="Y517" s="401">
        <v>3.9</v>
      </c>
      <c r="Z517" s="59">
        <v>0.35000000000000009</v>
      </c>
      <c r="AA517" s="59">
        <v>0.35000000000000009</v>
      </c>
      <c r="AB517" s="59">
        <v>0.35000000000000009</v>
      </c>
      <c r="AC517" s="304">
        <v>0</v>
      </c>
      <c r="AD517" s="402">
        <v>0.39999999999999991</v>
      </c>
      <c r="AE517" s="402">
        <v>0.39999999999999991</v>
      </c>
      <c r="AF517" s="402">
        <v>0.39999999999999991</v>
      </c>
      <c r="AG517" s="402">
        <v>0.39999999999999991</v>
      </c>
      <c r="AH517" s="402">
        <v>0.39999999999999991</v>
      </c>
      <c r="AI517" s="402">
        <v>0.39999999999999991</v>
      </c>
      <c r="AJ517" s="402">
        <v>0.39999999999999991</v>
      </c>
      <c r="AK517" s="402">
        <v>0.39999999999999991</v>
      </c>
      <c r="AL517" s="255"/>
      <c r="AM517" s="254">
        <f t="shared" si="72"/>
        <v>0</v>
      </c>
      <c r="AN517" s="255"/>
      <c r="AO517" s="254">
        <f t="shared" si="73"/>
        <v>0</v>
      </c>
      <c r="AP517" s="255"/>
      <c r="AQ517" s="254">
        <f t="shared" si="74"/>
        <v>0</v>
      </c>
      <c r="AR517" s="268"/>
      <c r="AS517" s="257">
        <f t="shared" si="75"/>
        <v>0</v>
      </c>
      <c r="AT517" s="382"/>
      <c r="AU517" s="257">
        <f t="shared" si="76"/>
        <v>0</v>
      </c>
      <c r="AV517" s="268"/>
      <c r="AW517" s="257">
        <f t="shared" si="77"/>
        <v>0</v>
      </c>
      <c r="AX517" s="59"/>
      <c r="AY517" s="257">
        <f t="shared" si="78"/>
        <v>0</v>
      </c>
      <c r="AZ517" s="59"/>
      <c r="BA517" s="257">
        <f t="shared" si="79"/>
        <v>0</v>
      </c>
      <c r="BB517" s="268"/>
      <c r="BC517" s="257">
        <f t="shared" si="80"/>
        <v>0</v>
      </c>
      <c r="BD517" s="59"/>
      <c r="BE517" s="257">
        <f t="shared" si="81"/>
        <v>0</v>
      </c>
      <c r="BF517" s="59"/>
      <c r="BG517" s="257">
        <f t="shared" si="82"/>
        <v>0</v>
      </c>
      <c r="BH517" s="59"/>
      <c r="BI517" s="257">
        <f t="shared" si="83"/>
        <v>0</v>
      </c>
      <c r="BJ517" s="1" t="s">
        <v>1151</v>
      </c>
      <c r="BL517" s="1" t="s">
        <v>457</v>
      </c>
      <c r="BM517" s="378" t="s">
        <v>1152</v>
      </c>
    </row>
    <row r="518" spans="1:65" ht="15">
      <c r="A518" s="250" t="s">
        <v>951</v>
      </c>
      <c r="B518" s="59" t="s">
        <v>221</v>
      </c>
      <c r="C518" s="354" t="s">
        <v>172</v>
      </c>
      <c r="D518" s="419"/>
      <c r="E518" s="281" t="s">
        <v>332</v>
      </c>
      <c r="F518" s="422"/>
      <c r="G518" s="317">
        <v>2026</v>
      </c>
      <c r="H518" s="323" t="s">
        <v>1131</v>
      </c>
      <c r="I518" s="327" t="s">
        <v>190</v>
      </c>
      <c r="J518" s="331">
        <v>16</v>
      </c>
      <c r="K518" s="323" t="s">
        <v>1048</v>
      </c>
      <c r="L518" s="323" t="s">
        <v>177</v>
      </c>
      <c r="M518" s="303" t="s">
        <v>598</v>
      </c>
      <c r="N518" s="303">
        <v>3.25</v>
      </c>
      <c r="O518" s="303">
        <v>3.25</v>
      </c>
      <c r="P518" s="303">
        <v>3.25</v>
      </c>
      <c r="Q518" s="303">
        <v>3.25</v>
      </c>
      <c r="R518" s="401">
        <v>3.9</v>
      </c>
      <c r="S518" s="401">
        <v>3.9</v>
      </c>
      <c r="T518" s="401">
        <v>3.9</v>
      </c>
      <c r="U518" s="401">
        <v>3.9</v>
      </c>
      <c r="V518" s="401">
        <v>3.9</v>
      </c>
      <c r="W518" s="401">
        <v>3.9</v>
      </c>
      <c r="X518" s="401">
        <v>3.9</v>
      </c>
      <c r="Y518" s="401">
        <v>3.9</v>
      </c>
      <c r="Z518" s="59">
        <v>0.35000000000000009</v>
      </c>
      <c r="AA518" s="59">
        <v>0.35000000000000009</v>
      </c>
      <c r="AB518" s="59">
        <v>0.35000000000000009</v>
      </c>
      <c r="AC518" s="304">
        <v>0</v>
      </c>
      <c r="AD518" s="402">
        <v>0.39999999999999991</v>
      </c>
      <c r="AE518" s="402">
        <v>0.39999999999999991</v>
      </c>
      <c r="AF518" s="402">
        <v>0.39999999999999991</v>
      </c>
      <c r="AG518" s="402">
        <v>0.39999999999999991</v>
      </c>
      <c r="AH518" s="402">
        <v>0.39999999999999991</v>
      </c>
      <c r="AI518" s="402">
        <v>0.39999999999999991</v>
      </c>
      <c r="AJ518" s="402">
        <v>0.39999999999999991</v>
      </c>
      <c r="AK518" s="402">
        <v>0.39999999999999991</v>
      </c>
      <c r="AL518" s="255"/>
      <c r="AM518" s="254">
        <f t="shared" si="72"/>
        <v>0</v>
      </c>
      <c r="AN518" s="255"/>
      <c r="AO518" s="254">
        <f t="shared" si="73"/>
        <v>0</v>
      </c>
      <c r="AP518" s="255"/>
      <c r="AQ518" s="254">
        <f t="shared" si="74"/>
        <v>0</v>
      </c>
      <c r="AR518" s="268"/>
      <c r="AS518" s="257">
        <f t="shared" si="75"/>
        <v>0</v>
      </c>
      <c r="AT518" s="382"/>
      <c r="AU518" s="257">
        <f t="shared" si="76"/>
        <v>0</v>
      </c>
      <c r="AV518" s="268"/>
      <c r="AW518" s="257">
        <f t="shared" si="77"/>
        <v>0</v>
      </c>
      <c r="AX518" s="59"/>
      <c r="AY518" s="257">
        <f t="shared" si="78"/>
        <v>0</v>
      </c>
      <c r="AZ518" s="59"/>
      <c r="BA518" s="257">
        <f t="shared" si="79"/>
        <v>0</v>
      </c>
      <c r="BB518" s="268"/>
      <c r="BC518" s="257">
        <f t="shared" si="80"/>
        <v>0</v>
      </c>
      <c r="BD518" s="59"/>
      <c r="BE518" s="257">
        <f t="shared" si="81"/>
        <v>0</v>
      </c>
      <c r="BF518" s="59"/>
      <c r="BG518" s="257">
        <f t="shared" si="82"/>
        <v>0</v>
      </c>
      <c r="BH518" s="59"/>
      <c r="BI518" s="257">
        <f t="shared" si="83"/>
        <v>0</v>
      </c>
      <c r="BJ518" s="1" t="s">
        <v>1153</v>
      </c>
      <c r="BL518" s="1" t="s">
        <v>457</v>
      </c>
      <c r="BM518" s="378" t="s">
        <v>1154</v>
      </c>
    </row>
    <row r="519" spans="1:65" ht="15">
      <c r="A519" s="250"/>
      <c r="C519" s="354"/>
      <c r="D519" s="419"/>
      <c r="E519" s="281"/>
      <c r="F519" s="422"/>
      <c r="G519" s="317"/>
      <c r="H519" s="323"/>
      <c r="I519" s="332"/>
      <c r="J519" s="331"/>
      <c r="K519" s="323"/>
      <c r="L519" s="323"/>
      <c r="M519" s="303"/>
      <c r="N519" s="303"/>
      <c r="O519" s="303"/>
      <c r="P519" s="303"/>
      <c r="Q519" s="303"/>
      <c r="R519" s="303"/>
      <c r="S519" s="303"/>
      <c r="T519" s="303"/>
      <c r="U519" s="303"/>
      <c r="V519" s="303"/>
      <c r="W519" s="303"/>
      <c r="X519" s="303"/>
      <c r="Y519" s="303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255"/>
      <c r="AM519" s="254">
        <f t="shared" si="72"/>
        <v>0</v>
      </c>
      <c r="AN519" s="255"/>
      <c r="AO519" s="254">
        <f t="shared" si="73"/>
        <v>0</v>
      </c>
      <c r="AP519" s="255"/>
      <c r="AQ519" s="254">
        <f t="shared" ref="AQ519:AQ520" si="84">AB519*AP519</f>
        <v>0</v>
      </c>
      <c r="AR519" s="59"/>
      <c r="AS519" s="257">
        <f t="shared" si="75"/>
        <v>0</v>
      </c>
      <c r="AT519" s="382"/>
      <c r="AU519" s="257">
        <f t="shared" ref="AU519:AU520" si="85">AD519*AT519</f>
        <v>0</v>
      </c>
      <c r="AV519" s="268"/>
      <c r="AW519" s="257">
        <f t="shared" ref="AW519:AW520" si="86">AE519*AV519</f>
        <v>0</v>
      </c>
      <c r="AX519" s="59"/>
      <c r="AY519" s="257">
        <f t="shared" si="78"/>
        <v>0</v>
      </c>
      <c r="AZ519" s="59"/>
      <c r="BA519" s="257">
        <f t="shared" ref="BA519:BA520" si="87">AG519*AZ519</f>
        <v>0</v>
      </c>
      <c r="BB519" s="268"/>
      <c r="BC519" s="257">
        <f t="shared" si="80"/>
        <v>0</v>
      </c>
      <c r="BD519" s="59"/>
      <c r="BE519" s="257">
        <f t="shared" si="81"/>
        <v>0</v>
      </c>
      <c r="BF519" s="59"/>
      <c r="BG519" s="257">
        <f t="shared" si="82"/>
        <v>0</v>
      </c>
      <c r="BH519" s="59"/>
      <c r="BI519" s="257">
        <f t="shared" si="83"/>
        <v>0</v>
      </c>
      <c r="BM519" s="378"/>
    </row>
    <row r="520" spans="1:65" ht="15" thickBot="1">
      <c r="A520" s="250" t="s">
        <v>951</v>
      </c>
      <c r="C520" s="354"/>
      <c r="D520" s="420"/>
      <c r="E520" s="282"/>
      <c r="F520" s="422"/>
      <c r="G520" s="59"/>
      <c r="H520" s="59"/>
      <c r="I520" s="59"/>
      <c r="J520" s="302"/>
      <c r="K520" s="59"/>
      <c r="L520" s="59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255"/>
      <c r="AM520" s="254">
        <f t="shared" ref="AM520" si="88">Z520*AL520</f>
        <v>0</v>
      </c>
      <c r="AN520" s="255"/>
      <c r="AO520" s="254">
        <f t="shared" ref="AO520" si="89">AA520*AN520</f>
        <v>0</v>
      </c>
      <c r="AP520" s="255"/>
      <c r="AQ520" s="254">
        <f t="shared" si="84"/>
        <v>0</v>
      </c>
      <c r="AR520" s="59"/>
      <c r="AS520" s="257">
        <f t="shared" ref="AS520" si="90">AC520*AR520</f>
        <v>0</v>
      </c>
      <c r="AT520" s="382"/>
      <c r="AU520" s="257">
        <f t="shared" si="85"/>
        <v>0</v>
      </c>
      <c r="AV520" s="268"/>
      <c r="AW520" s="257">
        <f t="shared" si="86"/>
        <v>0</v>
      </c>
      <c r="AX520" s="59"/>
      <c r="AY520" s="257">
        <f t="shared" ref="AY520" si="91">AF520*AX520</f>
        <v>0</v>
      </c>
      <c r="AZ520" s="59"/>
      <c r="BA520" s="257">
        <f t="shared" si="87"/>
        <v>0</v>
      </c>
      <c r="BB520" s="268"/>
      <c r="BC520" s="257">
        <f t="shared" ref="BC520" si="92">AH520*BB520</f>
        <v>0</v>
      </c>
      <c r="BD520" s="59"/>
      <c r="BE520" s="257">
        <f t="shared" ref="BE520" si="93">AI520*BD520</f>
        <v>0</v>
      </c>
      <c r="BF520" s="59"/>
      <c r="BG520" s="257">
        <f t="shared" ref="BG520" si="94">AJ520*BF520</f>
        <v>0</v>
      </c>
      <c r="BH520" s="59"/>
      <c r="BI520" s="257">
        <f t="shared" ref="BI520" si="95">AK520*BH520</f>
        <v>0</v>
      </c>
    </row>
  </sheetData>
  <autoFilter ref="A2:BM520" xr:uid="{00000000-0009-0000-0000-00000C000000}"/>
  <mergeCells count="25">
    <mergeCell ref="D237:D355"/>
    <mergeCell ref="F237:F248"/>
    <mergeCell ref="F249:F252"/>
    <mergeCell ref="F253:F279"/>
    <mergeCell ref="F280:F291"/>
    <mergeCell ref="F292:F309"/>
    <mergeCell ref="F310:F311"/>
    <mergeCell ref="F312:F348"/>
    <mergeCell ref="F349:F355"/>
    <mergeCell ref="D3:D236"/>
    <mergeCell ref="F3:F5"/>
    <mergeCell ref="F6:F25"/>
    <mergeCell ref="F26:F63"/>
    <mergeCell ref="F64:F72"/>
    <mergeCell ref="F73:F74"/>
    <mergeCell ref="F75:F89"/>
    <mergeCell ref="F90:F91"/>
    <mergeCell ref="F92:F95"/>
    <mergeCell ref="F96:F144"/>
    <mergeCell ref="F145:F236"/>
    <mergeCell ref="D356:D374"/>
    <mergeCell ref="E356:E374"/>
    <mergeCell ref="F356:F374"/>
    <mergeCell ref="D375:D520"/>
    <mergeCell ref="F375:F520"/>
  </mergeCells>
  <phoneticPr fontId="3" type="noConversion"/>
  <conditionalFormatting sqref="G3:G4">
    <cfRule type="duplicateValues" dxfId="166" priority="178"/>
  </conditionalFormatting>
  <conditionalFormatting sqref="G6">
    <cfRule type="duplicateValues" dxfId="165" priority="171"/>
  </conditionalFormatting>
  <conditionalFormatting sqref="G7">
    <cfRule type="duplicateValues" dxfId="164" priority="170"/>
  </conditionalFormatting>
  <conditionalFormatting sqref="G8">
    <cfRule type="duplicateValues" dxfId="163" priority="153"/>
  </conditionalFormatting>
  <conditionalFormatting sqref="G9">
    <cfRule type="duplicateValues" dxfId="162" priority="159"/>
  </conditionalFormatting>
  <conditionalFormatting sqref="G10">
    <cfRule type="duplicateValues" dxfId="161" priority="158"/>
  </conditionalFormatting>
  <conditionalFormatting sqref="G11">
    <cfRule type="duplicateValues" dxfId="160" priority="152"/>
  </conditionalFormatting>
  <conditionalFormatting sqref="G12">
    <cfRule type="duplicateValues" dxfId="159" priority="157"/>
  </conditionalFormatting>
  <conditionalFormatting sqref="G13">
    <cfRule type="duplicateValues" dxfId="158" priority="156"/>
  </conditionalFormatting>
  <conditionalFormatting sqref="G14">
    <cfRule type="duplicateValues" dxfId="157" priority="151"/>
  </conditionalFormatting>
  <conditionalFormatting sqref="G15 G24">
    <cfRule type="duplicateValues" dxfId="156" priority="155"/>
  </conditionalFormatting>
  <conditionalFormatting sqref="G16">
    <cfRule type="duplicateValues" dxfId="155" priority="150"/>
  </conditionalFormatting>
  <conditionalFormatting sqref="G17">
    <cfRule type="duplicateValues" dxfId="154" priority="149"/>
  </conditionalFormatting>
  <conditionalFormatting sqref="G25">
    <cfRule type="duplicateValues" dxfId="153" priority="154"/>
  </conditionalFormatting>
  <conditionalFormatting sqref="G26">
    <cfRule type="duplicateValues" dxfId="152" priority="168"/>
  </conditionalFormatting>
  <conditionalFormatting sqref="G27">
    <cfRule type="duplicateValues" dxfId="151" priority="146"/>
  </conditionalFormatting>
  <conditionalFormatting sqref="G28">
    <cfRule type="duplicateValues" dxfId="150" priority="147"/>
  </conditionalFormatting>
  <conditionalFormatting sqref="G29">
    <cfRule type="duplicateValues" dxfId="149" priority="148"/>
    <cfRule type="duplicateValues" dxfId="148" priority="167"/>
  </conditionalFormatting>
  <conditionalFormatting sqref="G30">
    <cfRule type="duplicateValues" dxfId="147" priority="143"/>
    <cfRule type="duplicateValues" dxfId="146" priority="144"/>
  </conditionalFormatting>
  <conditionalFormatting sqref="G31">
    <cfRule type="duplicateValues" dxfId="145" priority="145"/>
  </conditionalFormatting>
  <conditionalFormatting sqref="G38">
    <cfRule type="duplicateValues" dxfId="144" priority="120"/>
  </conditionalFormatting>
  <conditionalFormatting sqref="G39">
    <cfRule type="duplicateValues" dxfId="143" priority="116"/>
  </conditionalFormatting>
  <conditionalFormatting sqref="G40">
    <cfRule type="duplicateValues" dxfId="142" priority="117"/>
  </conditionalFormatting>
  <conditionalFormatting sqref="G41">
    <cfRule type="duplicateValues" dxfId="141" priority="118"/>
    <cfRule type="duplicateValues" dxfId="140" priority="119"/>
  </conditionalFormatting>
  <conditionalFormatting sqref="G42">
    <cfRule type="duplicateValues" dxfId="139" priority="113"/>
    <cfRule type="duplicateValues" dxfId="138" priority="114"/>
  </conditionalFormatting>
  <conditionalFormatting sqref="G43">
    <cfRule type="duplicateValues" dxfId="137" priority="115"/>
  </conditionalFormatting>
  <conditionalFormatting sqref="G64">
    <cfRule type="duplicateValues" dxfId="136" priority="169"/>
  </conditionalFormatting>
  <conditionalFormatting sqref="G65">
    <cfRule type="duplicateValues" dxfId="135" priority="125"/>
  </conditionalFormatting>
  <conditionalFormatting sqref="G66">
    <cfRule type="duplicateValues" dxfId="134" priority="124"/>
  </conditionalFormatting>
  <conditionalFormatting sqref="G67">
    <cfRule type="duplicateValues" dxfId="133" priority="126"/>
    <cfRule type="duplicateValues" dxfId="132" priority="128"/>
  </conditionalFormatting>
  <conditionalFormatting sqref="G68">
    <cfRule type="duplicateValues" dxfId="131" priority="105"/>
  </conditionalFormatting>
  <conditionalFormatting sqref="G69">
    <cfRule type="duplicateValues" dxfId="130" priority="102"/>
  </conditionalFormatting>
  <conditionalFormatting sqref="G70">
    <cfRule type="duplicateValues" dxfId="129" priority="101"/>
  </conditionalFormatting>
  <conditionalFormatting sqref="G71">
    <cfRule type="duplicateValues" dxfId="128" priority="103"/>
    <cfRule type="duplicateValues" dxfId="127" priority="104"/>
  </conditionalFormatting>
  <conditionalFormatting sqref="G72">
    <cfRule type="duplicateValues" dxfId="126" priority="127"/>
  </conditionalFormatting>
  <conditionalFormatting sqref="G73">
    <cfRule type="duplicateValues" dxfId="125" priority="177"/>
  </conditionalFormatting>
  <conditionalFormatting sqref="G75">
    <cfRule type="duplicateValues" dxfId="124" priority="174"/>
  </conditionalFormatting>
  <conditionalFormatting sqref="G76">
    <cfRule type="duplicateValues" dxfId="123" priority="142"/>
  </conditionalFormatting>
  <conditionalFormatting sqref="G77">
    <cfRule type="duplicateValues" dxfId="122" priority="141"/>
  </conditionalFormatting>
  <conditionalFormatting sqref="G78">
    <cfRule type="duplicateValues" dxfId="121" priority="140"/>
  </conditionalFormatting>
  <conditionalFormatting sqref="G79">
    <cfRule type="duplicateValues" dxfId="120" priority="123"/>
  </conditionalFormatting>
  <conditionalFormatting sqref="G80">
    <cfRule type="duplicateValues" dxfId="119" priority="122"/>
  </conditionalFormatting>
  <conditionalFormatting sqref="G81">
    <cfRule type="duplicateValues" dxfId="118" priority="179"/>
  </conditionalFormatting>
  <conditionalFormatting sqref="G82">
    <cfRule type="duplicateValues" dxfId="117" priority="121"/>
  </conditionalFormatting>
  <conditionalFormatting sqref="G88">
    <cfRule type="duplicateValues" dxfId="116" priority="139"/>
  </conditionalFormatting>
  <conditionalFormatting sqref="G89">
    <cfRule type="duplicateValues" dxfId="115" priority="173"/>
  </conditionalFormatting>
  <conditionalFormatting sqref="G90">
    <cfRule type="duplicateValues" dxfId="114" priority="172"/>
  </conditionalFormatting>
  <conditionalFormatting sqref="G92">
    <cfRule type="duplicateValues" dxfId="113" priority="176"/>
  </conditionalFormatting>
  <conditionalFormatting sqref="G249">
    <cfRule type="duplicateValues" dxfId="112" priority="175"/>
  </conditionalFormatting>
  <conditionalFormatting sqref="G260">
    <cfRule type="duplicateValues" dxfId="111" priority="161"/>
  </conditionalFormatting>
  <conditionalFormatting sqref="G261">
    <cfRule type="duplicateValues" dxfId="110" priority="160"/>
  </conditionalFormatting>
  <conditionalFormatting sqref="G262">
    <cfRule type="duplicateValues" dxfId="109" priority="110"/>
  </conditionalFormatting>
  <conditionalFormatting sqref="G265">
    <cfRule type="duplicateValues" dxfId="108" priority="109"/>
  </conditionalFormatting>
  <conditionalFormatting sqref="G266">
    <cfRule type="duplicateValues" dxfId="107" priority="108"/>
  </conditionalFormatting>
  <conditionalFormatting sqref="G278">
    <cfRule type="duplicateValues" dxfId="106" priority="165"/>
  </conditionalFormatting>
  <conditionalFormatting sqref="G297">
    <cfRule type="duplicateValues" dxfId="105" priority="164"/>
  </conditionalFormatting>
  <conditionalFormatting sqref="G298">
    <cfRule type="duplicateValues" dxfId="104" priority="138"/>
  </conditionalFormatting>
  <conditionalFormatting sqref="G299">
    <cfRule type="duplicateValues" dxfId="103" priority="137"/>
  </conditionalFormatting>
  <conditionalFormatting sqref="G300">
    <cfRule type="duplicateValues" dxfId="102" priority="112"/>
  </conditionalFormatting>
  <conditionalFormatting sqref="G301">
    <cfRule type="duplicateValues" dxfId="101" priority="111"/>
  </conditionalFormatting>
  <conditionalFormatting sqref="G303">
    <cfRule type="duplicateValues" dxfId="100" priority="107"/>
  </conditionalFormatting>
  <conditionalFormatting sqref="G305">
    <cfRule type="duplicateValues" dxfId="99" priority="106"/>
  </conditionalFormatting>
  <conditionalFormatting sqref="G325">
    <cfRule type="duplicateValues" dxfId="98" priority="136"/>
  </conditionalFormatting>
  <conditionalFormatting sqref="G326">
    <cfRule type="duplicateValues" dxfId="97" priority="135"/>
  </conditionalFormatting>
  <conditionalFormatting sqref="G327">
    <cfRule type="duplicateValues" dxfId="96" priority="134"/>
  </conditionalFormatting>
  <conditionalFormatting sqref="G328">
    <cfRule type="duplicateValues" dxfId="95" priority="133"/>
  </conditionalFormatting>
  <conditionalFormatting sqref="G329">
    <cfRule type="duplicateValues" dxfId="94" priority="132"/>
  </conditionalFormatting>
  <conditionalFormatting sqref="G330">
    <cfRule type="duplicateValues" dxfId="93" priority="131"/>
  </conditionalFormatting>
  <conditionalFormatting sqref="G331">
    <cfRule type="duplicateValues" dxfId="92" priority="130"/>
  </conditionalFormatting>
  <conditionalFormatting sqref="G332">
    <cfRule type="duplicateValues" dxfId="91" priority="129"/>
  </conditionalFormatting>
  <conditionalFormatting sqref="G348">
    <cfRule type="duplicateValues" dxfId="90" priority="162"/>
  </conditionalFormatting>
  <conditionalFormatting sqref="G333">
    <cfRule type="duplicateValues" dxfId="89" priority="100"/>
  </conditionalFormatting>
  <conditionalFormatting sqref="G334">
    <cfRule type="duplicateValues" dxfId="88" priority="99"/>
  </conditionalFormatting>
  <conditionalFormatting sqref="G335">
    <cfRule type="duplicateValues" dxfId="87" priority="98"/>
  </conditionalFormatting>
  <conditionalFormatting sqref="G347">
    <cfRule type="duplicateValues" dxfId="86" priority="97"/>
  </conditionalFormatting>
  <conditionalFormatting sqref="G83">
    <cfRule type="duplicateValues" dxfId="85" priority="95"/>
  </conditionalFormatting>
  <conditionalFormatting sqref="G84">
    <cfRule type="duplicateValues" dxfId="84" priority="94"/>
  </conditionalFormatting>
  <conditionalFormatting sqref="G85">
    <cfRule type="duplicateValues" dxfId="83" priority="93"/>
  </conditionalFormatting>
  <conditionalFormatting sqref="G86">
    <cfRule type="duplicateValues" dxfId="82" priority="96"/>
  </conditionalFormatting>
  <conditionalFormatting sqref="G87">
    <cfRule type="duplicateValues" dxfId="81" priority="92"/>
  </conditionalFormatting>
  <conditionalFormatting sqref="G32">
    <cfRule type="duplicateValues" dxfId="80" priority="91"/>
  </conditionalFormatting>
  <conditionalFormatting sqref="G33">
    <cfRule type="duplicateValues" dxfId="79" priority="87"/>
  </conditionalFormatting>
  <conditionalFormatting sqref="G34">
    <cfRule type="duplicateValues" dxfId="78" priority="88"/>
  </conditionalFormatting>
  <conditionalFormatting sqref="G35">
    <cfRule type="duplicateValues" dxfId="77" priority="89"/>
    <cfRule type="duplicateValues" dxfId="76" priority="90"/>
  </conditionalFormatting>
  <conditionalFormatting sqref="G36">
    <cfRule type="duplicateValues" dxfId="75" priority="84"/>
    <cfRule type="duplicateValues" dxfId="74" priority="85"/>
  </conditionalFormatting>
  <conditionalFormatting sqref="G37">
    <cfRule type="duplicateValues" dxfId="73" priority="86"/>
  </conditionalFormatting>
  <conditionalFormatting sqref="G258">
    <cfRule type="duplicateValues" dxfId="72" priority="83"/>
  </conditionalFormatting>
  <conditionalFormatting sqref="G259">
    <cfRule type="duplicateValues" dxfId="71" priority="82"/>
  </conditionalFormatting>
  <conditionalFormatting sqref="G260">
    <cfRule type="duplicateValues" dxfId="70" priority="81"/>
  </conditionalFormatting>
  <conditionalFormatting sqref="G261">
    <cfRule type="duplicateValues" dxfId="69" priority="80"/>
  </conditionalFormatting>
  <conditionalFormatting sqref="G262">
    <cfRule type="duplicateValues" dxfId="68" priority="79"/>
  </conditionalFormatting>
  <conditionalFormatting sqref="G340">
    <cfRule type="duplicateValues" dxfId="67" priority="78"/>
  </conditionalFormatting>
  <conditionalFormatting sqref="G341">
    <cfRule type="duplicateValues" dxfId="66" priority="75"/>
  </conditionalFormatting>
  <conditionalFormatting sqref="G342">
    <cfRule type="duplicateValues" dxfId="65" priority="73"/>
  </conditionalFormatting>
  <conditionalFormatting sqref="G263">
    <cfRule type="duplicateValues" dxfId="64" priority="72"/>
  </conditionalFormatting>
  <conditionalFormatting sqref="G264">
    <cfRule type="duplicateValues" dxfId="63" priority="71"/>
  </conditionalFormatting>
  <conditionalFormatting sqref="G263">
    <cfRule type="duplicateValues" dxfId="62" priority="70"/>
  </conditionalFormatting>
  <conditionalFormatting sqref="G264">
    <cfRule type="duplicateValues" dxfId="61" priority="69"/>
  </conditionalFormatting>
  <conditionalFormatting sqref="G267">
    <cfRule type="duplicateValues" dxfId="60" priority="68"/>
  </conditionalFormatting>
  <conditionalFormatting sqref="G268">
    <cfRule type="duplicateValues" dxfId="59" priority="67"/>
  </conditionalFormatting>
  <conditionalFormatting sqref="G269">
    <cfRule type="duplicateValues" dxfId="58" priority="66"/>
  </conditionalFormatting>
  <conditionalFormatting sqref="G268">
    <cfRule type="duplicateValues" dxfId="57" priority="65"/>
  </conditionalFormatting>
  <conditionalFormatting sqref="G269">
    <cfRule type="duplicateValues" dxfId="56" priority="64"/>
  </conditionalFormatting>
  <conditionalFormatting sqref="G270">
    <cfRule type="duplicateValues" dxfId="55" priority="63"/>
  </conditionalFormatting>
  <conditionalFormatting sqref="G271">
    <cfRule type="duplicateValues" dxfId="54" priority="62"/>
  </conditionalFormatting>
  <conditionalFormatting sqref="G270">
    <cfRule type="duplicateValues" dxfId="53" priority="61"/>
  </conditionalFormatting>
  <conditionalFormatting sqref="G271">
    <cfRule type="duplicateValues" dxfId="52" priority="60"/>
  </conditionalFormatting>
  <conditionalFormatting sqref="G272">
    <cfRule type="duplicateValues" dxfId="51" priority="59"/>
  </conditionalFormatting>
  <conditionalFormatting sqref="G273">
    <cfRule type="duplicateValues" dxfId="50" priority="58"/>
  </conditionalFormatting>
  <conditionalFormatting sqref="G272">
    <cfRule type="duplicateValues" dxfId="49" priority="57"/>
  </conditionalFormatting>
  <conditionalFormatting sqref="G273">
    <cfRule type="duplicateValues" dxfId="48" priority="56"/>
  </conditionalFormatting>
  <conditionalFormatting sqref="G274">
    <cfRule type="duplicateValues" dxfId="47" priority="55"/>
  </conditionalFormatting>
  <conditionalFormatting sqref="G275">
    <cfRule type="duplicateValues" dxfId="46" priority="54"/>
  </conditionalFormatting>
  <conditionalFormatting sqref="G274">
    <cfRule type="duplicateValues" dxfId="45" priority="53"/>
  </conditionalFormatting>
  <conditionalFormatting sqref="G275">
    <cfRule type="duplicateValues" dxfId="44" priority="52"/>
  </conditionalFormatting>
  <conditionalFormatting sqref="G276">
    <cfRule type="duplicateValues" dxfId="43" priority="51"/>
  </conditionalFormatting>
  <conditionalFormatting sqref="G277">
    <cfRule type="duplicateValues" dxfId="42" priority="50"/>
  </conditionalFormatting>
  <conditionalFormatting sqref="G276">
    <cfRule type="duplicateValues" dxfId="41" priority="49"/>
  </conditionalFormatting>
  <conditionalFormatting sqref="G277">
    <cfRule type="duplicateValues" dxfId="40" priority="48"/>
  </conditionalFormatting>
  <conditionalFormatting sqref="G306">
    <cfRule type="duplicateValues" dxfId="39" priority="47"/>
  </conditionalFormatting>
  <conditionalFormatting sqref="G308">
    <cfRule type="duplicateValues" dxfId="38" priority="46"/>
  </conditionalFormatting>
  <conditionalFormatting sqref="G19">
    <cfRule type="duplicateValues" dxfId="37" priority="37"/>
  </conditionalFormatting>
  <conditionalFormatting sqref="G18">
    <cfRule type="duplicateValues" dxfId="36" priority="38"/>
  </conditionalFormatting>
  <conditionalFormatting sqref="G20">
    <cfRule type="duplicateValues" dxfId="35" priority="35"/>
  </conditionalFormatting>
  <conditionalFormatting sqref="G21">
    <cfRule type="duplicateValues" dxfId="34" priority="36"/>
  </conditionalFormatting>
  <conditionalFormatting sqref="G22">
    <cfRule type="duplicateValues" dxfId="33" priority="34"/>
  </conditionalFormatting>
  <conditionalFormatting sqref="G23">
    <cfRule type="duplicateValues" dxfId="32" priority="33"/>
  </conditionalFormatting>
  <conditionalFormatting sqref="G44">
    <cfRule type="duplicateValues" dxfId="31" priority="32"/>
  </conditionalFormatting>
  <conditionalFormatting sqref="G45">
    <cfRule type="duplicateValues" dxfId="30" priority="28"/>
  </conditionalFormatting>
  <conditionalFormatting sqref="G46">
    <cfRule type="duplicateValues" dxfId="29" priority="29"/>
  </conditionalFormatting>
  <conditionalFormatting sqref="G47">
    <cfRule type="duplicateValues" dxfId="28" priority="30"/>
    <cfRule type="duplicateValues" dxfId="27" priority="31"/>
  </conditionalFormatting>
  <conditionalFormatting sqref="G48">
    <cfRule type="duplicateValues" dxfId="26" priority="25"/>
    <cfRule type="duplicateValues" dxfId="25" priority="26"/>
  </conditionalFormatting>
  <conditionalFormatting sqref="G49">
    <cfRule type="duplicateValues" dxfId="24" priority="27"/>
  </conditionalFormatting>
  <conditionalFormatting sqref="G56">
    <cfRule type="duplicateValues" dxfId="23" priority="24"/>
  </conditionalFormatting>
  <conditionalFormatting sqref="G57">
    <cfRule type="duplicateValues" dxfId="22" priority="20"/>
  </conditionalFormatting>
  <conditionalFormatting sqref="G58">
    <cfRule type="duplicateValues" dxfId="21" priority="21"/>
  </conditionalFormatting>
  <conditionalFormatting sqref="G59">
    <cfRule type="duplicateValues" dxfId="20" priority="22"/>
    <cfRule type="duplicateValues" dxfId="19" priority="23"/>
  </conditionalFormatting>
  <conditionalFormatting sqref="G60">
    <cfRule type="duplicateValues" dxfId="18" priority="17"/>
    <cfRule type="duplicateValues" dxfId="17" priority="18"/>
  </conditionalFormatting>
  <conditionalFormatting sqref="G61">
    <cfRule type="duplicateValues" dxfId="16" priority="19"/>
  </conditionalFormatting>
  <conditionalFormatting sqref="G50">
    <cfRule type="duplicateValues" dxfId="15" priority="16"/>
  </conditionalFormatting>
  <conditionalFormatting sqref="G51">
    <cfRule type="duplicateValues" dxfId="14" priority="12"/>
  </conditionalFormatting>
  <conditionalFormatting sqref="G52">
    <cfRule type="duplicateValues" dxfId="13" priority="13"/>
  </conditionalFormatting>
  <conditionalFormatting sqref="G53">
    <cfRule type="duplicateValues" dxfId="12" priority="14"/>
    <cfRule type="duplicateValues" dxfId="11" priority="15"/>
  </conditionalFormatting>
  <conditionalFormatting sqref="G54">
    <cfRule type="duplicateValues" dxfId="10" priority="9"/>
    <cfRule type="duplicateValues" dxfId="9" priority="10"/>
  </conditionalFormatting>
  <conditionalFormatting sqref="G55">
    <cfRule type="duplicateValues" dxfId="8" priority="11"/>
  </conditionalFormatting>
  <conditionalFormatting sqref="G336">
    <cfRule type="duplicateValues" dxfId="7" priority="8"/>
  </conditionalFormatting>
  <conditionalFormatting sqref="G337">
    <cfRule type="duplicateValues" dxfId="6" priority="7"/>
  </conditionalFormatting>
  <conditionalFormatting sqref="G338">
    <cfRule type="duplicateValues" dxfId="5" priority="6"/>
  </conditionalFormatting>
  <conditionalFormatting sqref="G339">
    <cfRule type="duplicateValues" dxfId="4" priority="5"/>
  </conditionalFormatting>
  <conditionalFormatting sqref="G343">
    <cfRule type="duplicateValues" dxfId="3" priority="4"/>
  </conditionalFormatting>
  <conditionalFormatting sqref="G344">
    <cfRule type="duplicateValues" dxfId="2" priority="3"/>
  </conditionalFormatting>
  <conditionalFormatting sqref="G345">
    <cfRule type="duplicateValues" dxfId="1" priority="2"/>
  </conditionalFormatting>
  <conditionalFormatting sqref="G34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57BA8-044C-4CA9-BA1B-A8FE90330D20}"/>
</file>

<file path=customXml/itemProps2.xml><?xml version="1.0" encoding="utf-8"?>
<ds:datastoreItem xmlns:ds="http://schemas.openxmlformats.org/officeDocument/2006/customXml" ds:itemID="{1687D9C2-3DE9-4D6C-AE16-92BD622C6702}"/>
</file>

<file path=customXml/itemProps3.xml><?xml version="1.0" encoding="utf-8"?>
<ds:datastoreItem xmlns:ds="http://schemas.openxmlformats.org/officeDocument/2006/customXml" ds:itemID="{60026609-A43C-45DD-BE59-648420D08A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DARFON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</dc:creator>
  <cp:keywords/>
  <dc:description/>
  <cp:lastModifiedBy>Cheng, Jenny</cp:lastModifiedBy>
  <cp:revision/>
  <dcterms:created xsi:type="dcterms:W3CDTF">2016-11-29T03:05:40Z</dcterms:created>
  <dcterms:modified xsi:type="dcterms:W3CDTF">2026-04-10T06:56:22Z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